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Mezczyzn - szabla/"/>
    </mc:Choice>
  </mc:AlternateContent>
  <xr:revisionPtr revIDLastSave="1021" documentId="8_{7DCFD9FF-8A32-4034-AFB0-C083BCE09D45}" xr6:coauthVersionLast="47" xr6:coauthVersionMax="47" xr10:uidLastSave="{E8615D74-5874-4F17-B59E-4DB564BC4701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9" l="1"/>
  <c r="B17" i="19"/>
  <c r="B16" i="19"/>
  <c r="B15" i="19"/>
  <c r="B14" i="19"/>
  <c r="B13" i="19"/>
  <c r="B12" i="19"/>
  <c r="B11" i="19"/>
  <c r="B10" i="19"/>
  <c r="B9" i="19"/>
  <c r="B8" i="19"/>
  <c r="U25" i="20" s="1"/>
  <c r="B7" i="19"/>
  <c r="B6" i="19"/>
  <c r="B9" i="30"/>
  <c r="B8" i="30"/>
  <c r="B7" i="30"/>
  <c r="B6" i="30"/>
  <c r="B10" i="32"/>
  <c r="B6" i="2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2" i="20"/>
  <c r="AE12" i="20" s="1"/>
  <c r="AD13" i="20"/>
  <c r="AE13" i="20" s="1"/>
  <c r="AD11" i="20"/>
  <c r="AE11" i="20" s="1"/>
  <c r="AD9" i="20"/>
  <c r="AE9" i="20" s="1"/>
  <c r="AD10" i="20"/>
  <c r="AE10" i="20" s="1"/>
  <c r="AD8" i="20"/>
  <c r="AE8" i="20" s="1"/>
  <c r="AD6" i="20"/>
  <c r="AE6" i="20" s="1"/>
  <c r="AD7" i="20"/>
  <c r="AE7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M299" i="37"/>
  <c r="K299" i="37"/>
  <c r="J299" i="37"/>
  <c r="I299" i="37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M283" i="37"/>
  <c r="J283" i="37"/>
  <c r="K283" i="37" s="1"/>
  <c r="I283" i="37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M279" i="37"/>
  <c r="J279" i="37"/>
  <c r="K279" i="37" s="1"/>
  <c r="I279" i="37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M271" i="37"/>
  <c r="J271" i="37"/>
  <c r="K271" i="37" s="1"/>
  <c r="I271" i="37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K264" i="37"/>
  <c r="J264" i="37"/>
  <c r="I264" i="37"/>
  <c r="M264" i="37" s="1"/>
  <c r="M263" i="37"/>
  <c r="J263" i="37"/>
  <c r="K263" i="37" s="1"/>
  <c r="I263" i="37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M255" i="37"/>
  <c r="J255" i="37"/>
  <c r="K255" i="37" s="1"/>
  <c r="I255" i="37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M247" i="37"/>
  <c r="J247" i="37"/>
  <c r="K247" i="37" s="1"/>
  <c r="I247" i="37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M239" i="37"/>
  <c r="J239" i="37"/>
  <c r="K239" i="37" s="1"/>
  <c r="I239" i="37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K232" i="37"/>
  <c r="J232" i="37"/>
  <c r="I232" i="37"/>
  <c r="M232" i="37" s="1"/>
  <c r="M231" i="37"/>
  <c r="J231" i="37"/>
  <c r="K231" i="37" s="1"/>
  <c r="I231" i="37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K224" i="37"/>
  <c r="J224" i="37"/>
  <c r="I224" i="37"/>
  <c r="M224" i="37" s="1"/>
  <c r="M223" i="37"/>
  <c r="J223" i="37"/>
  <c r="K223" i="37" s="1"/>
  <c r="I223" i="37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K216" i="37"/>
  <c r="J216" i="37"/>
  <c r="I216" i="37"/>
  <c r="M216" i="37" s="1"/>
  <c r="M215" i="37"/>
  <c r="J215" i="37"/>
  <c r="K215" i="37" s="1"/>
  <c r="I215" i="37"/>
  <c r="J214" i="37"/>
  <c r="K214" i="37" s="1"/>
  <c r="I214" i="37"/>
  <c r="M214" i="37" s="1"/>
  <c r="J213" i="37"/>
  <c r="K213" i="37" s="1"/>
  <c r="I213" i="37"/>
  <c r="M213" i="37" s="1"/>
  <c r="K212" i="37"/>
  <c r="J212" i="37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M207" i="37"/>
  <c r="J207" i="37"/>
  <c r="K207" i="37" s="1"/>
  <c r="I207" i="37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K200" i="37"/>
  <c r="J200" i="37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K196" i="37"/>
  <c r="J196" i="37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K192" i="37"/>
  <c r="J192" i="37"/>
  <c r="I192" i="37"/>
  <c r="M192" i="37" s="1"/>
  <c r="M191" i="37"/>
  <c r="J191" i="37"/>
  <c r="K191" i="37" s="1"/>
  <c r="I191" i="37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K184" i="37"/>
  <c r="J184" i="37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J139" i="37"/>
  <c r="K139" i="37" s="1"/>
  <c r="I139" i="37"/>
  <c r="M139" i="37" s="1"/>
  <c r="A139" i="37" s="1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A137" i="37" s="1"/>
  <c r="B137" i="37"/>
  <c r="J136" i="37"/>
  <c r="K136" i="37" s="1"/>
  <c r="I136" i="37"/>
  <c r="M136" i="37" s="1"/>
  <c r="A136" i="37" s="1"/>
  <c r="B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J128" i="37"/>
  <c r="K128" i="37" s="1"/>
  <c r="I128" i="37"/>
  <c r="M128" i="37" s="1"/>
  <c r="A128" i="37" s="1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A124" i="37" s="1"/>
  <c r="B124" i="37"/>
  <c r="M123" i="37"/>
  <c r="A123" i="37" s="1"/>
  <c r="J123" i="37"/>
  <c r="K123" i="37" s="1"/>
  <c r="I123" i="37"/>
  <c r="B123" i="37"/>
  <c r="J122" i="37"/>
  <c r="K122" i="37" s="1"/>
  <c r="I122" i="37"/>
  <c r="M122" i="37" s="1"/>
  <c r="A122" i="37" s="1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A120" i="37" s="1"/>
  <c r="B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J109" i="37"/>
  <c r="K109" i="37" s="1"/>
  <c r="I109" i="37"/>
  <c r="M109" i="37" s="1"/>
  <c r="A109" i="37" s="1"/>
  <c r="B109" i="37"/>
  <c r="J108" i="37"/>
  <c r="K108" i="37" s="1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J104" i="37"/>
  <c r="K104" i="37" s="1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J101" i="37"/>
  <c r="K101" i="37" s="1"/>
  <c r="I101" i="37"/>
  <c r="M101" i="37" s="1"/>
  <c r="A101" i="37" s="1"/>
  <c r="B101" i="37"/>
  <c r="J100" i="37"/>
  <c r="K100" i="37" s="1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J93" i="37"/>
  <c r="K93" i="37" s="1"/>
  <c r="I93" i="37"/>
  <c r="M93" i="37" s="1"/>
  <c r="A93" i="37" s="1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J85" i="37"/>
  <c r="K85" i="37" s="1"/>
  <c r="I85" i="37"/>
  <c r="M85" i="37" s="1"/>
  <c r="A85" i="37" s="1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J81" i="37"/>
  <c r="K81" i="37" s="1"/>
  <c r="I81" i="37"/>
  <c r="M81" i="37" s="1"/>
  <c r="A81" i="37" s="1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J77" i="37"/>
  <c r="K77" i="37" s="1"/>
  <c r="I77" i="37"/>
  <c r="M77" i="37" s="1"/>
  <c r="A77" i="37" s="1"/>
  <c r="B77" i="37"/>
  <c r="J76" i="37"/>
  <c r="K76" i="37" s="1"/>
  <c r="I76" i="37"/>
  <c r="M76" i="37" s="1"/>
  <c r="A76" i="37" s="1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J72" i="37"/>
  <c r="K72" i="37" s="1"/>
  <c r="I72" i="37"/>
  <c r="M72" i="37" s="1"/>
  <c r="A72" i="37" s="1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J69" i="37"/>
  <c r="K69" i="37" s="1"/>
  <c r="I69" i="37"/>
  <c r="M69" i="37" s="1"/>
  <c r="A69" i="37" s="1"/>
  <c r="B69" i="37"/>
  <c r="J68" i="37"/>
  <c r="K68" i="37" s="1"/>
  <c r="I68" i="37"/>
  <c r="M68" i="37" s="1"/>
  <c r="A68" i="37" s="1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K59" i="37"/>
  <c r="J59" i="37"/>
  <c r="I59" i="37"/>
  <c r="M59" i="37" s="1"/>
  <c r="A59" i="37" s="1"/>
  <c r="B59" i="37"/>
  <c r="K58" i="37"/>
  <c r="J58" i="37"/>
  <c r="I58" i="37"/>
  <c r="M58" i="37" s="1"/>
  <c r="A58" i="37" s="1"/>
  <c r="B58" i="37"/>
  <c r="J57" i="37"/>
  <c r="K57" i="37" s="1"/>
  <c r="I57" i="37"/>
  <c r="M57" i="37" s="1"/>
  <c r="A57" i="37" s="1"/>
  <c r="B57" i="37"/>
  <c r="J56" i="37"/>
  <c r="K56" i="37" s="1"/>
  <c r="I56" i="37"/>
  <c r="M56" i="37" s="1"/>
  <c r="A56" i="37" s="1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J52" i="37"/>
  <c r="K52" i="37" s="1"/>
  <c r="I52" i="37"/>
  <c r="M52" i="37" s="1"/>
  <c r="A52" i="37" s="1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J49" i="37"/>
  <c r="K49" i="37" s="1"/>
  <c r="I49" i="37"/>
  <c r="M49" i="37" s="1"/>
  <c r="A49" i="37" s="1"/>
  <c r="B49" i="37"/>
  <c r="J48" i="37"/>
  <c r="K48" i="37" s="1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J45" i="37"/>
  <c r="K45" i="37" s="1"/>
  <c r="I45" i="37"/>
  <c r="M45" i="37" s="1"/>
  <c r="A45" i="37" s="1"/>
  <c r="B45" i="37"/>
  <c r="J44" i="37"/>
  <c r="K44" i="37" s="1"/>
  <c r="I44" i="37"/>
  <c r="M44" i="37" s="1"/>
  <c r="A44" i="37" s="1"/>
  <c r="B44" i="37"/>
  <c r="M43" i="37"/>
  <c r="A43" i="37" s="1"/>
  <c r="K43" i="37"/>
  <c r="J43" i="37"/>
  <c r="I43" i="37"/>
  <c r="B43" i="37"/>
  <c r="K42" i="37"/>
  <c r="J42" i="37"/>
  <c r="I42" i="37"/>
  <c r="M42" i="37" s="1"/>
  <c r="A42" i="37" s="1"/>
  <c r="B42" i="37"/>
  <c r="J41" i="37"/>
  <c r="K41" i="37" s="1"/>
  <c r="I41" i="37"/>
  <c r="M41" i="37" s="1"/>
  <c r="A41" i="37" s="1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J36" i="37"/>
  <c r="K36" i="37" s="1"/>
  <c r="I36" i="37"/>
  <c r="B36" i="37"/>
  <c r="J35" i="37"/>
  <c r="K35" i="37" s="1"/>
  <c r="M35" i="37" s="1"/>
  <c r="A35" i="37" s="1"/>
  <c r="I35" i="37"/>
  <c r="B35" i="37"/>
  <c r="J34" i="37"/>
  <c r="K34" i="37" s="1"/>
  <c r="I34" i="37"/>
  <c r="M34" i="37" s="1"/>
  <c r="A34" i="37" s="1"/>
  <c r="B34" i="37"/>
  <c r="J33" i="37"/>
  <c r="K33" i="37" s="1"/>
  <c r="I33" i="37"/>
  <c r="B33" i="37"/>
  <c r="J32" i="37"/>
  <c r="K32" i="37" s="1"/>
  <c r="I32" i="37"/>
  <c r="B32" i="37"/>
  <c r="K31" i="37"/>
  <c r="J31" i="37"/>
  <c r="I31" i="37"/>
  <c r="B31" i="37"/>
  <c r="J30" i="37"/>
  <c r="K30" i="37" s="1"/>
  <c r="I30" i="37"/>
  <c r="M30" i="37" s="1"/>
  <c r="A30" i="37" s="1"/>
  <c r="B30" i="37"/>
  <c r="J29" i="37"/>
  <c r="K29" i="37" s="1"/>
  <c r="I29" i="37"/>
  <c r="B29" i="37"/>
  <c r="J28" i="37"/>
  <c r="K28" i="37" s="1"/>
  <c r="M28" i="37" s="1"/>
  <c r="A28" i="37" s="1"/>
  <c r="I28" i="37"/>
  <c r="B28" i="37"/>
  <c r="J27" i="37"/>
  <c r="K27" i="37" s="1"/>
  <c r="I27" i="37"/>
  <c r="B27" i="37"/>
  <c r="J26" i="37"/>
  <c r="K26" i="37" s="1"/>
  <c r="I26" i="37"/>
  <c r="M26" i="37" s="1"/>
  <c r="A26" i="37" s="1"/>
  <c r="B26" i="37"/>
  <c r="J25" i="37"/>
  <c r="K25" i="37" s="1"/>
  <c r="I25" i="37"/>
  <c r="M25" i="37" s="1"/>
  <c r="A25" i="37" s="1"/>
  <c r="B25" i="37"/>
  <c r="J24" i="37"/>
  <c r="K24" i="37" s="1"/>
  <c r="I24" i="37"/>
  <c r="B24" i="37"/>
  <c r="J23" i="37"/>
  <c r="K23" i="37" s="1"/>
  <c r="M23" i="37" s="1"/>
  <c r="A23" i="37" s="1"/>
  <c r="I23" i="37"/>
  <c r="B23" i="37"/>
  <c r="J22" i="37"/>
  <c r="K22" i="37" s="1"/>
  <c r="I22" i="37"/>
  <c r="M22" i="37" s="1"/>
  <c r="A22" i="37" s="1"/>
  <c r="B22" i="37"/>
  <c r="J21" i="37"/>
  <c r="K21" i="37" s="1"/>
  <c r="I21" i="37"/>
  <c r="M21" i="37" s="1"/>
  <c r="A21" i="37" s="1"/>
  <c r="B21" i="37"/>
  <c r="J20" i="37"/>
  <c r="K20" i="37" s="1"/>
  <c r="M20" i="37" s="1"/>
  <c r="A20" i="37" s="1"/>
  <c r="I20" i="37"/>
  <c r="B20" i="37"/>
  <c r="J19" i="37"/>
  <c r="K19" i="37" s="1"/>
  <c r="M19" i="37" s="1"/>
  <c r="A19" i="37" s="1"/>
  <c r="I19" i="37"/>
  <c r="B19" i="37"/>
  <c r="J18" i="37"/>
  <c r="K18" i="37" s="1"/>
  <c r="I18" i="37"/>
  <c r="M18" i="37" s="1"/>
  <c r="A18" i="37" s="1"/>
  <c r="B18" i="37"/>
  <c r="J17" i="37"/>
  <c r="K17" i="37" s="1"/>
  <c r="I17" i="37"/>
  <c r="B17" i="37"/>
  <c r="J16" i="37"/>
  <c r="K16" i="37" s="1"/>
  <c r="I16" i="37"/>
  <c r="M16" i="37" s="1"/>
  <c r="A16" i="37" s="1"/>
  <c r="B16" i="37"/>
  <c r="J15" i="37"/>
  <c r="K15" i="37" s="1"/>
  <c r="I15" i="37"/>
  <c r="M15" i="37" s="1"/>
  <c r="A15" i="37" s="1"/>
  <c r="B15" i="37"/>
  <c r="AI14" i="37"/>
  <c r="AI16" i="37" s="1"/>
  <c r="K14" i="37"/>
  <c r="M14" i="37" s="1"/>
  <c r="A14" i="37" s="1"/>
  <c r="J14" i="37"/>
  <c r="I14" i="37"/>
  <c r="B14" i="37"/>
  <c r="AI13" i="37"/>
  <c r="J13" i="37"/>
  <c r="K13" i="37" s="1"/>
  <c r="M13" i="37" s="1"/>
  <c r="A13" i="37" s="1"/>
  <c r="I13" i="37"/>
  <c r="B13" i="37"/>
  <c r="AI12" i="37"/>
  <c r="K12" i="37"/>
  <c r="J12" i="37"/>
  <c r="I12" i="37"/>
  <c r="M12" i="37" s="1"/>
  <c r="A12" i="37" s="1"/>
  <c r="B12" i="37"/>
  <c r="J11" i="37"/>
  <c r="K11" i="37" s="1"/>
  <c r="I11" i="37"/>
  <c r="M11" i="37" s="1"/>
  <c r="A11" i="37" s="1"/>
  <c r="B11" i="37"/>
  <c r="J10" i="37"/>
  <c r="K10" i="37" s="1"/>
  <c r="M10" i="37" s="1"/>
  <c r="A10" i="37" s="1"/>
  <c r="I10" i="37"/>
  <c r="B10" i="37"/>
  <c r="J9" i="37"/>
  <c r="K9" i="37" s="1"/>
  <c r="I9" i="37"/>
  <c r="B9" i="37"/>
  <c r="J8" i="37"/>
  <c r="K8" i="37" s="1"/>
  <c r="M8" i="37" s="1"/>
  <c r="A8" i="37" s="1"/>
  <c r="I8" i="37"/>
  <c r="B8" i="37"/>
  <c r="J7" i="37"/>
  <c r="K7" i="37" s="1"/>
  <c r="I7" i="37"/>
  <c r="B7" i="37"/>
  <c r="K6" i="37"/>
  <c r="J6" i="37"/>
  <c r="I6" i="37"/>
  <c r="B6" i="37"/>
  <c r="K2" i="37"/>
  <c r="L8" i="37" s="1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8" i="20"/>
  <c r="AW8" i="20" s="1"/>
  <c r="AV12" i="20"/>
  <c r="AW12" i="20" s="1"/>
  <c r="AV13" i="20"/>
  <c r="AW13" i="20" s="1"/>
  <c r="AV11" i="20"/>
  <c r="AW11" i="20" s="1"/>
  <c r="AV9" i="20"/>
  <c r="AW9" i="20" s="1"/>
  <c r="AV10" i="20"/>
  <c r="AW10" i="20" s="1"/>
  <c r="AV6" i="20"/>
  <c r="AW6" i="20" s="1"/>
  <c r="AV7" i="20"/>
  <c r="AW7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8" i="20"/>
  <c r="AU8" i="20" s="1"/>
  <c r="AT12" i="20"/>
  <c r="AU12" i="20" s="1"/>
  <c r="AT13" i="20"/>
  <c r="AU13" i="20" s="1"/>
  <c r="AT11" i="20"/>
  <c r="AU11" i="20" s="1"/>
  <c r="AT9" i="20"/>
  <c r="AU9" i="20" s="1"/>
  <c r="AT10" i="20"/>
  <c r="AU10" i="20" s="1"/>
  <c r="AT6" i="20"/>
  <c r="AU6" i="20" s="1"/>
  <c r="AT7" i="20"/>
  <c r="AU7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8" i="20"/>
  <c r="AS8" i="20" s="1"/>
  <c r="AR12" i="20"/>
  <c r="AS12" i="20" s="1"/>
  <c r="AR13" i="20"/>
  <c r="AS13" i="20" s="1"/>
  <c r="AR11" i="20"/>
  <c r="AS11" i="20" s="1"/>
  <c r="AR9" i="20"/>
  <c r="AS9" i="20" s="1"/>
  <c r="AR10" i="20"/>
  <c r="AS10" i="20" s="1"/>
  <c r="AR6" i="20"/>
  <c r="AS6" i="20" s="1"/>
  <c r="AR7" i="20"/>
  <c r="AS7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8" i="20"/>
  <c r="AQ8" i="20" s="1"/>
  <c r="AP12" i="20"/>
  <c r="AQ12" i="20" s="1"/>
  <c r="AP13" i="20"/>
  <c r="AQ13" i="20" s="1"/>
  <c r="AP11" i="20"/>
  <c r="AQ11" i="20" s="1"/>
  <c r="AP9" i="20"/>
  <c r="AQ9" i="20" s="1"/>
  <c r="AP10" i="20"/>
  <c r="AQ10" i="20" s="1"/>
  <c r="AP6" i="20"/>
  <c r="AQ6" i="20" s="1"/>
  <c r="AP7" i="20"/>
  <c r="AQ7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8" i="20"/>
  <c r="AO8" i="20" s="1"/>
  <c r="AN12" i="20"/>
  <c r="AO12" i="20" s="1"/>
  <c r="AN13" i="20"/>
  <c r="AO13" i="20" s="1"/>
  <c r="AN11" i="20"/>
  <c r="AO11" i="20" s="1"/>
  <c r="AN9" i="20"/>
  <c r="AO9" i="20" s="1"/>
  <c r="AN10" i="20"/>
  <c r="AO10" i="20" s="1"/>
  <c r="AN6" i="20"/>
  <c r="AO6" i="20" s="1"/>
  <c r="AN7" i="20"/>
  <c r="AO7" i="20" s="1"/>
  <c r="S26" i="20"/>
  <c r="S25" i="20"/>
  <c r="O20" i="20"/>
  <c r="S19" i="20"/>
  <c r="S18" i="20"/>
  <c r="O17" i="20"/>
  <c r="O14" i="20"/>
  <c r="S8" i="20"/>
  <c r="Q8" i="20"/>
  <c r="O8" i="20"/>
  <c r="S13" i="20"/>
  <c r="Q13" i="20"/>
  <c r="O13" i="20"/>
  <c r="S11" i="20"/>
  <c r="Q11" i="20"/>
  <c r="O11" i="20"/>
  <c r="Q9" i="20"/>
  <c r="O9" i="20"/>
  <c r="S10" i="20"/>
  <c r="Q10" i="20"/>
  <c r="O10" i="20"/>
  <c r="S6" i="20"/>
  <c r="Q6" i="20"/>
  <c r="O6" i="20"/>
  <c r="S7" i="20"/>
  <c r="Q7" i="20"/>
  <c r="O7" i="20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M132" i="36"/>
  <c r="J132" i="36"/>
  <c r="K132" i="36" s="1"/>
  <c r="I132" i="36"/>
  <c r="B132" i="36"/>
  <c r="A132" i="36"/>
  <c r="M131" i="36"/>
  <c r="A131" i="36" s="1"/>
  <c r="J131" i="36"/>
  <c r="K131" i="36" s="1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M116" i="36"/>
  <c r="J116" i="36"/>
  <c r="K116" i="36" s="1"/>
  <c r="I116" i="36"/>
  <c r="B116" i="36"/>
  <c r="A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J78" i="36"/>
  <c r="K78" i="36" s="1"/>
  <c r="I78" i="36"/>
  <c r="B78" i="36"/>
  <c r="J77" i="36"/>
  <c r="K77" i="36" s="1"/>
  <c r="I77" i="36"/>
  <c r="M77" i="36" s="1"/>
  <c r="A77" i="36" s="1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J54" i="36"/>
  <c r="K54" i="36" s="1"/>
  <c r="I54" i="36"/>
  <c r="B54" i="36"/>
  <c r="J53" i="36"/>
  <c r="K53" i="36" s="1"/>
  <c r="I53" i="36"/>
  <c r="M53" i="36" s="1"/>
  <c r="A53" i="36" s="1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J38" i="36"/>
  <c r="K38" i="36" s="1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J22" i="36"/>
  <c r="K22" i="36" s="1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A16" i="36" s="1"/>
  <c r="B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K211" i="35"/>
  <c r="J211" i="35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K207" i="35"/>
  <c r="J207" i="35"/>
  <c r="I207" i="35"/>
  <c r="M207" i="35" s="1"/>
  <c r="J206" i="35"/>
  <c r="K206" i="35" s="1"/>
  <c r="I206" i="35"/>
  <c r="M206" i="35" s="1"/>
  <c r="K205" i="35"/>
  <c r="J205" i="35"/>
  <c r="I205" i="35"/>
  <c r="M205" i="35" s="1"/>
  <c r="J204" i="35"/>
  <c r="K204" i="35" s="1"/>
  <c r="I204" i="35"/>
  <c r="M204" i="35" s="1"/>
  <c r="K203" i="35"/>
  <c r="J203" i="35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K199" i="35"/>
  <c r="J199" i="35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K195" i="35"/>
  <c r="J195" i="35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K191" i="35"/>
  <c r="J191" i="35"/>
  <c r="I191" i="35"/>
  <c r="M191" i="35" s="1"/>
  <c r="J190" i="35"/>
  <c r="K190" i="35" s="1"/>
  <c r="I190" i="35"/>
  <c r="M190" i="35" s="1"/>
  <c r="K189" i="35"/>
  <c r="J189" i="35"/>
  <c r="I189" i="35"/>
  <c r="M189" i="35" s="1"/>
  <c r="J188" i="35"/>
  <c r="K188" i="35" s="1"/>
  <c r="I188" i="35"/>
  <c r="M188" i="35" s="1"/>
  <c r="K187" i="35"/>
  <c r="J187" i="35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K183" i="35"/>
  <c r="J183" i="35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K179" i="35"/>
  <c r="J179" i="35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K175" i="35"/>
  <c r="J175" i="35"/>
  <c r="I175" i="35"/>
  <c r="M175" i="35" s="1"/>
  <c r="J174" i="35"/>
  <c r="K174" i="35" s="1"/>
  <c r="I174" i="35"/>
  <c r="M174" i="35" s="1"/>
  <c r="K173" i="35"/>
  <c r="J173" i="35"/>
  <c r="I173" i="35"/>
  <c r="M173" i="35" s="1"/>
  <c r="J172" i="35"/>
  <c r="K172" i="35" s="1"/>
  <c r="I172" i="35"/>
  <c r="M172" i="35" s="1"/>
  <c r="K171" i="35"/>
  <c r="J171" i="35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K167" i="35"/>
  <c r="J167" i="35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K163" i="35"/>
  <c r="J163" i="35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K159" i="35"/>
  <c r="J159" i="35"/>
  <c r="I159" i="35"/>
  <c r="M159" i="35" s="1"/>
  <c r="J158" i="35"/>
  <c r="K158" i="35" s="1"/>
  <c r="I158" i="35"/>
  <c r="M158" i="35" s="1"/>
  <c r="K157" i="35"/>
  <c r="J157" i="35"/>
  <c r="I157" i="35"/>
  <c r="M157" i="35" s="1"/>
  <c r="J156" i="35"/>
  <c r="K156" i="35" s="1"/>
  <c r="I156" i="35"/>
  <c r="M156" i="35" s="1"/>
  <c r="K155" i="35"/>
  <c r="J155" i="35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K151" i="35"/>
  <c r="J151" i="35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K147" i="35"/>
  <c r="J147" i="35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K143" i="35"/>
  <c r="J143" i="35"/>
  <c r="I143" i="35"/>
  <c r="M143" i="35" s="1"/>
  <c r="J142" i="35"/>
  <c r="K142" i="35" s="1"/>
  <c r="I142" i="35"/>
  <c r="M142" i="35" s="1"/>
  <c r="K141" i="35"/>
  <c r="J141" i="35"/>
  <c r="I141" i="35"/>
  <c r="M141" i="35" s="1"/>
  <c r="J140" i="35"/>
  <c r="K140" i="35" s="1"/>
  <c r="I140" i="35"/>
  <c r="M140" i="35" s="1"/>
  <c r="K139" i="35"/>
  <c r="J139" i="35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K64" i="35"/>
  <c r="J64" i="35"/>
  <c r="I64" i="35"/>
  <c r="M64" i="35" s="1"/>
  <c r="B64" i="35"/>
  <c r="M63" i="35"/>
  <c r="K63" i="35"/>
  <c r="J63" i="35"/>
  <c r="I63" i="35"/>
  <c r="B63" i="35"/>
  <c r="K62" i="35"/>
  <c r="J62" i="35"/>
  <c r="I62" i="35"/>
  <c r="M62" i="35" s="1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K55" i="35"/>
  <c r="J55" i="35"/>
  <c r="I55" i="35"/>
  <c r="B55" i="35"/>
  <c r="K54" i="35"/>
  <c r="J54" i="35"/>
  <c r="I54" i="35"/>
  <c r="M54" i="35" s="1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K50" i="35"/>
  <c r="J50" i="35"/>
  <c r="I50" i="35"/>
  <c r="M50" i="35" s="1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K47" i="35"/>
  <c r="J47" i="35"/>
  <c r="I47" i="35"/>
  <c r="B47" i="35"/>
  <c r="U46" i="35"/>
  <c r="T46" i="35"/>
  <c r="R46" i="35"/>
  <c r="M46" i="35"/>
  <c r="K46" i="35"/>
  <c r="J46" i="35"/>
  <c r="I46" i="35"/>
  <c r="B46" i="35"/>
  <c r="K45" i="35"/>
  <c r="J45" i="35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K38" i="35"/>
  <c r="J38" i="35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K17" i="35"/>
  <c r="J17" i="35"/>
  <c r="I17" i="35"/>
  <c r="M17" i="35" s="1"/>
  <c r="A17" i="35" s="1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K14" i="35"/>
  <c r="J14" i="35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AI16" i="35" s="1"/>
  <c r="K12" i="35"/>
  <c r="J12" i="35"/>
  <c r="I12" i="35"/>
  <c r="M12" i="35" s="1"/>
  <c r="A12" i="35" s="1"/>
  <c r="B12" i="35"/>
  <c r="K11" i="35"/>
  <c r="J11" i="35"/>
  <c r="I11" i="35"/>
  <c r="M11" i="35" s="1"/>
  <c r="A11" i="35" s="1"/>
  <c r="B11" i="35"/>
  <c r="M10" i="35"/>
  <c r="K10" i="35"/>
  <c r="J10" i="35"/>
  <c r="I10" i="35"/>
  <c r="B10" i="35"/>
  <c r="A10" i="35"/>
  <c r="J9" i="35"/>
  <c r="K9" i="35" s="1"/>
  <c r="I9" i="35"/>
  <c r="M9" i="35" s="1"/>
  <c r="A9" i="35" s="1"/>
  <c r="B9" i="35"/>
  <c r="K8" i="35"/>
  <c r="J8" i="35"/>
  <c r="I8" i="35"/>
  <c r="M8" i="35" s="1"/>
  <c r="A8" i="35" s="1"/>
  <c r="B8" i="35"/>
  <c r="L7" i="35"/>
  <c r="K7" i="35"/>
  <c r="J7" i="35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K305" i="34"/>
  <c r="J305" i="34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K289" i="34"/>
  <c r="J289" i="34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K273" i="34"/>
  <c r="J273" i="34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K257" i="34"/>
  <c r="J257" i="34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K241" i="34"/>
  <c r="J241" i="34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K225" i="34"/>
  <c r="J225" i="34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K209" i="34"/>
  <c r="J209" i="34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K193" i="34"/>
  <c r="J193" i="34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K161" i="34"/>
  <c r="J161" i="34"/>
  <c r="I161" i="34"/>
  <c r="M161" i="34" s="1"/>
  <c r="J160" i="34"/>
  <c r="K160" i="34" s="1"/>
  <c r="I160" i="34"/>
  <c r="M160" i="34" s="1"/>
  <c r="K159" i="34"/>
  <c r="J159" i="34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K145" i="34"/>
  <c r="J145" i="34"/>
  <c r="I145" i="34"/>
  <c r="M145" i="34" s="1"/>
  <c r="J144" i="34"/>
  <c r="K144" i="34" s="1"/>
  <c r="I144" i="34"/>
  <c r="M144" i="34" s="1"/>
  <c r="K143" i="34"/>
  <c r="J143" i="34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J134" i="34"/>
  <c r="K134" i="34" s="1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J64" i="34"/>
  <c r="K64" i="34" s="1"/>
  <c r="I64" i="34"/>
  <c r="M64" i="34" s="1"/>
  <c r="B64" i="34"/>
  <c r="M63" i="34"/>
  <c r="K63" i="34"/>
  <c r="J63" i="34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J58" i="34"/>
  <c r="K58" i="34" s="1"/>
  <c r="I58" i="34"/>
  <c r="M58" i="34" s="1"/>
  <c r="B58" i="34"/>
  <c r="M57" i="34"/>
  <c r="K57" i="34"/>
  <c r="J57" i="34"/>
  <c r="I57" i="34"/>
  <c r="B57" i="34"/>
  <c r="J56" i="34"/>
  <c r="K56" i="34" s="1"/>
  <c r="I56" i="34"/>
  <c r="M56" i="34" s="1"/>
  <c r="B56" i="34"/>
  <c r="M55" i="34"/>
  <c r="K55" i="34"/>
  <c r="J55" i="34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J50" i="34"/>
  <c r="K50" i="34" s="1"/>
  <c r="I50" i="34"/>
  <c r="M50" i="34" s="1"/>
  <c r="B50" i="34"/>
  <c r="M49" i="34"/>
  <c r="K49" i="34"/>
  <c r="J49" i="34"/>
  <c r="I49" i="34"/>
  <c r="B49" i="34"/>
  <c r="J48" i="34"/>
  <c r="K48" i="34" s="1"/>
  <c r="I48" i="34"/>
  <c r="M48" i="34" s="1"/>
  <c r="B48" i="34"/>
  <c r="M47" i="34"/>
  <c r="K47" i="34"/>
  <c r="J47" i="34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K41" i="34"/>
  <c r="J41" i="34"/>
  <c r="I41" i="34"/>
  <c r="M41" i="34" s="1"/>
  <c r="B41" i="34"/>
  <c r="M40" i="34"/>
  <c r="K40" i="34"/>
  <c r="J40" i="34"/>
  <c r="I40" i="34"/>
  <c r="B40" i="34"/>
  <c r="J39" i="34"/>
  <c r="K39" i="34" s="1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J32" i="34"/>
  <c r="K32" i="34" s="1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J24" i="34"/>
  <c r="K24" i="34" s="1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J20" i="34"/>
  <c r="K20" i="34" s="1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M13" i="34"/>
  <c r="K13" i="34"/>
  <c r="J13" i="34"/>
  <c r="I13" i="34"/>
  <c r="B13" i="34"/>
  <c r="A13" i="34"/>
  <c r="AI12" i="34"/>
  <c r="AI16" i="34" s="1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J10" i="34"/>
  <c r="K10" i="34" s="1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K7" i="34"/>
  <c r="J7" i="34"/>
  <c r="I7" i="34"/>
  <c r="B7" i="34"/>
  <c r="M6" i="34"/>
  <c r="A6" i="34" s="1"/>
  <c r="L6" i="34"/>
  <c r="K6" i="34"/>
  <c r="J6" i="34"/>
  <c r="I6" i="34"/>
  <c r="B6" i="34"/>
  <c r="K2" i="34"/>
  <c r="L7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A77" i="33" s="1"/>
  <c r="J77" i="33"/>
  <c r="K77" i="33" s="1"/>
  <c r="I77" i="33"/>
  <c r="J76" i="33"/>
  <c r="K76" i="33" s="1"/>
  <c r="I76" i="33"/>
  <c r="M76" i="33" s="1"/>
  <c r="A76" i="33" s="1"/>
  <c r="M75" i="33"/>
  <c r="A75" i="33" s="1"/>
  <c r="J75" i="33"/>
  <c r="K75" i="33" s="1"/>
  <c r="I75" i="33"/>
  <c r="J74" i="33"/>
  <c r="K74" i="33" s="1"/>
  <c r="I74" i="33"/>
  <c r="M74" i="33" s="1"/>
  <c r="A74" i="33" s="1"/>
  <c r="M73" i="33"/>
  <c r="K73" i="33"/>
  <c r="J73" i="33"/>
  <c r="I73" i="33"/>
  <c r="A73" i="33"/>
  <c r="M72" i="33"/>
  <c r="A72" i="33" s="1"/>
  <c r="K72" i="33"/>
  <c r="J72" i="33"/>
  <c r="I72" i="33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A69" i="33" s="1"/>
  <c r="J69" i="33"/>
  <c r="K69" i="33" s="1"/>
  <c r="I69" i="33"/>
  <c r="J68" i="33"/>
  <c r="K68" i="33" s="1"/>
  <c r="I68" i="33"/>
  <c r="M68" i="33" s="1"/>
  <c r="A68" i="33" s="1"/>
  <c r="M67" i="33"/>
  <c r="A67" i="33" s="1"/>
  <c r="J67" i="33"/>
  <c r="K67" i="33" s="1"/>
  <c r="I67" i="33"/>
  <c r="J66" i="33"/>
  <c r="K66" i="33" s="1"/>
  <c r="I66" i="33"/>
  <c r="M66" i="33" s="1"/>
  <c r="A66" i="33" s="1"/>
  <c r="M65" i="33"/>
  <c r="K65" i="33"/>
  <c r="J65" i="33"/>
  <c r="I65" i="33"/>
  <c r="B65" i="33"/>
  <c r="A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J62" i="33"/>
  <c r="K62" i="33" s="1"/>
  <c r="I62" i="33"/>
  <c r="M62" i="33" s="1"/>
  <c r="A62" i="33" s="1"/>
  <c r="B62" i="33"/>
  <c r="M61" i="33"/>
  <c r="K61" i="33"/>
  <c r="J61" i="33"/>
  <c r="I61" i="33"/>
  <c r="B61" i="33"/>
  <c r="A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J58" i="33"/>
  <c r="K58" i="33" s="1"/>
  <c r="I58" i="33"/>
  <c r="M58" i="33" s="1"/>
  <c r="A58" i="33" s="1"/>
  <c r="B58" i="33"/>
  <c r="M57" i="33"/>
  <c r="J57" i="33"/>
  <c r="K57" i="33" s="1"/>
  <c r="I57" i="33"/>
  <c r="B57" i="33"/>
  <c r="A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J54" i="33"/>
  <c r="K54" i="33" s="1"/>
  <c r="I54" i="33"/>
  <c r="M54" i="33" s="1"/>
  <c r="A54" i="33" s="1"/>
  <c r="B54" i="33"/>
  <c r="M53" i="33"/>
  <c r="J53" i="33"/>
  <c r="K53" i="33" s="1"/>
  <c r="I53" i="33"/>
  <c r="B53" i="33"/>
  <c r="A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J50" i="33"/>
  <c r="K50" i="33" s="1"/>
  <c r="I50" i="33"/>
  <c r="M50" i="33" s="1"/>
  <c r="A50" i="33" s="1"/>
  <c r="B50" i="33"/>
  <c r="M49" i="33"/>
  <c r="J49" i="33"/>
  <c r="K49" i="33" s="1"/>
  <c r="I49" i="33"/>
  <c r="B49" i="33"/>
  <c r="A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T46" i="33"/>
  <c r="R46" i="33"/>
  <c r="U46" i="33" s="1"/>
  <c r="M46" i="33"/>
  <c r="A46" i="33" s="1"/>
  <c r="K46" i="33"/>
  <c r="J46" i="33"/>
  <c r="I46" i="33"/>
  <c r="B46" i="33"/>
  <c r="J45" i="33"/>
  <c r="K45" i="33" s="1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M42" i="33"/>
  <c r="A42" i="33" s="1"/>
  <c r="K42" i="33"/>
  <c r="J42" i="33"/>
  <c r="I42" i="33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M38" i="33"/>
  <c r="A38" i="33" s="1"/>
  <c r="K38" i="33"/>
  <c r="J38" i="33"/>
  <c r="I38" i="33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M34" i="33"/>
  <c r="A34" i="33" s="1"/>
  <c r="K34" i="33"/>
  <c r="J34" i="33"/>
  <c r="I34" i="33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K31" i="33"/>
  <c r="J31" i="33"/>
  <c r="I31" i="33"/>
  <c r="B31" i="33"/>
  <c r="A31" i="33"/>
  <c r="M30" i="33"/>
  <c r="A30" i="33" s="1"/>
  <c r="K30" i="33"/>
  <c r="J30" i="33"/>
  <c r="I30" i="33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M27" i="33"/>
  <c r="K27" i="33"/>
  <c r="J27" i="33"/>
  <c r="I27" i="33"/>
  <c r="B27" i="33"/>
  <c r="A27" i="33"/>
  <c r="M26" i="33"/>
  <c r="A26" i="33" s="1"/>
  <c r="K26" i="33"/>
  <c r="J26" i="33"/>
  <c r="I26" i="33"/>
  <c r="B26" i="33"/>
  <c r="J25" i="33"/>
  <c r="K25" i="33" s="1"/>
  <c r="I25" i="33"/>
  <c r="M25" i="33" s="1"/>
  <c r="A25" i="33" s="1"/>
  <c r="B25" i="33"/>
  <c r="J24" i="33"/>
  <c r="K24" i="33" s="1"/>
  <c r="I24" i="33"/>
  <c r="M24" i="33" s="1"/>
  <c r="A24" i="33" s="1"/>
  <c r="B24" i="33"/>
  <c r="M23" i="33"/>
  <c r="K23" i="33"/>
  <c r="J23" i="33"/>
  <c r="I23" i="33"/>
  <c r="B23" i="33"/>
  <c r="A23" i="33"/>
  <c r="M22" i="33"/>
  <c r="A22" i="33" s="1"/>
  <c r="K22" i="33"/>
  <c r="J22" i="33"/>
  <c r="I22" i="33"/>
  <c r="B22" i="33"/>
  <c r="J21" i="33"/>
  <c r="K21" i="33" s="1"/>
  <c r="I21" i="33"/>
  <c r="M21" i="33" s="1"/>
  <c r="A21" i="33" s="1"/>
  <c r="B21" i="33"/>
  <c r="J20" i="33"/>
  <c r="K20" i="33" s="1"/>
  <c r="I20" i="33"/>
  <c r="M20" i="33" s="1"/>
  <c r="A20" i="33" s="1"/>
  <c r="B20" i="33"/>
  <c r="M19" i="33"/>
  <c r="K19" i="33"/>
  <c r="J19" i="33"/>
  <c r="I19" i="33"/>
  <c r="B19" i="33"/>
  <c r="A19" i="33"/>
  <c r="M18" i="33"/>
  <c r="A18" i="33" s="1"/>
  <c r="K18" i="33"/>
  <c r="J18" i="33"/>
  <c r="I18" i="33"/>
  <c r="B18" i="33"/>
  <c r="J17" i="33"/>
  <c r="K17" i="33" s="1"/>
  <c r="I17" i="33"/>
  <c r="M17" i="33" s="1"/>
  <c r="A17" i="33" s="1"/>
  <c r="B17" i="33"/>
  <c r="J16" i="33"/>
  <c r="K16" i="33" s="1"/>
  <c r="I16" i="33"/>
  <c r="M16" i="33" s="1"/>
  <c r="A16" i="33" s="1"/>
  <c r="B16" i="33"/>
  <c r="M15" i="33"/>
  <c r="K15" i="33"/>
  <c r="J15" i="33"/>
  <c r="I15" i="33"/>
  <c r="B15" i="33"/>
  <c r="A15" i="33"/>
  <c r="AI14" i="33"/>
  <c r="M14" i="33"/>
  <c r="K14" i="33"/>
  <c r="J14" i="33"/>
  <c r="I14" i="33"/>
  <c r="B14" i="33"/>
  <c r="A14" i="33"/>
  <c r="AI13" i="33"/>
  <c r="M13" i="33"/>
  <c r="A13" i="33" s="1"/>
  <c r="J13" i="33"/>
  <c r="K13" i="33" s="1"/>
  <c r="I13" i="33"/>
  <c r="B13" i="33"/>
  <c r="AI12" i="33"/>
  <c r="AI16" i="33" s="1"/>
  <c r="M12" i="33"/>
  <c r="A12" i="33" s="1"/>
  <c r="K12" i="33"/>
  <c r="J12" i="33"/>
  <c r="I12" i="33"/>
  <c r="B12" i="33"/>
  <c r="J11" i="33"/>
  <c r="K11" i="33" s="1"/>
  <c r="I11" i="33"/>
  <c r="M11" i="33" s="1"/>
  <c r="A11" i="33" s="1"/>
  <c r="B11" i="33"/>
  <c r="J10" i="33"/>
  <c r="K10" i="33" s="1"/>
  <c r="I10" i="33"/>
  <c r="M10" i="33" s="1"/>
  <c r="A10" i="33" s="1"/>
  <c r="B10" i="33"/>
  <c r="L9" i="33"/>
  <c r="K9" i="33"/>
  <c r="J9" i="33"/>
  <c r="I9" i="33"/>
  <c r="M9" i="33" s="1"/>
  <c r="A9" i="33" s="1"/>
  <c r="B9" i="33"/>
  <c r="M8" i="33"/>
  <c r="A8" i="33" s="1"/>
  <c r="K8" i="33"/>
  <c r="J8" i="33"/>
  <c r="I8" i="33"/>
  <c r="B8" i="33"/>
  <c r="M7" i="33"/>
  <c r="A7" i="33" s="1"/>
  <c r="L7" i="33"/>
  <c r="J7" i="33"/>
  <c r="K7" i="33" s="1"/>
  <c r="I7" i="33"/>
  <c r="B7" i="33"/>
  <c r="M6" i="33"/>
  <c r="A6" i="33" s="1"/>
  <c r="L6" i="33"/>
  <c r="K6" i="33"/>
  <c r="J6" i="33"/>
  <c r="I6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K298" i="32"/>
  <c r="J298" i="32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K290" i="32"/>
  <c r="J290" i="32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K282" i="32"/>
  <c r="J282" i="32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K274" i="32"/>
  <c r="J274" i="32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K266" i="32"/>
  <c r="J266" i="32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K258" i="32"/>
  <c r="J258" i="32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K250" i="32"/>
  <c r="J250" i="32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K242" i="32"/>
  <c r="J242" i="32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K234" i="32"/>
  <c r="J234" i="32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K226" i="32"/>
  <c r="J226" i="32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K218" i="32"/>
  <c r="J218" i="32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K210" i="32"/>
  <c r="J210" i="32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K194" i="32"/>
  <c r="J194" i="32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K178" i="32"/>
  <c r="J178" i="32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K162" i="32"/>
  <c r="J162" i="32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K146" i="32"/>
  <c r="J146" i="32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K135" i="32"/>
  <c r="J135" i="32"/>
  <c r="I135" i="32"/>
  <c r="J134" i="32"/>
  <c r="K134" i="32" s="1"/>
  <c r="I134" i="32"/>
  <c r="M134" i="32" s="1"/>
  <c r="M133" i="32"/>
  <c r="K133" i="32"/>
  <c r="J133" i="32"/>
  <c r="I133" i="32"/>
  <c r="J132" i="32"/>
  <c r="K132" i="32" s="1"/>
  <c r="I132" i="32"/>
  <c r="M132" i="32" s="1"/>
  <c r="M131" i="32"/>
  <c r="K131" i="32"/>
  <c r="J131" i="32"/>
  <c r="I131" i="32"/>
  <c r="J130" i="32"/>
  <c r="K130" i="32" s="1"/>
  <c r="I130" i="32"/>
  <c r="M130" i="32" s="1"/>
  <c r="M129" i="32"/>
  <c r="K129" i="32"/>
  <c r="J129" i="32"/>
  <c r="I129" i="32"/>
  <c r="J128" i="32"/>
  <c r="K128" i="32" s="1"/>
  <c r="I128" i="32"/>
  <c r="M128" i="32" s="1"/>
  <c r="M127" i="32"/>
  <c r="K127" i="32"/>
  <c r="J127" i="32"/>
  <c r="I127" i="32"/>
  <c r="J126" i="32"/>
  <c r="K126" i="32" s="1"/>
  <c r="I126" i="32"/>
  <c r="M126" i="32" s="1"/>
  <c r="M125" i="32"/>
  <c r="K125" i="32"/>
  <c r="J125" i="32"/>
  <c r="I125" i="32"/>
  <c r="J124" i="32"/>
  <c r="K124" i="32" s="1"/>
  <c r="I124" i="32"/>
  <c r="M124" i="32" s="1"/>
  <c r="M123" i="32"/>
  <c r="K123" i="32"/>
  <c r="J123" i="32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M89" i="32"/>
  <c r="J89" i="32"/>
  <c r="K89" i="32" s="1"/>
  <c r="I89" i="32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M83" i="32"/>
  <c r="J83" i="32"/>
  <c r="K83" i="32" s="1"/>
  <c r="I83" i="32"/>
  <c r="J82" i="32"/>
  <c r="K82" i="32" s="1"/>
  <c r="I82" i="32"/>
  <c r="M82" i="32" s="1"/>
  <c r="M81" i="32"/>
  <c r="J81" i="32"/>
  <c r="K81" i="32" s="1"/>
  <c r="I81" i="32"/>
  <c r="J80" i="32"/>
  <c r="K80" i="32" s="1"/>
  <c r="I80" i="32"/>
  <c r="M80" i="32" s="1"/>
  <c r="M79" i="32"/>
  <c r="J79" i="32"/>
  <c r="K79" i="32" s="1"/>
  <c r="I79" i="32"/>
  <c r="A79" i="32"/>
  <c r="J78" i="32"/>
  <c r="K78" i="32" s="1"/>
  <c r="I78" i="32"/>
  <c r="M78" i="32" s="1"/>
  <c r="A78" i="32" s="1"/>
  <c r="M77" i="32"/>
  <c r="J77" i="32"/>
  <c r="K77" i="32" s="1"/>
  <c r="I77" i="32"/>
  <c r="A77" i="32"/>
  <c r="M76" i="32"/>
  <c r="A76" i="32" s="1"/>
  <c r="K76" i="32"/>
  <c r="J76" i="32"/>
  <c r="I76" i="32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K72" i="32"/>
  <c r="J72" i="32"/>
  <c r="I72" i="32"/>
  <c r="M72" i="32" s="1"/>
  <c r="A72" i="32" s="1"/>
  <c r="M71" i="32"/>
  <c r="A71" i="32" s="1"/>
  <c r="J71" i="32"/>
  <c r="K71" i="32" s="1"/>
  <c r="I71" i="32"/>
  <c r="J70" i="32"/>
  <c r="K70" i="32" s="1"/>
  <c r="I70" i="32"/>
  <c r="M70" i="32" s="1"/>
  <c r="A70" i="32" s="1"/>
  <c r="M69" i="32"/>
  <c r="J69" i="32"/>
  <c r="K69" i="32" s="1"/>
  <c r="I69" i="32"/>
  <c r="A69" i="32"/>
  <c r="M68" i="32"/>
  <c r="A68" i="32" s="1"/>
  <c r="K68" i="32"/>
  <c r="J68" i="32"/>
  <c r="I68" i="32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M63" i="32"/>
  <c r="J63" i="32"/>
  <c r="K63" i="32" s="1"/>
  <c r="I63" i="32"/>
  <c r="B63" i="32"/>
  <c r="A63" i="32"/>
  <c r="M62" i="32"/>
  <c r="A62" i="32" s="1"/>
  <c r="J62" i="32"/>
  <c r="K62" i="32" s="1"/>
  <c r="I62" i="32"/>
  <c r="B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M59" i="32"/>
  <c r="J59" i="32"/>
  <c r="K59" i="32" s="1"/>
  <c r="I59" i="32"/>
  <c r="B59" i="32"/>
  <c r="A59" i="32"/>
  <c r="M58" i="32"/>
  <c r="A58" i="32" s="1"/>
  <c r="J58" i="32"/>
  <c r="K58" i="32" s="1"/>
  <c r="I58" i="32"/>
  <c r="B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M55" i="32"/>
  <c r="J55" i="32"/>
  <c r="K55" i="32" s="1"/>
  <c r="I55" i="32"/>
  <c r="B55" i="32"/>
  <c r="A55" i="32"/>
  <c r="M54" i="32"/>
  <c r="A54" i="32" s="1"/>
  <c r="J54" i="32"/>
  <c r="K54" i="32" s="1"/>
  <c r="I54" i="32"/>
  <c r="B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M51" i="32"/>
  <c r="J51" i="32"/>
  <c r="K51" i="32" s="1"/>
  <c r="I51" i="32"/>
  <c r="B51" i="32"/>
  <c r="A51" i="32"/>
  <c r="M50" i="32"/>
  <c r="A50" i="32" s="1"/>
  <c r="J50" i="32"/>
  <c r="K50" i="32" s="1"/>
  <c r="I50" i="32"/>
  <c r="B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M47" i="32"/>
  <c r="J47" i="32"/>
  <c r="K47" i="32" s="1"/>
  <c r="I47" i="32"/>
  <c r="B47" i="32"/>
  <c r="A47" i="32"/>
  <c r="U46" i="32"/>
  <c r="T46" i="32"/>
  <c r="R46" i="32"/>
  <c r="K46" i="32"/>
  <c r="J46" i="32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K40" i="32"/>
  <c r="J40" i="32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K36" i="32"/>
  <c r="J36" i="32"/>
  <c r="I36" i="32"/>
  <c r="B36" i="32"/>
  <c r="J35" i="32"/>
  <c r="K35" i="32" s="1"/>
  <c r="I35" i="32"/>
  <c r="M35" i="32" s="1"/>
  <c r="A35" i="32" s="1"/>
  <c r="B35" i="32"/>
  <c r="K34" i="32"/>
  <c r="J34" i="32"/>
  <c r="I34" i="32"/>
  <c r="M34" i="32" s="1"/>
  <c r="A34" i="32" s="1"/>
  <c r="B34" i="32"/>
  <c r="K33" i="32"/>
  <c r="J33" i="32"/>
  <c r="I33" i="32"/>
  <c r="M33" i="32" s="1"/>
  <c r="A33" i="32" s="1"/>
  <c r="B33" i="32"/>
  <c r="M32" i="32"/>
  <c r="A32" i="32" s="1"/>
  <c r="K32" i="32"/>
  <c r="J32" i="32"/>
  <c r="I32" i="32"/>
  <c r="B32" i="32"/>
  <c r="J31" i="32"/>
  <c r="K31" i="32" s="1"/>
  <c r="I31" i="32"/>
  <c r="M31" i="32" s="1"/>
  <c r="A31" i="32" s="1"/>
  <c r="B31" i="32"/>
  <c r="K30" i="32"/>
  <c r="J30" i="32"/>
  <c r="I30" i="32"/>
  <c r="M30" i="32" s="1"/>
  <c r="A30" i="32" s="1"/>
  <c r="B30" i="32"/>
  <c r="K29" i="32"/>
  <c r="J29" i="32"/>
  <c r="I29" i="32"/>
  <c r="M29" i="32" s="1"/>
  <c r="A29" i="32" s="1"/>
  <c r="B29" i="32"/>
  <c r="M28" i="32"/>
  <c r="A28" i="32" s="1"/>
  <c r="K28" i="32"/>
  <c r="J28" i="32"/>
  <c r="I28" i="32"/>
  <c r="B28" i="32"/>
  <c r="J27" i="32"/>
  <c r="K27" i="32" s="1"/>
  <c r="I27" i="32"/>
  <c r="M27" i="32" s="1"/>
  <c r="A27" i="32" s="1"/>
  <c r="B27" i="32"/>
  <c r="K26" i="32"/>
  <c r="J26" i="32"/>
  <c r="I26" i="32"/>
  <c r="M26" i="32" s="1"/>
  <c r="A26" i="32" s="1"/>
  <c r="B26" i="32"/>
  <c r="K25" i="32"/>
  <c r="J25" i="32"/>
  <c r="I25" i="32"/>
  <c r="M25" i="32" s="1"/>
  <c r="A25" i="32" s="1"/>
  <c r="B25" i="32"/>
  <c r="M24" i="32"/>
  <c r="A24" i="32" s="1"/>
  <c r="K24" i="32"/>
  <c r="J24" i="32"/>
  <c r="I24" i="32"/>
  <c r="B24" i="32"/>
  <c r="J23" i="32"/>
  <c r="K23" i="32" s="1"/>
  <c r="I23" i="32"/>
  <c r="M23" i="32" s="1"/>
  <c r="A23" i="32" s="1"/>
  <c r="B23" i="32"/>
  <c r="K22" i="32"/>
  <c r="J22" i="32"/>
  <c r="I22" i="32"/>
  <c r="M22" i="32" s="1"/>
  <c r="A22" i="32" s="1"/>
  <c r="B22" i="32"/>
  <c r="K21" i="32"/>
  <c r="J21" i="32"/>
  <c r="I21" i="32"/>
  <c r="M21" i="32" s="1"/>
  <c r="A21" i="32" s="1"/>
  <c r="B21" i="32"/>
  <c r="M20" i="32"/>
  <c r="A20" i="32" s="1"/>
  <c r="K20" i="32"/>
  <c r="J20" i="32"/>
  <c r="I20" i="32"/>
  <c r="B20" i="32"/>
  <c r="J19" i="32"/>
  <c r="K19" i="32" s="1"/>
  <c r="I19" i="32"/>
  <c r="M19" i="32" s="1"/>
  <c r="A19" i="32" s="1"/>
  <c r="B19" i="32"/>
  <c r="K18" i="32"/>
  <c r="J18" i="32"/>
  <c r="I18" i="32"/>
  <c r="M18" i="32" s="1"/>
  <c r="A18" i="32" s="1"/>
  <c r="B18" i="32"/>
  <c r="K17" i="32"/>
  <c r="J17" i="32"/>
  <c r="I17" i="32"/>
  <c r="M17" i="32" s="1"/>
  <c r="A17" i="32" s="1"/>
  <c r="B17" i="32"/>
  <c r="AI16" i="32"/>
  <c r="M16" i="32"/>
  <c r="A16" i="32" s="1"/>
  <c r="J16" i="32"/>
  <c r="K16" i="32" s="1"/>
  <c r="I16" i="32"/>
  <c r="B16" i="32"/>
  <c r="M15" i="32"/>
  <c r="A15" i="32" s="1"/>
  <c r="K15" i="32"/>
  <c r="J15" i="32"/>
  <c r="I15" i="32"/>
  <c r="B15" i="32"/>
  <c r="AI14" i="32"/>
  <c r="J14" i="32"/>
  <c r="K14" i="32" s="1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K12" i="32"/>
  <c r="J12" i="32"/>
  <c r="I12" i="32"/>
  <c r="M12" i="32" s="1"/>
  <c r="A12" i="32" s="1"/>
  <c r="B12" i="32"/>
  <c r="K11" i="32"/>
  <c r="J11" i="32"/>
  <c r="I11" i="32"/>
  <c r="M11" i="32" s="1"/>
  <c r="A11" i="32" s="1"/>
  <c r="B11" i="32"/>
  <c r="M10" i="32"/>
  <c r="K10" i="32"/>
  <c r="J10" i="32"/>
  <c r="I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M6" i="32"/>
  <c r="K6" i="32"/>
  <c r="J6" i="32"/>
  <c r="I6" i="32"/>
  <c r="B6" i="32"/>
  <c r="A6" i="32"/>
  <c r="K2" i="32"/>
  <c r="L6" i="32" s="1"/>
  <c r="S18" i="13"/>
  <c r="S17" i="13"/>
  <c r="S8" i="13"/>
  <c r="S13" i="13"/>
  <c r="S11" i="13"/>
  <c r="S9" i="13"/>
  <c r="S10" i="13"/>
  <c r="S6" i="13"/>
  <c r="S7" i="13"/>
  <c r="Q8" i="13"/>
  <c r="Q13" i="13"/>
  <c r="Q11" i="13"/>
  <c r="Q9" i="13"/>
  <c r="Q10" i="13"/>
  <c r="Q6" i="13"/>
  <c r="Q7" i="13"/>
  <c r="O17" i="13"/>
  <c r="O16" i="13"/>
  <c r="O8" i="13"/>
  <c r="O13" i="13"/>
  <c r="O11" i="13"/>
  <c r="O9" i="13"/>
  <c r="O10" i="13"/>
  <c r="O6" i="13"/>
  <c r="O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K266" i="31"/>
  <c r="J266" i="3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K246" i="31"/>
  <c r="J246" i="3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K234" i="31"/>
  <c r="J234" i="3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K214" i="31"/>
  <c r="J214" i="3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K202" i="31"/>
  <c r="J202" i="3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K182" i="31"/>
  <c r="J182" i="3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K170" i="31"/>
  <c r="J170" i="3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K150" i="31"/>
  <c r="J150" i="3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K138" i="31"/>
  <c r="J138" i="31"/>
  <c r="I138" i="31"/>
  <c r="M138" i="31" s="1"/>
  <c r="J137" i="31"/>
  <c r="K137" i="31" s="1"/>
  <c r="I137" i="31"/>
  <c r="M137" i="31" s="1"/>
  <c r="K136" i="31"/>
  <c r="J136" i="31"/>
  <c r="I136" i="31"/>
  <c r="M136" i="31" s="1"/>
  <c r="K135" i="31"/>
  <c r="J135" i="31"/>
  <c r="I135" i="31"/>
  <c r="M135" i="31" s="1"/>
  <c r="M134" i="31"/>
  <c r="J134" i="31"/>
  <c r="K134" i="31" s="1"/>
  <c r="I134" i="3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J127" i="31"/>
  <c r="K127" i="31" s="1"/>
  <c r="I127" i="31"/>
  <c r="M127" i="31" s="1"/>
  <c r="K126" i="31"/>
  <c r="J126" i="3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M122" i="31"/>
  <c r="J122" i="31"/>
  <c r="K122" i="31" s="1"/>
  <c r="I122" i="31"/>
  <c r="J121" i="31"/>
  <c r="K121" i="31" s="1"/>
  <c r="I121" i="31"/>
  <c r="M121" i="31" s="1"/>
  <c r="M120" i="31"/>
  <c r="K120" i="31"/>
  <c r="J120" i="31"/>
  <c r="I120" i="31"/>
  <c r="K119" i="31"/>
  <c r="J119" i="31"/>
  <c r="I119" i="31"/>
  <c r="M119" i="31" s="1"/>
  <c r="M118" i="31"/>
  <c r="J118" i="31"/>
  <c r="K118" i="31" s="1"/>
  <c r="I118" i="3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K113" i="31"/>
  <c r="J113" i="31"/>
  <c r="I113" i="31"/>
  <c r="M113" i="31" s="1"/>
  <c r="J112" i="31"/>
  <c r="K112" i="31" s="1"/>
  <c r="I112" i="31"/>
  <c r="M112" i="31" s="1"/>
  <c r="J111" i="31"/>
  <c r="K111" i="31" s="1"/>
  <c r="I111" i="31"/>
  <c r="M111" i="31" s="1"/>
  <c r="K110" i="31"/>
  <c r="J110" i="3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M106" i="31"/>
  <c r="J106" i="31"/>
  <c r="K106" i="31" s="1"/>
  <c r="I106" i="31"/>
  <c r="J105" i="31"/>
  <c r="K105" i="31" s="1"/>
  <c r="I105" i="31"/>
  <c r="M105" i="31" s="1"/>
  <c r="M104" i="31"/>
  <c r="K104" i="31"/>
  <c r="J104" i="31"/>
  <c r="I104" i="31"/>
  <c r="K103" i="31"/>
  <c r="J103" i="31"/>
  <c r="I103" i="31"/>
  <c r="M103" i="31" s="1"/>
  <c r="M102" i="31"/>
  <c r="J102" i="31"/>
  <c r="K102" i="31" s="1"/>
  <c r="I102" i="3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K97" i="31"/>
  <c r="J97" i="31"/>
  <c r="I97" i="31"/>
  <c r="M97" i="31" s="1"/>
  <c r="J96" i="31"/>
  <c r="K96" i="31" s="1"/>
  <c r="I96" i="31"/>
  <c r="M96" i="31" s="1"/>
  <c r="J95" i="31"/>
  <c r="K95" i="31" s="1"/>
  <c r="I95" i="31"/>
  <c r="M95" i="31" s="1"/>
  <c r="K94" i="31"/>
  <c r="J94" i="3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M90" i="31"/>
  <c r="J90" i="31"/>
  <c r="K90" i="31" s="1"/>
  <c r="I90" i="31"/>
  <c r="J89" i="31"/>
  <c r="K89" i="31" s="1"/>
  <c r="I89" i="31"/>
  <c r="M89" i="31" s="1"/>
  <c r="M88" i="31"/>
  <c r="K88" i="31"/>
  <c r="J88" i="31"/>
  <c r="I88" i="31"/>
  <c r="K87" i="31"/>
  <c r="J87" i="31"/>
  <c r="I87" i="31"/>
  <c r="M87" i="31" s="1"/>
  <c r="M86" i="31"/>
  <c r="J86" i="31"/>
  <c r="K86" i="31" s="1"/>
  <c r="I86" i="3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K81" i="31"/>
  <c r="J81" i="31"/>
  <c r="I81" i="31"/>
  <c r="M81" i="31" s="1"/>
  <c r="J80" i="31"/>
  <c r="K80" i="31" s="1"/>
  <c r="I80" i="31"/>
  <c r="M80" i="31" s="1"/>
  <c r="J79" i="31"/>
  <c r="K79" i="31" s="1"/>
  <c r="I79" i="31"/>
  <c r="M79" i="31" s="1"/>
  <c r="K78" i="31"/>
  <c r="J78" i="3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M74" i="31"/>
  <c r="J74" i="31"/>
  <c r="K74" i="31" s="1"/>
  <c r="I74" i="31"/>
  <c r="J73" i="31"/>
  <c r="K73" i="31" s="1"/>
  <c r="I73" i="31"/>
  <c r="M73" i="31" s="1"/>
  <c r="M72" i="31"/>
  <c r="K72" i="31"/>
  <c r="J72" i="31"/>
  <c r="I72" i="31"/>
  <c r="K71" i="31"/>
  <c r="J71" i="31"/>
  <c r="I71" i="31"/>
  <c r="M71" i="31" s="1"/>
  <c r="M70" i="31"/>
  <c r="J70" i="31"/>
  <c r="K70" i="31" s="1"/>
  <c r="I70" i="3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K65" i="31"/>
  <c r="J65" i="3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M61" i="31"/>
  <c r="K61" i="31"/>
  <c r="J61" i="31"/>
  <c r="I61" i="3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M53" i="31"/>
  <c r="J53" i="31"/>
  <c r="K53" i="31" s="1"/>
  <c r="I53" i="3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K48" i="31"/>
  <c r="J48" i="3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K44" i="31"/>
  <c r="J44" i="3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J39" i="31"/>
  <c r="K39" i="31" s="1"/>
  <c r="I39" i="3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M32" i="31"/>
  <c r="A32" i="31" s="1"/>
  <c r="K32" i="31"/>
  <c r="J32" i="31"/>
  <c r="I32" i="3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A28" i="31" s="1"/>
  <c r="K28" i="31"/>
  <c r="J28" i="31"/>
  <c r="I28" i="3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M24" i="31"/>
  <c r="A24" i="31" s="1"/>
  <c r="J24" i="31"/>
  <c r="K24" i="31" s="1"/>
  <c r="I24" i="3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AI16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M14" i="31"/>
  <c r="A14" i="31" s="1"/>
  <c r="J14" i="31"/>
  <c r="K14" i="31" s="1"/>
  <c r="I14" i="31"/>
  <c r="B14" i="31"/>
  <c r="AI13" i="3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M10" i="31"/>
  <c r="A10" i="31" s="1"/>
  <c r="J10" i="31"/>
  <c r="K10" i="31" s="1"/>
  <c r="I10" i="31"/>
  <c r="B10" i="31"/>
  <c r="J9" i="31"/>
  <c r="K9" i="31" s="1"/>
  <c r="I9" i="31"/>
  <c r="M9" i="31" s="1"/>
  <c r="A9" i="31" s="1"/>
  <c r="B9" i="31"/>
  <c r="S24" i="20" s="1"/>
  <c r="T24" i="20" s="1"/>
  <c r="L8" i="31"/>
  <c r="J8" i="31"/>
  <c r="K8" i="31" s="1"/>
  <c r="I8" i="31"/>
  <c r="B8" i="31"/>
  <c r="J7" i="31"/>
  <c r="K7" i="31" s="1"/>
  <c r="I7" i="31"/>
  <c r="B7" i="31"/>
  <c r="S9" i="20" s="1"/>
  <c r="J6" i="31"/>
  <c r="K6" i="31" s="1"/>
  <c r="I6" i="3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K226" i="30"/>
  <c r="J226" i="30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K188" i="30"/>
  <c r="J188" i="30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M123" i="30"/>
  <c r="J123" i="30"/>
  <c r="K123" i="30" s="1"/>
  <c r="I123" i="30"/>
  <c r="J122" i="30"/>
  <c r="K122" i="30" s="1"/>
  <c r="I122" i="30"/>
  <c r="M122" i="30" s="1"/>
  <c r="M121" i="30"/>
  <c r="J121" i="30"/>
  <c r="K121" i="30" s="1"/>
  <c r="I121" i="30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M107" i="30"/>
  <c r="J107" i="30"/>
  <c r="K107" i="30" s="1"/>
  <c r="I107" i="30"/>
  <c r="J106" i="30"/>
  <c r="K106" i="30" s="1"/>
  <c r="I106" i="30"/>
  <c r="M106" i="30" s="1"/>
  <c r="M105" i="30"/>
  <c r="J105" i="30"/>
  <c r="K105" i="30" s="1"/>
  <c r="I105" i="30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J91" i="30"/>
  <c r="K91" i="30" s="1"/>
  <c r="I91" i="30"/>
  <c r="J90" i="30"/>
  <c r="K90" i="30" s="1"/>
  <c r="I90" i="30"/>
  <c r="M90" i="30" s="1"/>
  <c r="M89" i="30"/>
  <c r="J89" i="30"/>
  <c r="K89" i="30" s="1"/>
  <c r="I89" i="30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J75" i="30"/>
  <c r="K75" i="30" s="1"/>
  <c r="I75" i="30"/>
  <c r="J74" i="30"/>
  <c r="K74" i="30" s="1"/>
  <c r="I74" i="30"/>
  <c r="M74" i="30" s="1"/>
  <c r="M73" i="30"/>
  <c r="J73" i="30"/>
  <c r="K73" i="30" s="1"/>
  <c r="I73" i="30"/>
  <c r="J72" i="30"/>
  <c r="K72" i="30" s="1"/>
  <c r="I72" i="30"/>
  <c r="M72" i="30" s="1"/>
  <c r="M71" i="30"/>
  <c r="J71" i="30"/>
  <c r="K71" i="30" s="1"/>
  <c r="I71" i="30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K63" i="30"/>
  <c r="J63" i="30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M60" i="30"/>
  <c r="J60" i="30"/>
  <c r="K60" i="30" s="1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M57" i="30"/>
  <c r="J57" i="30"/>
  <c r="K57" i="30" s="1"/>
  <c r="I57" i="30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K50" i="30"/>
  <c r="J50" i="30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K47" i="30"/>
  <c r="J47" i="30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M43" i="30"/>
  <c r="J43" i="30"/>
  <c r="K43" i="30" s="1"/>
  <c r="I43" i="30"/>
  <c r="B43" i="30"/>
  <c r="J42" i="30"/>
  <c r="K42" i="30" s="1"/>
  <c r="I42" i="30"/>
  <c r="M42" i="30" s="1"/>
  <c r="B42" i="30"/>
  <c r="J41" i="30"/>
  <c r="K41" i="30" s="1"/>
  <c r="I41" i="30"/>
  <c r="M41" i="30" s="1"/>
  <c r="B41" i="30"/>
  <c r="M40" i="30"/>
  <c r="J40" i="30"/>
  <c r="K40" i="30" s="1"/>
  <c r="I40" i="30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K36" i="30"/>
  <c r="J36" i="30"/>
  <c r="I36" i="30"/>
  <c r="M36" i="30" s="1"/>
  <c r="A36" i="30" s="1"/>
  <c r="B36" i="30"/>
  <c r="K35" i="30"/>
  <c r="J35" i="30"/>
  <c r="I35" i="30"/>
  <c r="M35" i="30" s="1"/>
  <c r="A35" i="30" s="1"/>
  <c r="B35" i="30"/>
  <c r="M34" i="30"/>
  <c r="A34" i="30" s="1"/>
  <c r="J34" i="30"/>
  <c r="K34" i="30" s="1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J26" i="30"/>
  <c r="K26" i="30" s="1"/>
  <c r="I26" i="30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K23" i="30"/>
  <c r="J23" i="30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K10" i="30"/>
  <c r="J10" i="30"/>
  <c r="I10" i="30"/>
  <c r="M10" i="30" s="1"/>
  <c r="A10" i="30" s="1"/>
  <c r="B10" i="30"/>
  <c r="Q19" i="20" s="1"/>
  <c r="R19" i="20" s="1"/>
  <c r="J9" i="30"/>
  <c r="K9" i="30" s="1"/>
  <c r="I9" i="30"/>
  <c r="J8" i="30"/>
  <c r="K8" i="30" s="1"/>
  <c r="I8" i="30"/>
  <c r="K7" i="30"/>
  <c r="I7" i="30"/>
  <c r="K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M230" i="29"/>
  <c r="J230" i="29"/>
  <c r="K230" i="29" s="1"/>
  <c r="I230" i="29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M214" i="29"/>
  <c r="J214" i="29"/>
  <c r="K214" i="29" s="1"/>
  <c r="I214" i="29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M204" i="29"/>
  <c r="K204" i="29"/>
  <c r="J204" i="29"/>
  <c r="I204" i="29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K188" i="29"/>
  <c r="J188" i="29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M182" i="29"/>
  <c r="J182" i="29"/>
  <c r="K182" i="29" s="1"/>
  <c r="I182" i="29"/>
  <c r="J181" i="29"/>
  <c r="K181" i="29" s="1"/>
  <c r="I181" i="29"/>
  <c r="M181" i="29" s="1"/>
  <c r="J180" i="29"/>
  <c r="K180" i="29" s="1"/>
  <c r="I180" i="29"/>
  <c r="M180" i="29" s="1"/>
  <c r="M179" i="29"/>
  <c r="J179" i="29"/>
  <c r="K179" i="29" s="1"/>
  <c r="I179" i="29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M164" i="29"/>
  <c r="J164" i="29"/>
  <c r="K164" i="29" s="1"/>
  <c r="I164" i="29"/>
  <c r="J163" i="29"/>
  <c r="K163" i="29" s="1"/>
  <c r="I163" i="29"/>
  <c r="M163" i="29" s="1"/>
  <c r="J162" i="29"/>
  <c r="K162" i="29" s="1"/>
  <c r="I162" i="29"/>
  <c r="M162" i="29" s="1"/>
  <c r="M161" i="29"/>
  <c r="J161" i="29"/>
  <c r="K161" i="29" s="1"/>
  <c r="I161" i="29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M147" i="29"/>
  <c r="J147" i="29"/>
  <c r="K147" i="29" s="1"/>
  <c r="I147" i="29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K119" i="29"/>
  <c r="J119" i="29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K109" i="29"/>
  <c r="J109" i="29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K71" i="29"/>
  <c r="J71" i="29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M35" i="29"/>
  <c r="A35" i="29" s="1"/>
  <c r="J35" i="29"/>
  <c r="K35" i="29" s="1"/>
  <c r="I35" i="29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AI16" i="29" s="1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O27" i="20" s="1"/>
  <c r="L7" i="29"/>
  <c r="J7" i="29"/>
  <c r="K7" i="29" s="1"/>
  <c r="I7" i="29"/>
  <c r="M7" i="29" s="1"/>
  <c r="A7" i="29" s="1"/>
  <c r="K6" i="29"/>
  <c r="I6" i="29"/>
  <c r="K2" i="29"/>
  <c r="L6" i="29" s="1"/>
  <c r="B17" i="17"/>
  <c r="B16" i="17"/>
  <c r="B15" i="17"/>
  <c r="B14" i="17"/>
  <c r="B13" i="17"/>
  <c r="B12" i="17"/>
  <c r="B11" i="17"/>
  <c r="B10" i="17"/>
  <c r="K28" i="20" s="1"/>
  <c r="B9" i="17"/>
  <c r="B8" i="17"/>
  <c r="B7" i="17"/>
  <c r="B6" i="17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12" i="14"/>
  <c r="B11" i="14"/>
  <c r="B10" i="14"/>
  <c r="B9" i="14"/>
  <c r="B8" i="14"/>
  <c r="B7" i="14"/>
  <c r="B6" i="14"/>
  <c r="B16" i="14"/>
  <c r="B15" i="14"/>
  <c r="B13" i="14"/>
  <c r="A17" i="14"/>
  <c r="A16" i="14"/>
  <c r="A15" i="14"/>
  <c r="A13" i="14"/>
  <c r="A12" i="14"/>
  <c r="A11" i="14"/>
  <c r="A10" i="14"/>
  <c r="A9" i="14"/>
  <c r="A8" i="14"/>
  <c r="A7" i="14"/>
  <c r="AI14" i="14"/>
  <c r="J14" i="14"/>
  <c r="K14" i="14" s="1"/>
  <c r="I14" i="14"/>
  <c r="M14" i="14" s="1"/>
  <c r="I6" i="19"/>
  <c r="I6" i="18"/>
  <c r="I6" i="17"/>
  <c r="I6" i="16"/>
  <c r="I6" i="15"/>
  <c r="I6" i="14"/>
  <c r="I28" i="20"/>
  <c r="M27" i="20"/>
  <c r="I26" i="20"/>
  <c r="I24" i="20"/>
  <c r="I22" i="20"/>
  <c r="U20" i="20"/>
  <c r="I20" i="20"/>
  <c r="I18" i="20"/>
  <c r="U10" i="20"/>
  <c r="M10" i="20"/>
  <c r="K10" i="20"/>
  <c r="U11" i="20"/>
  <c r="M11" i="20"/>
  <c r="K11" i="20"/>
  <c r="I11" i="20"/>
  <c r="G11" i="20"/>
  <c r="G17" i="20"/>
  <c r="E17" i="20"/>
  <c r="U13" i="20"/>
  <c r="M13" i="20"/>
  <c r="K13" i="20"/>
  <c r="I13" i="20"/>
  <c r="G13" i="20"/>
  <c r="E13" i="20"/>
  <c r="U9" i="20"/>
  <c r="M9" i="20"/>
  <c r="K9" i="20"/>
  <c r="I9" i="20"/>
  <c r="G9" i="20"/>
  <c r="E9" i="20"/>
  <c r="G16" i="20"/>
  <c r="E16" i="20"/>
  <c r="K14" i="20"/>
  <c r="I14" i="20"/>
  <c r="G14" i="20"/>
  <c r="U8" i="20"/>
  <c r="M8" i="20"/>
  <c r="K8" i="20"/>
  <c r="I8" i="20"/>
  <c r="G8" i="20"/>
  <c r="E8" i="20"/>
  <c r="M15" i="20"/>
  <c r="I15" i="20"/>
  <c r="G15" i="20"/>
  <c r="U7" i="20"/>
  <c r="M7" i="20"/>
  <c r="K7" i="20"/>
  <c r="I7" i="20"/>
  <c r="G7" i="20"/>
  <c r="E7" i="20"/>
  <c r="U6" i="20"/>
  <c r="M6" i="20"/>
  <c r="K6" i="20"/>
  <c r="G6" i="20"/>
  <c r="E6" i="20"/>
  <c r="U12" i="20"/>
  <c r="K12" i="20"/>
  <c r="I12" i="20"/>
  <c r="G12" i="20"/>
  <c r="J305" i="28"/>
  <c r="K305" i="28" s="1"/>
  <c r="I305" i="28"/>
  <c r="J304" i="28"/>
  <c r="K304" i="28" s="1"/>
  <c r="I304" i="28"/>
  <c r="J303" i="28"/>
  <c r="K303" i="28" s="1"/>
  <c r="I303" i="28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M295" i="28" s="1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M288" i="28" s="1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N263" i="28" s="1"/>
  <c r="A263" i="28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N256" i="28" s="1"/>
  <c r="A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M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N248" i="28" s="1"/>
  <c r="A248" i="28" s="1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N224" i="28" s="1"/>
  <c r="A224" i="28" s="1"/>
  <c r="B224" i="28"/>
  <c r="J223" i="28"/>
  <c r="K223" i="28" s="1"/>
  <c r="I223" i="28"/>
  <c r="B223" i="28"/>
  <c r="J222" i="28"/>
  <c r="K222" i="28" s="1"/>
  <c r="I222" i="28"/>
  <c r="N222" i="28" s="1"/>
  <c r="A222" i="28" s="1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M214" i="28" s="1"/>
  <c r="B214" i="28"/>
  <c r="J213" i="28"/>
  <c r="K213" i="28" s="1"/>
  <c r="I213" i="28"/>
  <c r="M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N206" i="28" s="1"/>
  <c r="A206" i="28" s="1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N195" i="28" s="1"/>
  <c r="A195" i="28" s="1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M174" i="28" s="1"/>
  <c r="B174" i="28"/>
  <c r="J173" i="28"/>
  <c r="K173" i="28" s="1"/>
  <c r="I173" i="28"/>
  <c r="M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M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N155" i="28" s="1"/>
  <c r="A155" i="28" s="1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M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N134" i="28" s="1"/>
  <c r="A134" i="28" s="1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N131" i="28" s="1"/>
  <c r="A131" i="28" s="1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M121" i="28" s="1"/>
  <c r="B121" i="28"/>
  <c r="J120" i="28"/>
  <c r="K120" i="28" s="1"/>
  <c r="I120" i="28"/>
  <c r="M120" i="28" s="1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N102" i="28" s="1"/>
  <c r="A102" i="28" s="1"/>
  <c r="B102" i="28"/>
  <c r="J101" i="28"/>
  <c r="K101" i="28" s="1"/>
  <c r="I101" i="28"/>
  <c r="B101" i="28"/>
  <c r="J100" i="28"/>
  <c r="K100" i="28" s="1"/>
  <c r="I100" i="28"/>
  <c r="M100" i="28" s="1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N79" i="28" s="1"/>
  <c r="A79" i="28" s="1"/>
  <c r="B79" i="28"/>
  <c r="J78" i="28"/>
  <c r="K78" i="28" s="1"/>
  <c r="I78" i="28"/>
  <c r="B78" i="28"/>
  <c r="J77" i="28"/>
  <c r="K77" i="28" s="1"/>
  <c r="I77" i="28"/>
  <c r="B77" i="28"/>
  <c r="J76" i="28"/>
  <c r="K76" i="28" s="1"/>
  <c r="I76" i="28"/>
  <c r="M76" i="28" s="1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N71" i="28" s="1"/>
  <c r="A71" i="28" s="1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M61" i="28" s="1"/>
  <c r="N61" i="28" s="1"/>
  <c r="A61" i="28" s="1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M51" i="28" s="1"/>
  <c r="N51" i="28" s="1"/>
  <c r="A51" i="28" s="1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M36" i="28" s="1"/>
  <c r="J35" i="28"/>
  <c r="K35" i="28" s="1"/>
  <c r="I35" i="28"/>
  <c r="J34" i="28"/>
  <c r="K34" i="28" s="1"/>
  <c r="I34" i="28"/>
  <c r="J33" i="28"/>
  <c r="K33" i="28" s="1"/>
  <c r="I33" i="28"/>
  <c r="M33" i="28" s="1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M20" i="28" s="1"/>
  <c r="J19" i="28"/>
  <c r="K19" i="28" s="1"/>
  <c r="I19" i="28"/>
  <c r="M19" i="28" s="1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M15" i="28" s="1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/>
  <c r="J74" i="27"/>
  <c r="K74" i="27" s="1"/>
  <c r="I74" i="27"/>
  <c r="M74" i="27" s="1"/>
  <c r="A74" i="27" s="1"/>
  <c r="J73" i="27"/>
  <c r="K73" i="27" s="1"/>
  <c r="I73" i="27"/>
  <c r="M73" i="27" s="1"/>
  <c r="A73" i="27"/>
  <c r="J72" i="27"/>
  <c r="K72" i="27" s="1"/>
  <c r="I72" i="27"/>
  <c r="M72" i="27" s="1"/>
  <c r="A72" i="27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B45" i="27"/>
  <c r="A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B33" i="27"/>
  <c r="A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B26" i="27"/>
  <c r="A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B20" i="27"/>
  <c r="A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B16" i="27"/>
  <c r="A16" i="27"/>
  <c r="J15" i="27"/>
  <c r="K15" i="27" s="1"/>
  <c r="I15" i="27"/>
  <c r="B15" i="27"/>
  <c r="AI14" i="27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B11" i="27"/>
  <c r="A11" i="27"/>
  <c r="J10" i="27"/>
  <c r="K10" i="27" s="1"/>
  <c r="I10" i="27"/>
  <c r="B10" i="27"/>
  <c r="J9" i="27"/>
  <c r="K9" i="27" s="1"/>
  <c r="I9" i="27"/>
  <c r="M9" i="27" s="1"/>
  <c r="A9" i="27" s="1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9" i="27" s="1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M298" i="26"/>
  <c r="J298" i="26"/>
  <c r="K298" i="26" s="1"/>
  <c r="I298" i="26"/>
  <c r="K297" i="26"/>
  <c r="J297" i="26"/>
  <c r="I297" i="26"/>
  <c r="M297" i="26" s="1"/>
  <c r="M296" i="26"/>
  <c r="K296" i="26"/>
  <c r="J296" i="26"/>
  <c r="I296" i="26"/>
  <c r="J295" i="26"/>
  <c r="K295" i="26" s="1"/>
  <c r="I295" i="26"/>
  <c r="M295" i="26" s="1"/>
  <c r="M294" i="26"/>
  <c r="J294" i="26"/>
  <c r="K294" i="26" s="1"/>
  <c r="I294" i="26"/>
  <c r="J293" i="26"/>
  <c r="K293" i="26" s="1"/>
  <c r="I293" i="26"/>
  <c r="M293" i="26" s="1"/>
  <c r="K292" i="26"/>
  <c r="J292" i="26"/>
  <c r="I292" i="26"/>
  <c r="M292" i="26" s="1"/>
  <c r="J291" i="26"/>
  <c r="K291" i="26" s="1"/>
  <c r="I291" i="26"/>
  <c r="M291" i="26" s="1"/>
  <c r="J290" i="26"/>
  <c r="K290" i="26" s="1"/>
  <c r="I290" i="26"/>
  <c r="M290" i="26" s="1"/>
  <c r="K289" i="26"/>
  <c r="J289" i="26"/>
  <c r="I289" i="26"/>
  <c r="M289" i="26" s="1"/>
  <c r="K288" i="26"/>
  <c r="J288" i="26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M282" i="26"/>
  <c r="J282" i="26"/>
  <c r="K282" i="26" s="1"/>
  <c r="I282" i="26"/>
  <c r="K281" i="26"/>
  <c r="J281" i="26"/>
  <c r="I281" i="26"/>
  <c r="M281" i="26" s="1"/>
  <c r="M280" i="26"/>
  <c r="K280" i="26"/>
  <c r="J280" i="26"/>
  <c r="I280" i="26"/>
  <c r="J279" i="26"/>
  <c r="K279" i="26" s="1"/>
  <c r="I279" i="26"/>
  <c r="M279" i="26" s="1"/>
  <c r="M278" i="26"/>
  <c r="J278" i="26"/>
  <c r="K278" i="26" s="1"/>
  <c r="I278" i="26"/>
  <c r="J277" i="26"/>
  <c r="K277" i="26" s="1"/>
  <c r="I277" i="26"/>
  <c r="M277" i="26" s="1"/>
  <c r="K276" i="26"/>
  <c r="J276" i="26"/>
  <c r="I276" i="26"/>
  <c r="M276" i="26" s="1"/>
  <c r="J275" i="26"/>
  <c r="K275" i="26" s="1"/>
  <c r="I275" i="26"/>
  <c r="M275" i="26" s="1"/>
  <c r="M274" i="26"/>
  <c r="J274" i="26"/>
  <c r="K274" i="26" s="1"/>
  <c r="I274" i="26"/>
  <c r="K273" i="26"/>
  <c r="J273" i="26"/>
  <c r="I273" i="26"/>
  <c r="M273" i="26" s="1"/>
  <c r="K272" i="26"/>
  <c r="J272" i="26"/>
  <c r="I272" i="26"/>
  <c r="M272" i="26" s="1"/>
  <c r="K271" i="26"/>
  <c r="J271" i="26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M266" i="26"/>
  <c r="J266" i="26"/>
  <c r="K266" i="26" s="1"/>
  <c r="I266" i="26"/>
  <c r="K265" i="26"/>
  <c r="J265" i="26"/>
  <c r="I265" i="26"/>
  <c r="M265" i="26" s="1"/>
  <c r="M264" i="26"/>
  <c r="K264" i="26"/>
  <c r="J264" i="26"/>
  <c r="I264" i="26"/>
  <c r="J263" i="26"/>
  <c r="K263" i="26" s="1"/>
  <c r="I263" i="26"/>
  <c r="M263" i="26" s="1"/>
  <c r="M262" i="26"/>
  <c r="J262" i="26"/>
  <c r="K262" i="26" s="1"/>
  <c r="I262" i="26"/>
  <c r="J261" i="26"/>
  <c r="K261" i="26" s="1"/>
  <c r="I261" i="26"/>
  <c r="M261" i="26" s="1"/>
  <c r="K260" i="26"/>
  <c r="J260" i="26"/>
  <c r="I260" i="26"/>
  <c r="M260" i="26" s="1"/>
  <c r="J259" i="26"/>
  <c r="K259" i="26" s="1"/>
  <c r="I259" i="26"/>
  <c r="M259" i="26" s="1"/>
  <c r="J258" i="26"/>
  <c r="K258" i="26" s="1"/>
  <c r="I258" i="26"/>
  <c r="M258" i="26" s="1"/>
  <c r="K257" i="26"/>
  <c r="J257" i="26"/>
  <c r="I257" i="26"/>
  <c r="M257" i="26" s="1"/>
  <c r="K256" i="26"/>
  <c r="J256" i="26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M250" i="26"/>
  <c r="J250" i="26"/>
  <c r="K250" i="26" s="1"/>
  <c r="I250" i="26"/>
  <c r="K249" i="26"/>
  <c r="J249" i="26"/>
  <c r="I249" i="26"/>
  <c r="M249" i="26" s="1"/>
  <c r="M248" i="26"/>
  <c r="K248" i="26"/>
  <c r="J248" i="26"/>
  <c r="I248" i="26"/>
  <c r="J247" i="26"/>
  <c r="K247" i="26" s="1"/>
  <c r="I247" i="26"/>
  <c r="M247" i="26" s="1"/>
  <c r="M246" i="26"/>
  <c r="J246" i="26"/>
  <c r="K246" i="26" s="1"/>
  <c r="I246" i="26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M242" i="26"/>
  <c r="J242" i="26"/>
  <c r="K242" i="26" s="1"/>
  <c r="I242" i="26"/>
  <c r="K241" i="26"/>
  <c r="J241" i="26"/>
  <c r="I241" i="26"/>
  <c r="M241" i="26" s="1"/>
  <c r="K240" i="26"/>
  <c r="J240" i="26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K233" i="26"/>
  <c r="J233" i="26"/>
  <c r="I233" i="26"/>
  <c r="M233" i="26" s="1"/>
  <c r="M232" i="26"/>
  <c r="K232" i="26"/>
  <c r="J232" i="26"/>
  <c r="I232" i="26"/>
  <c r="J231" i="26"/>
  <c r="K231" i="26" s="1"/>
  <c r="I231" i="26"/>
  <c r="M231" i="26" s="1"/>
  <c r="M230" i="26"/>
  <c r="J230" i="26"/>
  <c r="K230" i="26" s="1"/>
  <c r="I230" i="26"/>
  <c r="J229" i="26"/>
  <c r="K229" i="26" s="1"/>
  <c r="I229" i="26"/>
  <c r="M229" i="26" s="1"/>
  <c r="K228" i="26"/>
  <c r="J228" i="26"/>
  <c r="I228" i="26"/>
  <c r="M228" i="26" s="1"/>
  <c r="J227" i="26"/>
  <c r="K227" i="26" s="1"/>
  <c r="I227" i="26"/>
  <c r="M227" i="26" s="1"/>
  <c r="J226" i="26"/>
  <c r="K226" i="26" s="1"/>
  <c r="I226" i="26"/>
  <c r="M226" i="26" s="1"/>
  <c r="K225" i="26"/>
  <c r="J225" i="26"/>
  <c r="I225" i="26"/>
  <c r="M225" i="26" s="1"/>
  <c r="K224" i="26"/>
  <c r="J224" i="26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M218" i="26"/>
  <c r="J218" i="26"/>
  <c r="K218" i="26" s="1"/>
  <c r="I218" i="26"/>
  <c r="K217" i="26"/>
  <c r="J217" i="26"/>
  <c r="I217" i="26"/>
  <c r="M217" i="26" s="1"/>
  <c r="M216" i="26"/>
  <c r="K216" i="26"/>
  <c r="J216" i="26"/>
  <c r="I216" i="26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K212" i="26"/>
  <c r="J212" i="26"/>
  <c r="I212" i="26"/>
  <c r="M212" i="26" s="1"/>
  <c r="J211" i="26"/>
  <c r="K211" i="26" s="1"/>
  <c r="I211" i="26"/>
  <c r="M211" i="26" s="1"/>
  <c r="M210" i="26"/>
  <c r="J210" i="26"/>
  <c r="K210" i="26" s="1"/>
  <c r="I210" i="26"/>
  <c r="K209" i="26"/>
  <c r="J209" i="26"/>
  <c r="I209" i="26"/>
  <c r="M209" i="26" s="1"/>
  <c r="K208" i="26"/>
  <c r="J208" i="26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K201" i="26"/>
  <c r="J201" i="26"/>
  <c r="I201" i="26"/>
  <c r="M201" i="26" s="1"/>
  <c r="M200" i="26"/>
  <c r="K200" i="26"/>
  <c r="J200" i="26"/>
  <c r="I200" i="26"/>
  <c r="J199" i="26"/>
  <c r="K199" i="26" s="1"/>
  <c r="I199" i="26"/>
  <c r="M199" i="26" s="1"/>
  <c r="M198" i="26"/>
  <c r="J198" i="26"/>
  <c r="K198" i="26" s="1"/>
  <c r="I198" i="26"/>
  <c r="J197" i="26"/>
  <c r="K197" i="26" s="1"/>
  <c r="I197" i="26"/>
  <c r="M197" i="26" s="1"/>
  <c r="K196" i="26"/>
  <c r="J196" i="26"/>
  <c r="I196" i="26"/>
  <c r="M196" i="26" s="1"/>
  <c r="J195" i="26"/>
  <c r="K195" i="26" s="1"/>
  <c r="I195" i="26"/>
  <c r="M195" i="26" s="1"/>
  <c r="J194" i="26"/>
  <c r="K194" i="26" s="1"/>
  <c r="I194" i="26"/>
  <c r="M194" i="26" s="1"/>
  <c r="K193" i="26"/>
  <c r="J193" i="26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K185" i="26"/>
  <c r="J185" i="26"/>
  <c r="I185" i="26"/>
  <c r="M185" i="26" s="1"/>
  <c r="M184" i="26"/>
  <c r="K184" i="26"/>
  <c r="J184" i="26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K180" i="26"/>
  <c r="J180" i="26"/>
  <c r="I180" i="26"/>
  <c r="M180" i="26" s="1"/>
  <c r="J179" i="26"/>
  <c r="K179" i="26" s="1"/>
  <c r="I179" i="26"/>
  <c r="M179" i="26" s="1"/>
  <c r="M178" i="26"/>
  <c r="J178" i="26"/>
  <c r="K178" i="26" s="1"/>
  <c r="I178" i="26"/>
  <c r="K177" i="26"/>
  <c r="J177" i="26"/>
  <c r="I177" i="26"/>
  <c r="M177" i="26" s="1"/>
  <c r="J176" i="26"/>
  <c r="K176" i="26" s="1"/>
  <c r="I176" i="26"/>
  <c r="M176" i="26" s="1"/>
  <c r="K175" i="26"/>
  <c r="J175" i="26"/>
  <c r="I175" i="26"/>
  <c r="M175" i="26" s="1"/>
  <c r="J174" i="26"/>
  <c r="K174" i="26" s="1"/>
  <c r="I174" i="26"/>
  <c r="M174" i="26" s="1"/>
  <c r="K173" i="26"/>
  <c r="J173" i="26"/>
  <c r="I173" i="26"/>
  <c r="M173" i="26" s="1"/>
  <c r="J172" i="26"/>
  <c r="K172" i="26" s="1"/>
  <c r="I172" i="26"/>
  <c r="M172" i="26" s="1"/>
  <c r="K171" i="26"/>
  <c r="J171" i="26"/>
  <c r="I171" i="26"/>
  <c r="M171" i="26" s="1"/>
  <c r="M170" i="26"/>
  <c r="J170" i="26"/>
  <c r="K170" i="26" s="1"/>
  <c r="I170" i="26"/>
  <c r="K169" i="26"/>
  <c r="J169" i="26"/>
  <c r="I169" i="26"/>
  <c r="M169" i="26" s="1"/>
  <c r="M168" i="26"/>
  <c r="K168" i="26"/>
  <c r="J168" i="26"/>
  <c r="I168" i="26"/>
  <c r="J167" i="26"/>
  <c r="K167" i="26" s="1"/>
  <c r="I167" i="26"/>
  <c r="M167" i="26" s="1"/>
  <c r="M166" i="26"/>
  <c r="K166" i="26"/>
  <c r="J166" i="26"/>
  <c r="I166" i="26"/>
  <c r="J165" i="26"/>
  <c r="K165" i="26" s="1"/>
  <c r="I165" i="26"/>
  <c r="M165" i="26" s="1"/>
  <c r="M164" i="26"/>
  <c r="K164" i="26"/>
  <c r="J164" i="26"/>
  <c r="I164" i="26"/>
  <c r="J163" i="26"/>
  <c r="K163" i="26" s="1"/>
  <c r="I163" i="26"/>
  <c r="M163" i="26" s="1"/>
  <c r="M162" i="26"/>
  <c r="K162" i="26"/>
  <c r="J162" i="26"/>
  <c r="I162" i="26"/>
  <c r="K161" i="26"/>
  <c r="J161" i="26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M154" i="26"/>
  <c r="J154" i="26"/>
  <c r="K154" i="26" s="1"/>
  <c r="I154" i="26"/>
  <c r="J153" i="26"/>
  <c r="K153" i="26" s="1"/>
  <c r="I153" i="26"/>
  <c r="M153" i="26" s="1"/>
  <c r="M152" i="26"/>
  <c r="K152" i="26"/>
  <c r="J152" i="26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K146" i="26"/>
  <c r="J146" i="26"/>
  <c r="I146" i="26"/>
  <c r="M146" i="26" s="1"/>
  <c r="K145" i="26"/>
  <c r="J145" i="26"/>
  <c r="I145" i="26"/>
  <c r="M145" i="26" s="1"/>
  <c r="K144" i="26"/>
  <c r="J144" i="26"/>
  <c r="I144" i="26"/>
  <c r="M144" i="26" s="1"/>
  <c r="K143" i="26"/>
  <c r="J143" i="26"/>
  <c r="I143" i="26"/>
  <c r="M143" i="26" s="1"/>
  <c r="J142" i="26"/>
  <c r="K142" i="26" s="1"/>
  <c r="I142" i="26"/>
  <c r="M142" i="26" s="1"/>
  <c r="K141" i="26"/>
  <c r="J141" i="26"/>
  <c r="I141" i="26"/>
  <c r="M141" i="26" s="1"/>
  <c r="J140" i="26"/>
  <c r="K140" i="26" s="1"/>
  <c r="I140" i="26"/>
  <c r="M140" i="26" s="1"/>
  <c r="K139" i="26"/>
  <c r="J139" i="26"/>
  <c r="I139" i="26"/>
  <c r="M139" i="26" s="1"/>
  <c r="M138" i="26"/>
  <c r="J138" i="26"/>
  <c r="K138" i="26" s="1"/>
  <c r="I138" i="26"/>
  <c r="K137" i="26"/>
  <c r="J137" i="26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M132" i="26"/>
  <c r="K132" i="26"/>
  <c r="J132" i="26"/>
  <c r="I132" i="26"/>
  <c r="J131" i="26"/>
  <c r="K131" i="26" s="1"/>
  <c r="I131" i="26"/>
  <c r="M131" i="26" s="1"/>
  <c r="J130" i="26"/>
  <c r="K130" i="26" s="1"/>
  <c r="I130" i="26"/>
  <c r="M130" i="26" s="1"/>
  <c r="K129" i="26"/>
  <c r="J129" i="26"/>
  <c r="I129" i="26"/>
  <c r="M129" i="26" s="1"/>
  <c r="K128" i="26"/>
  <c r="J128" i="26"/>
  <c r="I128" i="26"/>
  <c r="M128" i="26" s="1"/>
  <c r="J127" i="26"/>
  <c r="K127" i="26" s="1"/>
  <c r="I127" i="26"/>
  <c r="M127" i="26" s="1"/>
  <c r="J126" i="26"/>
  <c r="K126" i="26" s="1"/>
  <c r="I126" i="26"/>
  <c r="M126" i="26" s="1"/>
  <c r="K125" i="26"/>
  <c r="J125" i="26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K120" i="26"/>
  <c r="J120" i="26"/>
  <c r="I120" i="26"/>
  <c r="J119" i="26"/>
  <c r="K119" i="26" s="1"/>
  <c r="I119" i="26"/>
  <c r="M119" i="26" s="1"/>
  <c r="M118" i="26"/>
  <c r="J118" i="26"/>
  <c r="K118" i="26" s="1"/>
  <c r="I118" i="26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K114" i="26"/>
  <c r="J114" i="26"/>
  <c r="I114" i="26"/>
  <c r="M114" i="26" s="1"/>
  <c r="K113" i="26"/>
  <c r="J113" i="26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K107" i="26"/>
  <c r="J107" i="26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K104" i="26"/>
  <c r="J104" i="26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K98" i="26"/>
  <c r="J98" i="26"/>
  <c r="I98" i="26"/>
  <c r="M98" i="26" s="1"/>
  <c r="K97" i="26"/>
  <c r="J97" i="26"/>
  <c r="I97" i="26"/>
  <c r="M97" i="26" s="1"/>
  <c r="K96" i="26"/>
  <c r="J96" i="26"/>
  <c r="I96" i="26"/>
  <c r="M96" i="26" s="1"/>
  <c r="K95" i="26"/>
  <c r="J95" i="26"/>
  <c r="I95" i="26"/>
  <c r="M95" i="26" s="1"/>
  <c r="J94" i="26"/>
  <c r="K94" i="26" s="1"/>
  <c r="I94" i="26"/>
  <c r="M94" i="26" s="1"/>
  <c r="K93" i="26"/>
  <c r="J93" i="26"/>
  <c r="I93" i="26"/>
  <c r="M93" i="26" s="1"/>
  <c r="J92" i="26"/>
  <c r="K92" i="26" s="1"/>
  <c r="I92" i="26"/>
  <c r="M92" i="26" s="1"/>
  <c r="K91" i="26"/>
  <c r="J91" i="26"/>
  <c r="I91" i="26"/>
  <c r="M91" i="26" s="1"/>
  <c r="M90" i="26"/>
  <c r="J90" i="26"/>
  <c r="K90" i="26" s="1"/>
  <c r="I90" i="26"/>
  <c r="K89" i="26"/>
  <c r="J89" i="26"/>
  <c r="I89" i="26"/>
  <c r="M89" i="26" s="1"/>
  <c r="M88" i="26"/>
  <c r="K88" i="26"/>
  <c r="J88" i="26"/>
  <c r="I88" i="26"/>
  <c r="J87" i="26"/>
  <c r="K87" i="26" s="1"/>
  <c r="I87" i="26"/>
  <c r="M87" i="26" s="1"/>
  <c r="M86" i="26"/>
  <c r="K86" i="26"/>
  <c r="J86" i="26"/>
  <c r="I86" i="26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M82" i="26"/>
  <c r="J82" i="26"/>
  <c r="K82" i="26" s="1"/>
  <c r="I82" i="26"/>
  <c r="K81" i="26"/>
  <c r="J81" i="26"/>
  <c r="I81" i="26"/>
  <c r="M81" i="26" s="1"/>
  <c r="J80" i="26"/>
  <c r="K80" i="26" s="1"/>
  <c r="I80" i="26"/>
  <c r="M80" i="26" s="1"/>
  <c r="K79" i="26"/>
  <c r="J79" i="26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K73" i="26"/>
  <c r="J73" i="26"/>
  <c r="I73" i="26"/>
  <c r="M73" i="26" s="1"/>
  <c r="M72" i="26"/>
  <c r="K72" i="26"/>
  <c r="J72" i="26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K68" i="26"/>
  <c r="J68" i="26"/>
  <c r="I68" i="26"/>
  <c r="M68" i="26" s="1"/>
  <c r="J67" i="26"/>
  <c r="K67" i="26" s="1"/>
  <c r="I67" i="26"/>
  <c r="M67" i="26" s="1"/>
  <c r="M66" i="26"/>
  <c r="K66" i="26"/>
  <c r="J66" i="26"/>
  <c r="I66" i="26"/>
  <c r="K65" i="26"/>
  <c r="J65" i="26"/>
  <c r="I65" i="26"/>
  <c r="M65" i="26" s="1"/>
  <c r="B65" i="26"/>
  <c r="M64" i="26"/>
  <c r="K64" i="26"/>
  <c r="J64" i="26"/>
  <c r="I64" i="26"/>
  <c r="B64" i="26"/>
  <c r="J63" i="26"/>
  <c r="K63" i="26" s="1"/>
  <c r="I63" i="26"/>
  <c r="M63" i="26" s="1"/>
  <c r="B63" i="26"/>
  <c r="M62" i="26"/>
  <c r="J62" i="26"/>
  <c r="K62" i="26" s="1"/>
  <c r="I62" i="26"/>
  <c r="B62" i="26"/>
  <c r="J61" i="26"/>
  <c r="K61" i="26" s="1"/>
  <c r="I61" i="26"/>
  <c r="M61" i="26" s="1"/>
  <c r="B61" i="26"/>
  <c r="M60" i="26"/>
  <c r="K60" i="26"/>
  <c r="J60" i="26"/>
  <c r="I60" i="26"/>
  <c r="B60" i="26"/>
  <c r="K59" i="26"/>
  <c r="J59" i="26"/>
  <c r="I59" i="26"/>
  <c r="M59" i="26" s="1"/>
  <c r="B59" i="26"/>
  <c r="J58" i="26"/>
  <c r="K58" i="26" s="1"/>
  <c r="I58" i="26"/>
  <c r="M58" i="26" s="1"/>
  <c r="B58" i="26"/>
  <c r="K57" i="26"/>
  <c r="J57" i="26"/>
  <c r="I57" i="26"/>
  <c r="M57" i="26" s="1"/>
  <c r="B57" i="26"/>
  <c r="M56" i="26"/>
  <c r="J56" i="26"/>
  <c r="K56" i="26" s="1"/>
  <c r="I56" i="26"/>
  <c r="B56" i="26"/>
  <c r="M55" i="26"/>
  <c r="K55" i="26"/>
  <c r="J55" i="26"/>
  <c r="I55" i="26"/>
  <c r="B55" i="26"/>
  <c r="M54" i="26"/>
  <c r="J54" i="26"/>
  <c r="K54" i="26" s="1"/>
  <c r="I54" i="26"/>
  <c r="B54" i="26"/>
  <c r="M53" i="26"/>
  <c r="J53" i="26"/>
  <c r="K53" i="26" s="1"/>
  <c r="I53" i="26"/>
  <c r="B53" i="26"/>
  <c r="M52" i="26"/>
  <c r="J52" i="26"/>
  <c r="K52" i="26" s="1"/>
  <c r="I52" i="26"/>
  <c r="B52" i="26"/>
  <c r="K51" i="26"/>
  <c r="J51" i="26"/>
  <c r="I51" i="26"/>
  <c r="M51" i="26" s="1"/>
  <c r="B51" i="26"/>
  <c r="M50" i="26"/>
  <c r="K50" i="26"/>
  <c r="J50" i="26"/>
  <c r="I50" i="26"/>
  <c r="B50" i="26"/>
  <c r="K49" i="26"/>
  <c r="J49" i="26"/>
  <c r="I49" i="26"/>
  <c r="M49" i="26" s="1"/>
  <c r="B49" i="26"/>
  <c r="M48" i="26"/>
  <c r="J48" i="26"/>
  <c r="K48" i="26" s="1"/>
  <c r="I48" i="26"/>
  <c r="B48" i="26"/>
  <c r="M47" i="26"/>
  <c r="J47" i="26"/>
  <c r="K47" i="26" s="1"/>
  <c r="I47" i="26"/>
  <c r="B47" i="26"/>
  <c r="T46" i="26"/>
  <c r="R46" i="26"/>
  <c r="U46" i="26" s="1"/>
  <c r="M46" i="26"/>
  <c r="K46" i="26"/>
  <c r="J46" i="26"/>
  <c r="I46" i="26"/>
  <c r="B46" i="26"/>
  <c r="J45" i="26"/>
  <c r="K45" i="26" s="1"/>
  <c r="I45" i="26"/>
  <c r="M45" i="26" s="1"/>
  <c r="B45" i="26"/>
  <c r="M44" i="26"/>
  <c r="K44" i="26"/>
  <c r="J44" i="26"/>
  <c r="I44" i="26"/>
  <c r="B44" i="26"/>
  <c r="K43" i="26"/>
  <c r="J43" i="26"/>
  <c r="I43" i="26"/>
  <c r="M43" i="26" s="1"/>
  <c r="B43" i="26"/>
  <c r="M42" i="26"/>
  <c r="K42" i="26"/>
  <c r="J42" i="26"/>
  <c r="I42" i="26"/>
  <c r="B42" i="26"/>
  <c r="J41" i="26"/>
  <c r="K41" i="26" s="1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K38" i="26"/>
  <c r="J38" i="26"/>
  <c r="I38" i="26"/>
  <c r="M38" i="26" s="1"/>
  <c r="B38" i="26"/>
  <c r="M37" i="26"/>
  <c r="A37" i="26" s="1"/>
  <c r="J37" i="26"/>
  <c r="K37" i="26" s="1"/>
  <c r="I37" i="26"/>
  <c r="B37" i="26"/>
  <c r="M36" i="26"/>
  <c r="A36" i="26" s="1"/>
  <c r="J36" i="26"/>
  <c r="K36" i="26" s="1"/>
  <c r="I36" i="26"/>
  <c r="B36" i="26"/>
  <c r="M35" i="26"/>
  <c r="A35" i="26" s="1"/>
  <c r="J35" i="26"/>
  <c r="K35" i="26" s="1"/>
  <c r="I35" i="26"/>
  <c r="B35" i="26"/>
  <c r="M34" i="26"/>
  <c r="A34" i="26" s="1"/>
  <c r="J34" i="26"/>
  <c r="K34" i="26" s="1"/>
  <c r="I34" i="26"/>
  <c r="B34" i="26"/>
  <c r="M33" i="26"/>
  <c r="A33" i="26" s="1"/>
  <c r="J33" i="26"/>
  <c r="K33" i="26" s="1"/>
  <c r="I33" i="26"/>
  <c r="B33" i="26"/>
  <c r="M32" i="26"/>
  <c r="A32" i="26" s="1"/>
  <c r="J32" i="26"/>
  <c r="K32" i="26" s="1"/>
  <c r="I32" i="26"/>
  <c r="B32" i="26"/>
  <c r="J31" i="26"/>
  <c r="K31" i="26" s="1"/>
  <c r="I31" i="26"/>
  <c r="M31" i="26" s="1"/>
  <c r="A31" i="26" s="1"/>
  <c r="B31" i="26"/>
  <c r="M30" i="26"/>
  <c r="A30" i="26" s="1"/>
  <c r="K30" i="26"/>
  <c r="J30" i="26"/>
  <c r="I30" i="26"/>
  <c r="B30" i="26"/>
  <c r="M29" i="26"/>
  <c r="A29" i="26" s="1"/>
  <c r="J29" i="26"/>
  <c r="K29" i="26" s="1"/>
  <c r="I29" i="26"/>
  <c r="B29" i="26"/>
  <c r="M28" i="26"/>
  <c r="J28" i="26"/>
  <c r="K28" i="26" s="1"/>
  <c r="I28" i="26"/>
  <c r="B28" i="26"/>
  <c r="A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M23" i="26" s="1"/>
  <c r="A23" i="26" s="1"/>
  <c r="B23" i="26"/>
  <c r="K22" i="26"/>
  <c r="J22" i="26"/>
  <c r="I22" i="26"/>
  <c r="M22" i="26" s="1"/>
  <c r="A22" i="26" s="1"/>
  <c r="B22" i="26"/>
  <c r="M21" i="26"/>
  <c r="A21" i="26" s="1"/>
  <c r="J21" i="26"/>
  <c r="K21" i="26" s="1"/>
  <c r="I21" i="26"/>
  <c r="B21" i="26"/>
  <c r="M20" i="26"/>
  <c r="A20" i="26" s="1"/>
  <c r="K20" i="26"/>
  <c r="J20" i="26"/>
  <c r="I20" i="26"/>
  <c r="B20" i="26"/>
  <c r="M19" i="26"/>
  <c r="A19" i="26" s="1"/>
  <c r="K19" i="26"/>
  <c r="J19" i="26"/>
  <c r="I19" i="26"/>
  <c r="B19" i="26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M16" i="26"/>
  <c r="A16" i="26" s="1"/>
  <c r="K16" i="26"/>
  <c r="J16" i="26"/>
  <c r="I16" i="26"/>
  <c r="B16" i="26"/>
  <c r="K15" i="26"/>
  <c r="J15" i="26"/>
  <c r="I15" i="26"/>
  <c r="M15" i="26" s="1"/>
  <c r="A15" i="26" s="1"/>
  <c r="B15" i="26"/>
  <c r="AI14" i="26"/>
  <c r="AI16" i="26" s="1"/>
  <c r="J14" i="26"/>
  <c r="K14" i="26" s="1"/>
  <c r="I14" i="26"/>
  <c r="M14" i="26" s="1"/>
  <c r="A14" i="26" s="1"/>
  <c r="B14" i="26"/>
  <c r="AI13" i="26"/>
  <c r="M13" i="26"/>
  <c r="A13" i="26" s="1"/>
  <c r="K13" i="26"/>
  <c r="J13" i="26"/>
  <c r="I13" i="26"/>
  <c r="B13" i="26"/>
  <c r="AI12" i="26"/>
  <c r="M12" i="26"/>
  <c r="A12" i="26" s="1"/>
  <c r="K12" i="26"/>
  <c r="J12" i="26"/>
  <c r="I12" i="26"/>
  <c r="B12" i="26"/>
  <c r="M11" i="26"/>
  <c r="J11" i="26"/>
  <c r="K11" i="26" s="1"/>
  <c r="I11" i="26"/>
  <c r="B11" i="26"/>
  <c r="A11" i="26"/>
  <c r="M10" i="26"/>
  <c r="J10" i="26"/>
  <c r="K10" i="26" s="1"/>
  <c r="I10" i="26"/>
  <c r="B10" i="26"/>
  <c r="A10" i="26"/>
  <c r="L9" i="26"/>
  <c r="J9" i="26"/>
  <c r="K9" i="26" s="1"/>
  <c r="I9" i="26"/>
  <c r="M9" i="26" s="1"/>
  <c r="A9" i="26" s="1"/>
  <c r="B9" i="26"/>
  <c r="M8" i="26"/>
  <c r="A8" i="26" s="1"/>
  <c r="L8" i="26"/>
  <c r="K8" i="26"/>
  <c r="J8" i="26"/>
  <c r="I8" i="26"/>
  <c r="B8" i="26"/>
  <c r="M7" i="26"/>
  <c r="A7" i="26" s="1"/>
  <c r="L7" i="26"/>
  <c r="K7" i="26"/>
  <c r="J7" i="26"/>
  <c r="I7" i="26"/>
  <c r="B7" i="26"/>
  <c r="L6" i="26"/>
  <c r="J6" i="26"/>
  <c r="K6" i="26" s="1"/>
  <c r="I6" i="26"/>
  <c r="M6" i="26" s="1"/>
  <c r="B6" i="26"/>
  <c r="A6" i="26"/>
  <c r="K2" i="26"/>
  <c r="J305" i="25"/>
  <c r="K305" i="25" s="1"/>
  <c r="I305" i="25"/>
  <c r="M305" i="25" s="1"/>
  <c r="K304" i="25"/>
  <c r="J304" i="25"/>
  <c r="I304" i="25"/>
  <c r="M304" i="25" s="1"/>
  <c r="J303" i="25"/>
  <c r="K303" i="25" s="1"/>
  <c r="I303" i="25"/>
  <c r="M303" i="25" s="1"/>
  <c r="K302" i="25"/>
  <c r="J302" i="25"/>
  <c r="I302" i="25"/>
  <c r="M302" i="25" s="1"/>
  <c r="K301" i="25"/>
  <c r="J301" i="25"/>
  <c r="I301" i="25"/>
  <c r="M301" i="25" s="1"/>
  <c r="J300" i="25"/>
  <c r="K300" i="25" s="1"/>
  <c r="I300" i="25"/>
  <c r="M300" i="25" s="1"/>
  <c r="K299" i="25"/>
  <c r="J299" i="25"/>
  <c r="I299" i="25"/>
  <c r="M299" i="25" s="1"/>
  <c r="K298" i="25"/>
  <c r="J298" i="25"/>
  <c r="I298" i="25"/>
  <c r="M298" i="25" s="1"/>
  <c r="K297" i="25"/>
  <c r="J297" i="25"/>
  <c r="I297" i="25"/>
  <c r="M297" i="25" s="1"/>
  <c r="J296" i="25"/>
  <c r="K296" i="25" s="1"/>
  <c r="I296" i="25"/>
  <c r="M296" i="25" s="1"/>
  <c r="K295" i="25"/>
  <c r="J295" i="25"/>
  <c r="I295" i="25"/>
  <c r="M295" i="25" s="1"/>
  <c r="J294" i="25"/>
  <c r="K294" i="25" s="1"/>
  <c r="I294" i="25"/>
  <c r="M294" i="25" s="1"/>
  <c r="J293" i="25"/>
  <c r="K293" i="25" s="1"/>
  <c r="I293" i="25"/>
  <c r="M293" i="25" s="1"/>
  <c r="M292" i="25"/>
  <c r="K292" i="25"/>
  <c r="J292" i="25"/>
  <c r="I292" i="25"/>
  <c r="K291" i="25"/>
  <c r="J291" i="25"/>
  <c r="I291" i="25"/>
  <c r="M291" i="25" s="1"/>
  <c r="M290" i="25"/>
  <c r="J290" i="25"/>
  <c r="K290" i="25" s="1"/>
  <c r="I290" i="25"/>
  <c r="J289" i="25"/>
  <c r="K289" i="25" s="1"/>
  <c r="I289" i="25"/>
  <c r="M289" i="25" s="1"/>
  <c r="K288" i="25"/>
  <c r="J288" i="25"/>
  <c r="I288" i="25"/>
  <c r="M288" i="25" s="1"/>
  <c r="J287" i="25"/>
  <c r="K287" i="25" s="1"/>
  <c r="I287" i="25"/>
  <c r="M287" i="25" s="1"/>
  <c r="K286" i="25"/>
  <c r="J286" i="25"/>
  <c r="I286" i="25"/>
  <c r="M286" i="25" s="1"/>
  <c r="K285" i="25"/>
  <c r="J285" i="25"/>
  <c r="I285" i="25"/>
  <c r="M285" i="25" s="1"/>
  <c r="M284" i="25"/>
  <c r="J284" i="25"/>
  <c r="K284" i="25" s="1"/>
  <c r="I284" i="25"/>
  <c r="K283" i="25"/>
  <c r="J283" i="25"/>
  <c r="I283" i="25"/>
  <c r="M283" i="25" s="1"/>
  <c r="J282" i="25"/>
  <c r="K282" i="25" s="1"/>
  <c r="I282" i="25"/>
  <c r="M282" i="25" s="1"/>
  <c r="K281" i="25"/>
  <c r="J281" i="25"/>
  <c r="I281" i="25"/>
  <c r="M281" i="25" s="1"/>
  <c r="J280" i="25"/>
  <c r="K280" i="25" s="1"/>
  <c r="I280" i="25"/>
  <c r="M280" i="25" s="1"/>
  <c r="J279" i="25"/>
  <c r="K279" i="25" s="1"/>
  <c r="I279" i="25"/>
  <c r="M279" i="25" s="1"/>
  <c r="M278" i="25"/>
  <c r="J278" i="25"/>
  <c r="K278" i="25" s="1"/>
  <c r="I278" i="25"/>
  <c r="K277" i="25"/>
  <c r="J277" i="25"/>
  <c r="I277" i="25"/>
  <c r="M277" i="25" s="1"/>
  <c r="M276" i="25"/>
  <c r="K276" i="25"/>
  <c r="J276" i="25"/>
  <c r="I276" i="25"/>
  <c r="K275" i="25"/>
  <c r="J275" i="25"/>
  <c r="I275" i="25"/>
  <c r="M275" i="25" s="1"/>
  <c r="M274" i="25"/>
  <c r="K274" i="25"/>
  <c r="J274" i="25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K270" i="25"/>
  <c r="J270" i="25"/>
  <c r="I270" i="25"/>
  <c r="M270" i="25" s="1"/>
  <c r="K269" i="25"/>
  <c r="J269" i="25"/>
  <c r="I269" i="25"/>
  <c r="M269" i="25" s="1"/>
  <c r="M268" i="25"/>
  <c r="J268" i="25"/>
  <c r="K268" i="25" s="1"/>
  <c r="I268" i="25"/>
  <c r="J267" i="25"/>
  <c r="K267" i="25" s="1"/>
  <c r="I267" i="25"/>
  <c r="M267" i="25" s="1"/>
  <c r="J266" i="25"/>
  <c r="K266" i="25" s="1"/>
  <c r="I266" i="25"/>
  <c r="M266" i="25" s="1"/>
  <c r="K265" i="25"/>
  <c r="J265" i="25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K261" i="25"/>
  <c r="J261" i="25"/>
  <c r="I261" i="25"/>
  <c r="M261" i="25" s="1"/>
  <c r="M260" i="25"/>
  <c r="K260" i="25"/>
  <c r="J260" i="25"/>
  <c r="I260" i="25"/>
  <c r="J259" i="25"/>
  <c r="K259" i="25" s="1"/>
  <c r="I259" i="25"/>
  <c r="M259" i="25" s="1"/>
  <c r="M258" i="25"/>
  <c r="K258" i="25"/>
  <c r="J258" i="25"/>
  <c r="I258" i="25"/>
  <c r="J257" i="25"/>
  <c r="K257" i="25" s="1"/>
  <c r="I257" i="25"/>
  <c r="M257" i="25" s="1"/>
  <c r="M256" i="25"/>
  <c r="K256" i="25"/>
  <c r="J256" i="25"/>
  <c r="I256" i="25"/>
  <c r="J255" i="25"/>
  <c r="K255" i="25" s="1"/>
  <c r="I255" i="25"/>
  <c r="M255" i="25" s="1"/>
  <c r="J254" i="25"/>
  <c r="K254" i="25" s="1"/>
  <c r="I254" i="25"/>
  <c r="M254" i="25" s="1"/>
  <c r="K253" i="25"/>
  <c r="J253" i="25"/>
  <c r="I253" i="25"/>
  <c r="M253" i="25" s="1"/>
  <c r="K252" i="25"/>
  <c r="J252" i="25"/>
  <c r="I252" i="25"/>
  <c r="M252" i="25" s="1"/>
  <c r="K251" i="25"/>
  <c r="J251" i="25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K244" i="25"/>
  <c r="J244" i="25"/>
  <c r="I244" i="25"/>
  <c r="K243" i="25"/>
  <c r="J243" i="25"/>
  <c r="I243" i="25"/>
  <c r="M243" i="25" s="1"/>
  <c r="M242" i="25"/>
  <c r="K242" i="25"/>
  <c r="J242" i="25"/>
  <c r="I242" i="25"/>
  <c r="J241" i="25"/>
  <c r="K241" i="25" s="1"/>
  <c r="I241" i="25"/>
  <c r="M241" i="25" s="1"/>
  <c r="K240" i="25"/>
  <c r="J240" i="25"/>
  <c r="I240" i="25"/>
  <c r="M240" i="25" s="1"/>
  <c r="J239" i="25"/>
  <c r="K239" i="25" s="1"/>
  <c r="I239" i="25"/>
  <c r="M239" i="25" s="1"/>
  <c r="M238" i="25"/>
  <c r="K238" i="25"/>
  <c r="J238" i="25"/>
  <c r="I238" i="25"/>
  <c r="K237" i="25"/>
  <c r="J237" i="25"/>
  <c r="I237" i="25"/>
  <c r="M237" i="25" s="1"/>
  <c r="J236" i="25"/>
  <c r="K236" i="25" s="1"/>
  <c r="I236" i="25"/>
  <c r="M236" i="25" s="1"/>
  <c r="K235" i="25"/>
  <c r="J235" i="25"/>
  <c r="I235" i="25"/>
  <c r="M235" i="25" s="1"/>
  <c r="K234" i="25"/>
  <c r="J234" i="25"/>
  <c r="I234" i="25"/>
  <c r="M234" i="25" s="1"/>
  <c r="K233" i="25"/>
  <c r="J233" i="25"/>
  <c r="I233" i="25"/>
  <c r="M233" i="25" s="1"/>
  <c r="J232" i="25"/>
  <c r="K232" i="25" s="1"/>
  <c r="I232" i="25"/>
  <c r="M232" i="25" s="1"/>
  <c r="K231" i="25"/>
  <c r="J231" i="25"/>
  <c r="I231" i="25"/>
  <c r="M231" i="25" s="1"/>
  <c r="M230" i="25"/>
  <c r="J230" i="25"/>
  <c r="K230" i="25" s="1"/>
  <c r="I230" i="25"/>
  <c r="J229" i="25"/>
  <c r="K229" i="25" s="1"/>
  <c r="I229" i="25"/>
  <c r="M229" i="25" s="1"/>
  <c r="M228" i="25"/>
  <c r="K228" i="25"/>
  <c r="J228" i="25"/>
  <c r="I228" i="25"/>
  <c r="K227" i="25"/>
  <c r="J227" i="25"/>
  <c r="I227" i="25"/>
  <c r="M227" i="25" s="1"/>
  <c r="M226" i="25"/>
  <c r="J226" i="25"/>
  <c r="K226" i="25" s="1"/>
  <c r="I226" i="25"/>
  <c r="J225" i="25"/>
  <c r="K225" i="25" s="1"/>
  <c r="I225" i="25"/>
  <c r="M225" i="25" s="1"/>
  <c r="K224" i="25"/>
  <c r="J224" i="25"/>
  <c r="I224" i="25"/>
  <c r="M224" i="25" s="1"/>
  <c r="J223" i="25"/>
  <c r="K223" i="25" s="1"/>
  <c r="I223" i="25"/>
  <c r="M223" i="25" s="1"/>
  <c r="M222" i="25"/>
  <c r="K222" i="25"/>
  <c r="J222" i="25"/>
  <c r="I222" i="25"/>
  <c r="K221" i="25"/>
  <c r="J221" i="25"/>
  <c r="I221" i="25"/>
  <c r="M221" i="25" s="1"/>
  <c r="M220" i="25"/>
  <c r="J220" i="25"/>
  <c r="K220" i="25" s="1"/>
  <c r="I220" i="25"/>
  <c r="K219" i="25"/>
  <c r="J219" i="25"/>
  <c r="I219" i="25"/>
  <c r="M219" i="25" s="1"/>
  <c r="K218" i="25"/>
  <c r="J218" i="25"/>
  <c r="I218" i="25"/>
  <c r="M218" i="25" s="1"/>
  <c r="K217" i="25"/>
  <c r="J217" i="25"/>
  <c r="I217" i="25"/>
  <c r="M217" i="25" s="1"/>
  <c r="J216" i="25"/>
  <c r="K216" i="25" s="1"/>
  <c r="I216" i="25"/>
  <c r="M216" i="25" s="1"/>
  <c r="K215" i="25"/>
  <c r="J215" i="25"/>
  <c r="I215" i="25"/>
  <c r="M215" i="25" s="1"/>
  <c r="M214" i="25"/>
  <c r="J214" i="25"/>
  <c r="K214" i="25" s="1"/>
  <c r="I214" i="25"/>
  <c r="K213" i="25"/>
  <c r="J213" i="25"/>
  <c r="I213" i="25"/>
  <c r="M213" i="25" s="1"/>
  <c r="M212" i="25"/>
  <c r="K212" i="25"/>
  <c r="J212" i="25"/>
  <c r="I212" i="25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K208" i="25"/>
  <c r="J208" i="25"/>
  <c r="I208" i="25"/>
  <c r="M208" i="25" s="1"/>
  <c r="J207" i="25"/>
  <c r="K207" i="25" s="1"/>
  <c r="I207" i="25"/>
  <c r="M207" i="25" s="1"/>
  <c r="K206" i="25"/>
  <c r="J206" i="25"/>
  <c r="I206" i="25"/>
  <c r="M206" i="25" s="1"/>
  <c r="K205" i="25"/>
  <c r="J205" i="25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K197" i="25"/>
  <c r="J197" i="25"/>
  <c r="I197" i="25"/>
  <c r="M197" i="25" s="1"/>
  <c r="K196" i="25"/>
  <c r="J196" i="25"/>
  <c r="I196" i="25"/>
  <c r="M196" i="25" s="1"/>
  <c r="K195" i="25"/>
  <c r="J195" i="25"/>
  <c r="I195" i="25"/>
  <c r="M195" i="25" s="1"/>
  <c r="M194" i="25"/>
  <c r="K194" i="25"/>
  <c r="J194" i="25"/>
  <c r="I194" i="25"/>
  <c r="J193" i="25"/>
  <c r="K193" i="25" s="1"/>
  <c r="I193" i="25"/>
  <c r="M193" i="25" s="1"/>
  <c r="K192" i="25"/>
  <c r="J192" i="25"/>
  <c r="I192" i="25"/>
  <c r="M192" i="25" s="1"/>
  <c r="J191" i="25"/>
  <c r="K191" i="25" s="1"/>
  <c r="I191" i="25"/>
  <c r="M191" i="25" s="1"/>
  <c r="M190" i="25"/>
  <c r="K190" i="25"/>
  <c r="J190" i="25"/>
  <c r="I190" i="25"/>
  <c r="K189" i="25"/>
  <c r="J189" i="25"/>
  <c r="I189" i="25"/>
  <c r="M189" i="25" s="1"/>
  <c r="M188" i="25"/>
  <c r="J188" i="25"/>
  <c r="K188" i="25" s="1"/>
  <c r="I188" i="25"/>
  <c r="K187" i="25"/>
  <c r="J187" i="25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K180" i="25"/>
  <c r="J180" i="25"/>
  <c r="I180" i="25"/>
  <c r="M180" i="25" s="1"/>
  <c r="J179" i="25"/>
  <c r="K179" i="25" s="1"/>
  <c r="I179" i="25"/>
  <c r="M179" i="25" s="1"/>
  <c r="M178" i="25"/>
  <c r="K178" i="25"/>
  <c r="J178" i="25"/>
  <c r="I178" i="25"/>
  <c r="K177" i="25"/>
  <c r="J177" i="25"/>
  <c r="I177" i="25"/>
  <c r="M177" i="25" s="1"/>
  <c r="M176" i="25"/>
  <c r="J176" i="25"/>
  <c r="K176" i="25" s="1"/>
  <c r="I176" i="25"/>
  <c r="J175" i="25"/>
  <c r="K175" i="25" s="1"/>
  <c r="I175" i="25"/>
  <c r="M175" i="25" s="1"/>
  <c r="K174" i="25"/>
  <c r="J174" i="25"/>
  <c r="I174" i="25"/>
  <c r="M174" i="25" s="1"/>
  <c r="K173" i="25"/>
  <c r="J173" i="25"/>
  <c r="I173" i="25"/>
  <c r="M173" i="25" s="1"/>
  <c r="M172" i="25"/>
  <c r="J172" i="25"/>
  <c r="K172" i="25" s="1"/>
  <c r="I172" i="25"/>
  <c r="K171" i="25"/>
  <c r="J171" i="25"/>
  <c r="I171" i="25"/>
  <c r="M171" i="25" s="1"/>
  <c r="K170" i="25"/>
  <c r="J170" i="25"/>
  <c r="I170" i="25"/>
  <c r="M170" i="25" s="1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K164" i="25"/>
  <c r="J164" i="25"/>
  <c r="I164" i="25"/>
  <c r="M164" i="25" s="1"/>
  <c r="J163" i="25"/>
  <c r="K163" i="25" s="1"/>
  <c r="I163" i="25"/>
  <c r="M163" i="25" s="1"/>
  <c r="M162" i="25"/>
  <c r="J162" i="25"/>
  <c r="K162" i="25" s="1"/>
  <c r="I162" i="25"/>
  <c r="K161" i="25"/>
  <c r="J161" i="25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K157" i="25"/>
  <c r="J157" i="25"/>
  <c r="I157" i="25"/>
  <c r="M157" i="25" s="1"/>
  <c r="J156" i="25"/>
  <c r="K156" i="25" s="1"/>
  <c r="I156" i="25"/>
  <c r="M156" i="25" s="1"/>
  <c r="J155" i="25"/>
  <c r="K155" i="25" s="1"/>
  <c r="I155" i="25"/>
  <c r="M155" i="25" s="1"/>
  <c r="K154" i="25"/>
  <c r="J154" i="25"/>
  <c r="I154" i="25"/>
  <c r="M154" i="25" s="1"/>
  <c r="K153" i="25"/>
  <c r="J153" i="25"/>
  <c r="I153" i="25"/>
  <c r="M153" i="25" s="1"/>
  <c r="K152" i="25"/>
  <c r="J152" i="25"/>
  <c r="I152" i="25"/>
  <c r="M152" i="25" s="1"/>
  <c r="J151" i="25"/>
  <c r="K151" i="25" s="1"/>
  <c r="I151" i="25"/>
  <c r="M151" i="25" s="1"/>
  <c r="J150" i="25"/>
  <c r="K150" i="25" s="1"/>
  <c r="I150" i="25"/>
  <c r="M150" i="25" s="1"/>
  <c r="K149" i="25"/>
  <c r="J149" i="25"/>
  <c r="I149" i="25"/>
  <c r="M149" i="25" s="1"/>
  <c r="K148" i="25"/>
  <c r="J148" i="25"/>
  <c r="I148" i="25"/>
  <c r="M148" i="25" s="1"/>
  <c r="K147" i="25"/>
  <c r="J147" i="25"/>
  <c r="I147" i="25"/>
  <c r="M147" i="25" s="1"/>
  <c r="M146" i="25"/>
  <c r="J146" i="25"/>
  <c r="K146" i="25" s="1"/>
  <c r="I146" i="25"/>
  <c r="K145" i="25"/>
  <c r="J145" i="25"/>
  <c r="I145" i="25"/>
  <c r="M145" i="25" s="1"/>
  <c r="M144" i="25"/>
  <c r="J144" i="25"/>
  <c r="K144" i="25" s="1"/>
  <c r="I144" i="25"/>
  <c r="J143" i="25"/>
  <c r="K143" i="25" s="1"/>
  <c r="I143" i="25"/>
  <c r="M143" i="25" s="1"/>
  <c r="M142" i="25"/>
  <c r="J142" i="25"/>
  <c r="K142" i="25" s="1"/>
  <c r="I142" i="25"/>
  <c r="K141" i="25"/>
  <c r="J141" i="25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K137" i="25"/>
  <c r="J137" i="25"/>
  <c r="I137" i="25"/>
  <c r="M137" i="25" s="1"/>
  <c r="K136" i="25"/>
  <c r="J136" i="25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K132" i="25"/>
  <c r="J132" i="25"/>
  <c r="I132" i="25"/>
  <c r="M132" i="25" s="1"/>
  <c r="K131" i="25"/>
  <c r="J131" i="25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K126" i="25"/>
  <c r="J126" i="25"/>
  <c r="I126" i="25"/>
  <c r="M126" i="25" s="1"/>
  <c r="K125" i="25"/>
  <c r="J125" i="25"/>
  <c r="I125" i="25"/>
  <c r="M125" i="25" s="1"/>
  <c r="J124" i="25"/>
  <c r="K124" i="25" s="1"/>
  <c r="I124" i="25"/>
  <c r="M124" i="25" s="1"/>
  <c r="K123" i="25"/>
  <c r="J123" i="25"/>
  <c r="I123" i="25"/>
  <c r="M123" i="25" s="1"/>
  <c r="K122" i="25"/>
  <c r="J122" i="25"/>
  <c r="I122" i="25"/>
  <c r="M122" i="25" s="1"/>
  <c r="K121" i="25"/>
  <c r="J121" i="25"/>
  <c r="I121" i="25"/>
  <c r="M121" i="25" s="1"/>
  <c r="J120" i="25"/>
  <c r="K120" i="25" s="1"/>
  <c r="I120" i="25"/>
  <c r="M120" i="25" s="1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K116" i="25"/>
  <c r="J116" i="25"/>
  <c r="I116" i="25"/>
  <c r="M116" i="25" s="1"/>
  <c r="K115" i="25"/>
  <c r="J115" i="25"/>
  <c r="I115" i="25"/>
  <c r="M115" i="25" s="1"/>
  <c r="M114" i="25"/>
  <c r="J114" i="25"/>
  <c r="K114" i="25" s="1"/>
  <c r="I114" i="25"/>
  <c r="K113" i="25"/>
  <c r="J113" i="25"/>
  <c r="I113" i="25"/>
  <c r="M113" i="25" s="1"/>
  <c r="J112" i="25"/>
  <c r="K112" i="25" s="1"/>
  <c r="I112" i="25"/>
  <c r="M112" i="25" s="1"/>
  <c r="J111" i="25"/>
  <c r="K111" i="25" s="1"/>
  <c r="I111" i="25"/>
  <c r="M111" i="25" s="1"/>
  <c r="K110" i="25"/>
  <c r="J110" i="25"/>
  <c r="I110" i="25"/>
  <c r="M110" i="25" s="1"/>
  <c r="K109" i="25"/>
  <c r="J109" i="25"/>
  <c r="I109" i="25"/>
  <c r="M109" i="25" s="1"/>
  <c r="M108" i="25"/>
  <c r="J108" i="25"/>
  <c r="K108" i="25" s="1"/>
  <c r="I108" i="25"/>
  <c r="J107" i="25"/>
  <c r="K107" i="25" s="1"/>
  <c r="I107" i="25"/>
  <c r="M107" i="25" s="1"/>
  <c r="K106" i="25"/>
  <c r="J106" i="25"/>
  <c r="I106" i="25"/>
  <c r="M106" i="25" s="1"/>
  <c r="K105" i="25"/>
  <c r="J105" i="25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M100" i="25"/>
  <c r="K100" i="25"/>
  <c r="J100" i="25"/>
  <c r="I100" i="25"/>
  <c r="K99" i="25"/>
  <c r="J99" i="25"/>
  <c r="I99" i="25"/>
  <c r="M99" i="25" s="1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M92" i="25"/>
  <c r="J92" i="25"/>
  <c r="K92" i="25" s="1"/>
  <c r="I92" i="25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K88" i="25"/>
  <c r="J88" i="25"/>
  <c r="I88" i="25"/>
  <c r="M88" i="25" s="1"/>
  <c r="K87" i="25"/>
  <c r="J87" i="25"/>
  <c r="I87" i="25"/>
  <c r="M87" i="25" s="1"/>
  <c r="J86" i="25"/>
  <c r="K86" i="25" s="1"/>
  <c r="I86" i="25"/>
  <c r="M86" i="25" s="1"/>
  <c r="J85" i="25"/>
  <c r="K85" i="25" s="1"/>
  <c r="I85" i="25"/>
  <c r="M85" i="25" s="1"/>
  <c r="K84" i="25"/>
  <c r="J84" i="25"/>
  <c r="I84" i="25"/>
  <c r="M84" i="25" s="1"/>
  <c r="K83" i="25"/>
  <c r="J83" i="25"/>
  <c r="I83" i="25"/>
  <c r="M83" i="25" s="1"/>
  <c r="M82" i="25"/>
  <c r="K82" i="25"/>
  <c r="J82" i="25"/>
  <c r="I82" i="25"/>
  <c r="J81" i="25"/>
  <c r="K81" i="25" s="1"/>
  <c r="I81" i="25"/>
  <c r="M81" i="25" s="1"/>
  <c r="M80" i="25"/>
  <c r="K80" i="25"/>
  <c r="J80" i="25"/>
  <c r="I80" i="25"/>
  <c r="J79" i="25"/>
  <c r="K79" i="25" s="1"/>
  <c r="I79" i="25"/>
  <c r="M79" i="25" s="1"/>
  <c r="J78" i="25"/>
  <c r="K78" i="25" s="1"/>
  <c r="I78" i="25"/>
  <c r="M78" i="25" s="1"/>
  <c r="K77" i="25"/>
  <c r="J77" i="25"/>
  <c r="I77" i="25"/>
  <c r="M77" i="25" s="1"/>
  <c r="J76" i="25"/>
  <c r="K76" i="25" s="1"/>
  <c r="I76" i="25"/>
  <c r="M76" i="25" s="1"/>
  <c r="J75" i="25"/>
  <c r="K75" i="25" s="1"/>
  <c r="I75" i="25"/>
  <c r="M75" i="25" s="1"/>
  <c r="K74" i="25"/>
  <c r="J74" i="25"/>
  <c r="I74" i="25"/>
  <c r="M74" i="25" s="1"/>
  <c r="J73" i="25"/>
  <c r="K73" i="25" s="1"/>
  <c r="I73" i="25"/>
  <c r="M73" i="25" s="1"/>
  <c r="K72" i="25"/>
  <c r="J72" i="25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K68" i="25"/>
  <c r="J68" i="25"/>
  <c r="I68" i="25"/>
  <c r="M68" i="25" s="1"/>
  <c r="K67" i="25"/>
  <c r="J67" i="25"/>
  <c r="I67" i="25"/>
  <c r="M67" i="25" s="1"/>
  <c r="M66" i="25"/>
  <c r="J66" i="25"/>
  <c r="K66" i="25" s="1"/>
  <c r="I66" i="25"/>
  <c r="J65" i="25"/>
  <c r="K65" i="25" s="1"/>
  <c r="I65" i="25"/>
  <c r="M65" i="25" s="1"/>
  <c r="B65" i="25"/>
  <c r="M64" i="25"/>
  <c r="J64" i="25"/>
  <c r="K64" i="25" s="1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A60" i="25"/>
  <c r="M59" i="25"/>
  <c r="A59" i="25" s="1"/>
  <c r="J59" i="25"/>
  <c r="K59" i="25" s="1"/>
  <c r="I59" i="25"/>
  <c r="B59" i="25"/>
  <c r="M58" i="25"/>
  <c r="A58" i="25" s="1"/>
  <c r="K58" i="25"/>
  <c r="J58" i="25"/>
  <c r="I58" i="25"/>
  <c r="B58" i="25"/>
  <c r="K57" i="25"/>
  <c r="J57" i="25"/>
  <c r="I57" i="25"/>
  <c r="M57" i="25" s="1"/>
  <c r="A57" i="25" s="1"/>
  <c r="B57" i="25"/>
  <c r="M56" i="25"/>
  <c r="A56" i="25" s="1"/>
  <c r="K56" i="25"/>
  <c r="J56" i="25"/>
  <c r="I56" i="25"/>
  <c r="B56" i="25"/>
  <c r="J55" i="25"/>
  <c r="K55" i="25" s="1"/>
  <c r="I55" i="25"/>
  <c r="M55" i="25" s="1"/>
  <c r="A55" i="25" s="1"/>
  <c r="B55" i="25"/>
  <c r="M54" i="25"/>
  <c r="A54" i="25" s="1"/>
  <c r="K54" i="25"/>
  <c r="J54" i="25"/>
  <c r="I54" i="25"/>
  <c r="B54" i="25"/>
  <c r="M53" i="25"/>
  <c r="A53" i="25" s="1"/>
  <c r="J53" i="25"/>
  <c r="K53" i="25" s="1"/>
  <c r="I53" i="25"/>
  <c r="B53" i="25"/>
  <c r="J52" i="25"/>
  <c r="K52" i="25" s="1"/>
  <c r="I52" i="25"/>
  <c r="M52" i="25" s="1"/>
  <c r="B52" i="25"/>
  <c r="A52" i="25"/>
  <c r="M51" i="25"/>
  <c r="A51" i="25" s="1"/>
  <c r="J51" i="25"/>
  <c r="K51" i="25" s="1"/>
  <c r="I51" i="25"/>
  <c r="B51" i="25"/>
  <c r="M50" i="25"/>
  <c r="A50" i="25" s="1"/>
  <c r="J50" i="25"/>
  <c r="K50" i="25" s="1"/>
  <c r="I50" i="25"/>
  <c r="B50" i="25"/>
  <c r="M49" i="25"/>
  <c r="A49" i="25" s="1"/>
  <c r="J49" i="25"/>
  <c r="K49" i="25" s="1"/>
  <c r="I49" i="25"/>
  <c r="B49" i="25"/>
  <c r="M48" i="25"/>
  <c r="A48" i="25" s="1"/>
  <c r="J48" i="25"/>
  <c r="K48" i="25" s="1"/>
  <c r="I48" i="25"/>
  <c r="B48" i="25"/>
  <c r="J47" i="25"/>
  <c r="K47" i="25" s="1"/>
  <c r="I47" i="25"/>
  <c r="M47" i="25" s="1"/>
  <c r="B47" i="25"/>
  <c r="A47" i="25"/>
  <c r="U46" i="25"/>
  <c r="T46" i="25"/>
  <c r="R46" i="25"/>
  <c r="J46" i="25"/>
  <c r="K46" i="25" s="1"/>
  <c r="I46" i="25"/>
  <c r="M46" i="25" s="1"/>
  <c r="B46" i="25"/>
  <c r="A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K43" i="25"/>
  <c r="J43" i="25"/>
  <c r="I43" i="25"/>
  <c r="M43" i="25" s="1"/>
  <c r="B43" i="25"/>
  <c r="A43" i="25"/>
  <c r="K42" i="25"/>
  <c r="J42" i="25"/>
  <c r="I42" i="25"/>
  <c r="M42" i="25" s="1"/>
  <c r="A42" i="25" s="1"/>
  <c r="B42" i="25"/>
  <c r="K41" i="25"/>
  <c r="J41" i="25"/>
  <c r="I41" i="25"/>
  <c r="M41" i="25" s="1"/>
  <c r="B41" i="25"/>
  <c r="A41" i="25"/>
  <c r="M40" i="25"/>
  <c r="J40" i="25"/>
  <c r="K40" i="25" s="1"/>
  <c r="I40" i="25"/>
  <c r="B40" i="25"/>
  <c r="A40" i="25"/>
  <c r="J39" i="25"/>
  <c r="K39" i="25" s="1"/>
  <c r="I39" i="25"/>
  <c r="M39" i="25" s="1"/>
  <c r="A39" i="25" s="1"/>
  <c r="B39" i="25"/>
  <c r="J38" i="25"/>
  <c r="K38" i="25" s="1"/>
  <c r="I38" i="25"/>
  <c r="M38" i="25" s="1"/>
  <c r="B38" i="25"/>
  <c r="A38" i="25"/>
  <c r="K37" i="25"/>
  <c r="J37" i="25"/>
  <c r="I37" i="25"/>
  <c r="M37" i="25" s="1"/>
  <c r="A37" i="25" s="1"/>
  <c r="B37" i="25"/>
  <c r="K36" i="25"/>
  <c r="J36" i="25"/>
  <c r="I36" i="25"/>
  <c r="M36" i="25" s="1"/>
  <c r="A36" i="25" s="1"/>
  <c r="B36" i="25"/>
  <c r="J35" i="25"/>
  <c r="K35" i="25" s="1"/>
  <c r="I35" i="25"/>
  <c r="M35" i="25" s="1"/>
  <c r="B35" i="25"/>
  <c r="A35" i="25"/>
  <c r="J34" i="25"/>
  <c r="K34" i="25" s="1"/>
  <c r="I34" i="25"/>
  <c r="M34" i="25" s="1"/>
  <c r="A34" i="25" s="1"/>
  <c r="B34" i="25"/>
  <c r="K33" i="25"/>
  <c r="J33" i="25"/>
  <c r="I33" i="25"/>
  <c r="M33" i="25" s="1"/>
  <c r="A33" i="25" s="1"/>
  <c r="B33" i="25"/>
  <c r="J32" i="25"/>
  <c r="K32" i="25" s="1"/>
  <c r="I32" i="25"/>
  <c r="M32" i="25" s="1"/>
  <c r="B32" i="25"/>
  <c r="A32" i="25"/>
  <c r="M31" i="25"/>
  <c r="A31" i="25" s="1"/>
  <c r="K31" i="25"/>
  <c r="J31" i="25"/>
  <c r="I31" i="25"/>
  <c r="B31" i="25"/>
  <c r="K30" i="25"/>
  <c r="J30" i="25"/>
  <c r="I30" i="25"/>
  <c r="M30" i="25" s="1"/>
  <c r="A30" i="25" s="1"/>
  <c r="B30" i="25"/>
  <c r="M29" i="25"/>
  <c r="A29" i="25" s="1"/>
  <c r="K29" i="25"/>
  <c r="J29" i="25"/>
  <c r="I29" i="25"/>
  <c r="B29" i="25"/>
  <c r="J28" i="25"/>
  <c r="K28" i="25" s="1"/>
  <c r="I28" i="25"/>
  <c r="M28" i="25" s="1"/>
  <c r="A28" i="25" s="1"/>
  <c r="B28" i="25"/>
  <c r="M27" i="25"/>
  <c r="K27" i="25"/>
  <c r="J27" i="25"/>
  <c r="I27" i="25"/>
  <c r="B27" i="25"/>
  <c r="A27" i="25"/>
  <c r="J26" i="25"/>
  <c r="K26" i="25" s="1"/>
  <c r="I26" i="25"/>
  <c r="M26" i="25" s="1"/>
  <c r="B26" i="25"/>
  <c r="A26" i="25"/>
  <c r="K25" i="25"/>
  <c r="J25" i="25"/>
  <c r="I25" i="25"/>
  <c r="M25" i="25" s="1"/>
  <c r="A25" i="25" s="1"/>
  <c r="B25" i="25"/>
  <c r="K24" i="25"/>
  <c r="J24" i="25"/>
  <c r="I24" i="25"/>
  <c r="M24" i="25" s="1"/>
  <c r="A24" i="25" s="1"/>
  <c r="B24" i="25"/>
  <c r="M23" i="25"/>
  <c r="A23" i="25" s="1"/>
  <c r="K23" i="25"/>
  <c r="J23" i="25"/>
  <c r="I23" i="25"/>
  <c r="B23" i="25"/>
  <c r="K22" i="25"/>
  <c r="J22" i="25"/>
  <c r="I22" i="25"/>
  <c r="M22" i="25" s="1"/>
  <c r="A22" i="25" s="1"/>
  <c r="B22" i="25"/>
  <c r="K21" i="25"/>
  <c r="J21" i="25"/>
  <c r="I21" i="25"/>
  <c r="M21" i="25" s="1"/>
  <c r="B21" i="25"/>
  <c r="A21" i="25"/>
  <c r="M20" i="25"/>
  <c r="A20" i="25" s="1"/>
  <c r="K20" i="25"/>
  <c r="J20" i="25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B18" i="25"/>
  <c r="A18" i="25"/>
  <c r="M17" i="25"/>
  <c r="A17" i="25" s="1"/>
  <c r="K17" i="25"/>
  <c r="J17" i="25"/>
  <c r="I17" i="25"/>
  <c r="B17" i="25"/>
  <c r="M16" i="25"/>
  <c r="A16" i="25" s="1"/>
  <c r="K16" i="25"/>
  <c r="J16" i="25"/>
  <c r="I16" i="25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B14" i="25"/>
  <c r="A14" i="25"/>
  <c r="AI13" i="25"/>
  <c r="K13" i="25"/>
  <c r="J13" i="25"/>
  <c r="I13" i="25"/>
  <c r="M13" i="25" s="1"/>
  <c r="A13" i="25" s="1"/>
  <c r="B13" i="25"/>
  <c r="AI12" i="25"/>
  <c r="AI16" i="25" s="1"/>
  <c r="K12" i="25"/>
  <c r="J12" i="25"/>
  <c r="I12" i="25"/>
  <c r="M12" i="25" s="1"/>
  <c r="A12" i="25" s="1"/>
  <c r="B12" i="25"/>
  <c r="K11" i="25"/>
  <c r="J11" i="25"/>
  <c r="I11" i="25"/>
  <c r="M11" i="25" s="1"/>
  <c r="A11" i="25" s="1"/>
  <c r="B11" i="25"/>
  <c r="J10" i="25"/>
  <c r="K10" i="25" s="1"/>
  <c r="I10" i="25"/>
  <c r="M10" i="25" s="1"/>
  <c r="B10" i="25"/>
  <c r="A10" i="25"/>
  <c r="L9" i="25"/>
  <c r="K9" i="25"/>
  <c r="J9" i="25"/>
  <c r="I9" i="25"/>
  <c r="M9" i="25" s="1"/>
  <c r="A9" i="25" s="1"/>
  <c r="B9" i="25"/>
  <c r="J8" i="25"/>
  <c r="K8" i="25" s="1"/>
  <c r="I8" i="25"/>
  <c r="M8" i="25" s="1"/>
  <c r="A8" i="25" s="1"/>
  <c r="B8" i="25"/>
  <c r="K7" i="25"/>
  <c r="J7" i="25"/>
  <c r="I7" i="25"/>
  <c r="M7" i="25" s="1"/>
  <c r="B7" i="25"/>
  <c r="A7" i="25"/>
  <c r="J6" i="25"/>
  <c r="K6" i="25" s="1"/>
  <c r="I6" i="25"/>
  <c r="M6" i="25" s="1"/>
  <c r="A6" i="25" s="1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B130" i="24"/>
  <c r="A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A122" i="24" s="1"/>
  <c r="B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B118" i="24"/>
  <c r="A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B110" i="24"/>
  <c r="A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B107" i="24"/>
  <c r="A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B103" i="24"/>
  <c r="A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B79" i="24"/>
  <c r="A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A64" i="24" s="1"/>
  <c r="B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B59" i="24"/>
  <c r="A59" i="24"/>
  <c r="J58" i="24"/>
  <c r="K58" i="24" s="1"/>
  <c r="I58" i="24"/>
  <c r="M58" i="24" s="1"/>
  <c r="A58" i="24" s="1"/>
  <c r="B58" i="24"/>
  <c r="J57" i="24"/>
  <c r="K57" i="24" s="1"/>
  <c r="I57" i="24"/>
  <c r="M57" i="24" s="1"/>
  <c r="B57" i="24"/>
  <c r="A57" i="24"/>
  <c r="J56" i="24"/>
  <c r="K56" i="24" s="1"/>
  <c r="I56" i="24"/>
  <c r="M56" i="24" s="1"/>
  <c r="A56" i="24" s="1"/>
  <c r="B56" i="24"/>
  <c r="J55" i="24"/>
  <c r="K55" i="24" s="1"/>
  <c r="I55" i="24"/>
  <c r="M55" i="24" s="1"/>
  <c r="B55" i="24"/>
  <c r="A55" i="24"/>
  <c r="J54" i="24"/>
  <c r="K54" i="24" s="1"/>
  <c r="I54" i="24"/>
  <c r="M54" i="24" s="1"/>
  <c r="B54" i="24"/>
  <c r="A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B42" i="24"/>
  <c r="A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B39" i="24"/>
  <c r="A39" i="24"/>
  <c r="J38" i="24"/>
  <c r="K38" i="24" s="1"/>
  <c r="I38" i="24"/>
  <c r="M38" i="24" s="1"/>
  <c r="A38" i="24" s="1"/>
  <c r="B38" i="24"/>
  <c r="J37" i="24"/>
  <c r="K37" i="24" s="1"/>
  <c r="I37" i="24"/>
  <c r="M37" i="24" s="1"/>
  <c r="B37" i="24"/>
  <c r="A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J14" i="24"/>
  <c r="K14" i="24" s="1"/>
  <c r="I14" i="24"/>
  <c r="B14" i="24"/>
  <c r="AI13" i="24"/>
  <c r="AI16" i="24" s="1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B11" i="24"/>
  <c r="K10" i="24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M268" i="23"/>
  <c r="J268" i="23"/>
  <c r="K268" i="23" s="1"/>
  <c r="I268" i="23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M252" i="23"/>
  <c r="J252" i="23"/>
  <c r="K252" i="23" s="1"/>
  <c r="I252" i="23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M243" i="23"/>
  <c r="J243" i="23"/>
  <c r="K243" i="23" s="1"/>
  <c r="I243" i="23"/>
  <c r="J242" i="23"/>
  <c r="K242" i="23" s="1"/>
  <c r="I242" i="23"/>
  <c r="M242" i="23" s="1"/>
  <c r="M241" i="23"/>
  <c r="J241" i="23"/>
  <c r="K241" i="23" s="1"/>
  <c r="I241" i="23"/>
  <c r="M240" i="23"/>
  <c r="J240" i="23"/>
  <c r="K240" i="23" s="1"/>
  <c r="I240" i="23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J230" i="23"/>
  <c r="K230" i="23" s="1"/>
  <c r="I230" i="23"/>
  <c r="M230" i="23" s="1"/>
  <c r="M229" i="23"/>
  <c r="J229" i="23"/>
  <c r="K229" i="23" s="1"/>
  <c r="I229" i="23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J217" i="23"/>
  <c r="K217" i="23" s="1"/>
  <c r="I217" i="23"/>
  <c r="M217" i="23" s="1"/>
  <c r="J216" i="23"/>
  <c r="K216" i="23" s="1"/>
  <c r="I216" i="23"/>
  <c r="M216" i="23" s="1"/>
  <c r="M215" i="23"/>
  <c r="J215" i="23"/>
  <c r="K215" i="23" s="1"/>
  <c r="I215" i="23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M197" i="23"/>
  <c r="J197" i="23"/>
  <c r="K197" i="23" s="1"/>
  <c r="I197" i="23"/>
  <c r="J196" i="23"/>
  <c r="K196" i="23" s="1"/>
  <c r="I196" i="23"/>
  <c r="M196" i="23" s="1"/>
  <c r="M195" i="23"/>
  <c r="J195" i="23"/>
  <c r="K195" i="23" s="1"/>
  <c r="I195" i="23"/>
  <c r="J194" i="23"/>
  <c r="K194" i="23" s="1"/>
  <c r="I194" i="23"/>
  <c r="M194" i="23" s="1"/>
  <c r="J193" i="23"/>
  <c r="K193" i="23" s="1"/>
  <c r="I193" i="23"/>
  <c r="M193" i="23" s="1"/>
  <c r="M192" i="23"/>
  <c r="J192" i="23"/>
  <c r="K192" i="23" s="1"/>
  <c r="I192" i="23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M183" i="23"/>
  <c r="J183" i="23"/>
  <c r="K183" i="23" s="1"/>
  <c r="I183" i="23"/>
  <c r="J182" i="23"/>
  <c r="K182" i="23" s="1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M165" i="23"/>
  <c r="J165" i="23"/>
  <c r="K165" i="23" s="1"/>
  <c r="I165" i="23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K145" i="23"/>
  <c r="J145" i="23"/>
  <c r="I145" i="23"/>
  <c r="M145" i="23" s="1"/>
  <c r="J144" i="23"/>
  <c r="K144" i="23" s="1"/>
  <c r="I144" i="23"/>
  <c r="M144" i="23" s="1"/>
  <c r="K143" i="23"/>
  <c r="J143" i="23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M133" i="23"/>
  <c r="J133" i="23"/>
  <c r="K133" i="23" s="1"/>
  <c r="I133" i="23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M115" i="23"/>
  <c r="J115" i="23"/>
  <c r="K115" i="23" s="1"/>
  <c r="I115" i="23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M107" i="23"/>
  <c r="J107" i="23"/>
  <c r="K107" i="23" s="1"/>
  <c r="I107" i="23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M99" i="23"/>
  <c r="J99" i="23"/>
  <c r="K99" i="23" s="1"/>
  <c r="I99" i="23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M91" i="23"/>
  <c r="J91" i="23"/>
  <c r="K91" i="23" s="1"/>
  <c r="I91" i="23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K71" i="23"/>
  <c r="J71" i="23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J65" i="23"/>
  <c r="K65" i="23" s="1"/>
  <c r="I65" i="23"/>
  <c r="M65" i="23" s="1"/>
  <c r="B65" i="23"/>
  <c r="K64" i="23"/>
  <c r="J64" i="23"/>
  <c r="I64" i="23"/>
  <c r="M64" i="23" s="1"/>
  <c r="B64" i="23"/>
  <c r="K63" i="23"/>
  <c r="J63" i="23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M52" i="23"/>
  <c r="J52" i="23"/>
  <c r="K52" i="23" s="1"/>
  <c r="I52" i="23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U46" i="23" s="1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M37" i="23"/>
  <c r="A37" i="23" s="1"/>
  <c r="J37" i="23"/>
  <c r="K37" i="23" s="1"/>
  <c r="I37" i="23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K34" i="23"/>
  <c r="J34" i="23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B21" i="23"/>
  <c r="J20" i="23"/>
  <c r="K20" i="23" s="1"/>
  <c r="I20" i="23"/>
  <c r="B20" i="23"/>
  <c r="J19" i="23"/>
  <c r="K19" i="23" s="1"/>
  <c r="I19" i="23"/>
  <c r="B19" i="23"/>
  <c r="M18" i="23"/>
  <c r="A18" i="23" s="1"/>
  <c r="J18" i="23"/>
  <c r="K18" i="23" s="1"/>
  <c r="I18" i="23"/>
  <c r="B18" i="23"/>
  <c r="J17" i="23"/>
  <c r="K17" i="23" s="1"/>
  <c r="I17" i="23"/>
  <c r="B17" i="23"/>
  <c r="J16" i="23"/>
  <c r="K16" i="23" s="1"/>
  <c r="I16" i="23"/>
  <c r="B16" i="23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M13" i="23" s="1"/>
  <c r="A13" i="23" s="1"/>
  <c r="I13" i="23"/>
  <c r="B13" i="23"/>
  <c r="AI12" i="23"/>
  <c r="M12" i="23"/>
  <c r="A12" i="23" s="1"/>
  <c r="J12" i="23"/>
  <c r="K12" i="23" s="1"/>
  <c r="I12" i="23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AB24" i="20" s="1"/>
  <c r="K2" i="23"/>
  <c r="L9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M301" i="22"/>
  <c r="J301" i="22"/>
  <c r="K301" i="22" s="1"/>
  <c r="I301" i="22"/>
  <c r="J300" i="22"/>
  <c r="K300" i="22" s="1"/>
  <c r="I300" i="22"/>
  <c r="M300" i="22" s="1"/>
  <c r="J299" i="22"/>
  <c r="K299" i="22" s="1"/>
  <c r="I299" i="22"/>
  <c r="M299" i="22" s="1"/>
  <c r="K298" i="22"/>
  <c r="J298" i="22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M285" i="22"/>
  <c r="J285" i="22"/>
  <c r="K285" i="22" s="1"/>
  <c r="I285" i="22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M251" i="22"/>
  <c r="J251" i="22"/>
  <c r="K251" i="22" s="1"/>
  <c r="I251" i="22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M237" i="22"/>
  <c r="J237" i="22"/>
  <c r="K237" i="22" s="1"/>
  <c r="I237" i="22"/>
  <c r="J236" i="22"/>
  <c r="K236" i="22" s="1"/>
  <c r="I236" i="22"/>
  <c r="M236" i="22" s="1"/>
  <c r="J235" i="22"/>
  <c r="K235" i="22" s="1"/>
  <c r="I235" i="22"/>
  <c r="M235" i="22" s="1"/>
  <c r="K234" i="22"/>
  <c r="J234" i="22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J222" i="22"/>
  <c r="K222" i="22" s="1"/>
  <c r="I222" i="22"/>
  <c r="M222" i="22" s="1"/>
  <c r="K221" i="22"/>
  <c r="J221" i="22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M205" i="22"/>
  <c r="J205" i="22"/>
  <c r="K205" i="22" s="1"/>
  <c r="I205" i="22"/>
  <c r="J204" i="22"/>
  <c r="K204" i="22" s="1"/>
  <c r="I204" i="22"/>
  <c r="M204" i="22" s="1"/>
  <c r="J203" i="22"/>
  <c r="K203" i="22" s="1"/>
  <c r="I203" i="22"/>
  <c r="M203" i="22" s="1"/>
  <c r="K202" i="22"/>
  <c r="J202" i="22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M189" i="22"/>
  <c r="J189" i="22"/>
  <c r="K189" i="22" s="1"/>
  <c r="I189" i="22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M181" i="22"/>
  <c r="J181" i="22"/>
  <c r="K181" i="22" s="1"/>
  <c r="I181" i="22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M173" i="22"/>
  <c r="J173" i="22"/>
  <c r="K173" i="22" s="1"/>
  <c r="I173" i="22"/>
  <c r="J172" i="22"/>
  <c r="K172" i="22" s="1"/>
  <c r="I172" i="22"/>
  <c r="M172" i="22" s="1"/>
  <c r="M171" i="22"/>
  <c r="J171" i="22"/>
  <c r="K171" i="22" s="1"/>
  <c r="I171" i="22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K165" i="22"/>
  <c r="J165" i="22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M149" i="22"/>
  <c r="J149" i="22"/>
  <c r="K149" i="22" s="1"/>
  <c r="I149" i="22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M141" i="22"/>
  <c r="J141" i="22"/>
  <c r="K141" i="22" s="1"/>
  <c r="I141" i="22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K133" i="22"/>
  <c r="J133" i="22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M125" i="22"/>
  <c r="J125" i="22"/>
  <c r="K125" i="22" s="1"/>
  <c r="I125" i="22"/>
  <c r="J124" i="22"/>
  <c r="K124" i="22" s="1"/>
  <c r="I124" i="22"/>
  <c r="M124" i="22" s="1"/>
  <c r="K123" i="22"/>
  <c r="J123" i="22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K107" i="22"/>
  <c r="J107" i="22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M101" i="22"/>
  <c r="J101" i="22"/>
  <c r="K101" i="22" s="1"/>
  <c r="I101" i="22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M75" i="22"/>
  <c r="K75" i="22"/>
  <c r="J75" i="22"/>
  <c r="I75" i="22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M69" i="22"/>
  <c r="J69" i="22"/>
  <c r="K69" i="22" s="1"/>
  <c r="I69" i="22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M45" i="22"/>
  <c r="K45" i="22"/>
  <c r="J45" i="22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J42" i="22"/>
  <c r="K42" i="22" s="1"/>
  <c r="I42" i="22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M37" i="22"/>
  <c r="A37" i="22" s="1"/>
  <c r="K37" i="22"/>
  <c r="J37" i="22"/>
  <c r="I37" i="22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M29" i="22"/>
  <c r="A29" i="22" s="1"/>
  <c r="J29" i="22"/>
  <c r="K29" i="22" s="1"/>
  <c r="I29" i="22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M25" i="22"/>
  <c r="A25" i="22" s="1"/>
  <c r="J25" i="22"/>
  <c r="K25" i="22" s="1"/>
  <c r="I25" i="22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B14" i="22"/>
  <c r="A14" i="22"/>
  <c r="AI13" i="22"/>
  <c r="J13" i="22"/>
  <c r="K13" i="22" s="1"/>
  <c r="I13" i="22"/>
  <c r="B13" i="22"/>
  <c r="AI12" i="22"/>
  <c r="J12" i="22"/>
  <c r="K12" i="22" s="1"/>
  <c r="I12" i="22"/>
  <c r="M12" i="22" s="1"/>
  <c r="A12" i="22" s="1"/>
  <c r="B12" i="22"/>
  <c r="M11" i="22"/>
  <c r="A11" i="22" s="1"/>
  <c r="J11" i="22"/>
  <c r="K11" i="22" s="1"/>
  <c r="I11" i="22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M299" i="21"/>
  <c r="J299" i="21"/>
  <c r="K299" i="21" s="1"/>
  <c r="I299" i="21"/>
  <c r="J298" i="21"/>
  <c r="K298" i="21" s="1"/>
  <c r="I298" i="21"/>
  <c r="M298" i="21" s="1"/>
  <c r="K297" i="21"/>
  <c r="J297" i="21"/>
  <c r="I297" i="21"/>
  <c r="M297" i="21" s="1"/>
  <c r="J296" i="21"/>
  <c r="K296" i="21" s="1"/>
  <c r="I296" i="21"/>
  <c r="M296" i="21" s="1"/>
  <c r="K295" i="21"/>
  <c r="J295" i="2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M289" i="21"/>
  <c r="J289" i="21"/>
  <c r="K289" i="21" s="1"/>
  <c r="I289" i="2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M283" i="21"/>
  <c r="J283" i="21"/>
  <c r="K283" i="21" s="1"/>
  <c r="I283" i="21"/>
  <c r="J282" i="21"/>
  <c r="K282" i="21" s="1"/>
  <c r="I282" i="21"/>
  <c r="M282" i="21" s="1"/>
  <c r="K281" i="21"/>
  <c r="J281" i="21"/>
  <c r="I281" i="21"/>
  <c r="M281" i="21" s="1"/>
  <c r="J280" i="21"/>
  <c r="K280" i="21" s="1"/>
  <c r="I280" i="21"/>
  <c r="M280" i="21" s="1"/>
  <c r="K279" i="21"/>
  <c r="J279" i="2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M273" i="21"/>
  <c r="J273" i="21"/>
  <c r="K273" i="21" s="1"/>
  <c r="I273" i="2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M267" i="21"/>
  <c r="J267" i="21"/>
  <c r="K267" i="21" s="1"/>
  <c r="I267" i="21"/>
  <c r="J266" i="21"/>
  <c r="K266" i="21" s="1"/>
  <c r="I266" i="21"/>
  <c r="M266" i="21" s="1"/>
  <c r="K265" i="21"/>
  <c r="J265" i="21"/>
  <c r="I265" i="21"/>
  <c r="M265" i="21" s="1"/>
  <c r="J264" i="21"/>
  <c r="K264" i="21" s="1"/>
  <c r="I264" i="21"/>
  <c r="M264" i="21" s="1"/>
  <c r="K263" i="21"/>
  <c r="J263" i="2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M257" i="21"/>
  <c r="J257" i="21"/>
  <c r="K257" i="21" s="1"/>
  <c r="I257" i="2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M251" i="21"/>
  <c r="J251" i="21"/>
  <c r="K251" i="21" s="1"/>
  <c r="I251" i="21"/>
  <c r="J250" i="21"/>
  <c r="K250" i="21" s="1"/>
  <c r="I250" i="21"/>
  <c r="M250" i="21" s="1"/>
  <c r="K249" i="21"/>
  <c r="J249" i="21"/>
  <c r="I249" i="21"/>
  <c r="M249" i="21" s="1"/>
  <c r="J248" i="21"/>
  <c r="K248" i="21" s="1"/>
  <c r="I248" i="21"/>
  <c r="M248" i="21" s="1"/>
  <c r="K247" i="21"/>
  <c r="J247" i="2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M241" i="21"/>
  <c r="J241" i="21"/>
  <c r="K241" i="21" s="1"/>
  <c r="I241" i="2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M235" i="21"/>
  <c r="J235" i="21"/>
  <c r="K235" i="21" s="1"/>
  <c r="I235" i="21"/>
  <c r="J234" i="21"/>
  <c r="K234" i="21" s="1"/>
  <c r="I234" i="21"/>
  <c r="M234" i="21" s="1"/>
  <c r="K233" i="21"/>
  <c r="J233" i="21"/>
  <c r="I233" i="21"/>
  <c r="M233" i="21" s="1"/>
  <c r="J232" i="21"/>
  <c r="K232" i="21" s="1"/>
  <c r="I232" i="21"/>
  <c r="M232" i="21" s="1"/>
  <c r="K231" i="21"/>
  <c r="J231" i="2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M219" i="21"/>
  <c r="J219" i="21"/>
  <c r="K219" i="21" s="1"/>
  <c r="I219" i="21"/>
  <c r="J218" i="21"/>
  <c r="K218" i="21" s="1"/>
  <c r="I218" i="21"/>
  <c r="M218" i="21" s="1"/>
  <c r="K217" i="21"/>
  <c r="J217" i="21"/>
  <c r="I217" i="21"/>
  <c r="M217" i="21" s="1"/>
  <c r="J216" i="21"/>
  <c r="K216" i="21" s="1"/>
  <c r="I216" i="21"/>
  <c r="M216" i="21" s="1"/>
  <c r="K215" i="21"/>
  <c r="J215" i="2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M203" i="21"/>
  <c r="J203" i="21"/>
  <c r="K203" i="21" s="1"/>
  <c r="I203" i="21"/>
  <c r="J202" i="21"/>
  <c r="K202" i="21" s="1"/>
  <c r="I202" i="21"/>
  <c r="M202" i="21" s="1"/>
  <c r="K201" i="21"/>
  <c r="J201" i="21"/>
  <c r="I201" i="21"/>
  <c r="M201" i="21" s="1"/>
  <c r="J200" i="21"/>
  <c r="K200" i="21" s="1"/>
  <c r="I200" i="21"/>
  <c r="M200" i="21" s="1"/>
  <c r="K199" i="21"/>
  <c r="J199" i="2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M179" i="21"/>
  <c r="J179" i="21"/>
  <c r="K179" i="21" s="1"/>
  <c r="I179" i="2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K175" i="21"/>
  <c r="J175" i="2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M171" i="21"/>
  <c r="J171" i="21"/>
  <c r="K171" i="21" s="1"/>
  <c r="I171" i="2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K167" i="21"/>
  <c r="J167" i="2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M153" i="21"/>
  <c r="K153" i="21"/>
  <c r="J153" i="21"/>
  <c r="I153" i="21"/>
  <c r="J152" i="21"/>
  <c r="K152" i="21" s="1"/>
  <c r="I152" i="21"/>
  <c r="M152" i="21" s="1"/>
  <c r="K151" i="21"/>
  <c r="J151" i="2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M137" i="21"/>
  <c r="K137" i="21"/>
  <c r="J137" i="21"/>
  <c r="I137" i="2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M131" i="21"/>
  <c r="J131" i="21"/>
  <c r="K131" i="21" s="1"/>
  <c r="I131" i="2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J125" i="21"/>
  <c r="K125" i="21" s="1"/>
  <c r="I125" i="21"/>
  <c r="M125" i="21" s="1"/>
  <c r="K124" i="21"/>
  <c r="J124" i="21"/>
  <c r="I124" i="21"/>
  <c r="M124" i="21" s="1"/>
  <c r="J123" i="21"/>
  <c r="K123" i="21" s="1"/>
  <c r="I123" i="21"/>
  <c r="M123" i="21" s="1"/>
  <c r="J122" i="21"/>
  <c r="K122" i="21" s="1"/>
  <c r="I122" i="21"/>
  <c r="M122" i="21" s="1"/>
  <c r="K121" i="21"/>
  <c r="J121" i="21"/>
  <c r="I121" i="21"/>
  <c r="M121" i="21" s="1"/>
  <c r="K120" i="21"/>
  <c r="J120" i="21"/>
  <c r="I120" i="21"/>
  <c r="M120" i="21" s="1"/>
  <c r="M119" i="21"/>
  <c r="J119" i="21"/>
  <c r="K119" i="21" s="1"/>
  <c r="I119" i="2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M115" i="21"/>
  <c r="J115" i="21"/>
  <c r="K115" i="21" s="1"/>
  <c r="I115" i="2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M101" i="21"/>
  <c r="K101" i="21"/>
  <c r="J101" i="21"/>
  <c r="I101" i="21"/>
  <c r="J100" i="21"/>
  <c r="K100" i="21" s="1"/>
  <c r="I100" i="21"/>
  <c r="M100" i="21" s="1"/>
  <c r="J99" i="21"/>
  <c r="K99" i="21" s="1"/>
  <c r="I99" i="21"/>
  <c r="M99" i="21" s="1"/>
  <c r="K98" i="21"/>
  <c r="J98" i="21"/>
  <c r="I98" i="21"/>
  <c r="M98" i="21" s="1"/>
  <c r="J97" i="21"/>
  <c r="K97" i="21" s="1"/>
  <c r="I97" i="21"/>
  <c r="M97" i="21" s="1"/>
  <c r="K96" i="21"/>
  <c r="J96" i="21"/>
  <c r="I96" i="21"/>
  <c r="M96" i="21" s="1"/>
  <c r="M95" i="21"/>
  <c r="J95" i="21"/>
  <c r="K95" i="21" s="1"/>
  <c r="I95" i="21"/>
  <c r="J94" i="21"/>
  <c r="K94" i="21" s="1"/>
  <c r="I94" i="21"/>
  <c r="M94" i="21" s="1"/>
  <c r="J93" i="21"/>
  <c r="K93" i="21" s="1"/>
  <c r="I93" i="21"/>
  <c r="M93" i="21" s="1"/>
  <c r="K92" i="21"/>
  <c r="J92" i="21"/>
  <c r="I92" i="21"/>
  <c r="M92" i="21" s="1"/>
  <c r="M91" i="21"/>
  <c r="J91" i="21"/>
  <c r="K91" i="21" s="1"/>
  <c r="I91" i="21"/>
  <c r="J90" i="21"/>
  <c r="K90" i="21" s="1"/>
  <c r="I90" i="21"/>
  <c r="M90" i="21" s="1"/>
  <c r="M89" i="21"/>
  <c r="K89" i="21"/>
  <c r="J89" i="21"/>
  <c r="I89" i="2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K85" i="21"/>
  <c r="J85" i="21"/>
  <c r="I85" i="21"/>
  <c r="M85" i="21" s="1"/>
  <c r="K84" i="21"/>
  <c r="J84" i="2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K80" i="21"/>
  <c r="J80" i="21"/>
  <c r="I80" i="21"/>
  <c r="M80" i="21" s="1"/>
  <c r="M79" i="21"/>
  <c r="J79" i="21"/>
  <c r="K79" i="21" s="1"/>
  <c r="I79" i="2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K75" i="21"/>
  <c r="J75" i="21"/>
  <c r="I75" i="21"/>
  <c r="M75" i="21" s="1"/>
  <c r="K74" i="21"/>
  <c r="J74" i="2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K70" i="21"/>
  <c r="J70" i="21"/>
  <c r="I70" i="21"/>
  <c r="M70" i="21" s="1"/>
  <c r="M69" i="21"/>
  <c r="J69" i="21"/>
  <c r="K69" i="21" s="1"/>
  <c r="I69" i="21"/>
  <c r="J68" i="21"/>
  <c r="K68" i="21" s="1"/>
  <c r="I68" i="21"/>
  <c r="M68" i="21" s="1"/>
  <c r="M67" i="21"/>
  <c r="J67" i="21"/>
  <c r="K67" i="21" s="1"/>
  <c r="I67" i="21"/>
  <c r="K66" i="21"/>
  <c r="J66" i="2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K62" i="21"/>
  <c r="J62" i="2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J57" i="21"/>
  <c r="K57" i="21" s="1"/>
  <c r="I57" i="2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K51" i="21"/>
  <c r="J51" i="21"/>
  <c r="I51" i="21"/>
  <c r="M51" i="21" s="1"/>
  <c r="B51" i="21"/>
  <c r="M50" i="21"/>
  <c r="J50" i="21"/>
  <c r="K50" i="21" s="1"/>
  <c r="I50" i="21"/>
  <c r="B50" i="21"/>
  <c r="M49" i="21"/>
  <c r="J49" i="21"/>
  <c r="K49" i="21" s="1"/>
  <c r="I49" i="21"/>
  <c r="B49" i="21"/>
  <c r="J48" i="21"/>
  <c r="K48" i="21" s="1"/>
  <c r="I48" i="21"/>
  <c r="M48" i="21" s="1"/>
  <c r="B48" i="21"/>
  <c r="M47" i="21"/>
  <c r="K47" i="21"/>
  <c r="J47" i="21"/>
  <c r="I47" i="21"/>
  <c r="B47" i="21"/>
  <c r="U46" i="21"/>
  <c r="T46" i="21"/>
  <c r="R46" i="21"/>
  <c r="M46" i="21"/>
  <c r="K46" i="21"/>
  <c r="J46" i="21"/>
  <c r="I46" i="21"/>
  <c r="B46" i="21"/>
  <c r="M45" i="21"/>
  <c r="J45" i="21"/>
  <c r="K45" i="21" s="1"/>
  <c r="I45" i="21"/>
  <c r="B45" i="21"/>
  <c r="K44" i="21"/>
  <c r="J44" i="21"/>
  <c r="I44" i="21"/>
  <c r="M44" i="21" s="1"/>
  <c r="B44" i="21"/>
  <c r="K43" i="21"/>
  <c r="J43" i="21"/>
  <c r="I43" i="21"/>
  <c r="M43" i="21" s="1"/>
  <c r="B43" i="21"/>
  <c r="K42" i="21"/>
  <c r="J42" i="21"/>
  <c r="I42" i="21"/>
  <c r="M42" i="21" s="1"/>
  <c r="B42" i="21"/>
  <c r="M41" i="21"/>
  <c r="J41" i="21"/>
  <c r="K41" i="21" s="1"/>
  <c r="I41" i="21"/>
  <c r="B41" i="21"/>
  <c r="M40" i="21"/>
  <c r="J40" i="21"/>
  <c r="K40" i="21" s="1"/>
  <c r="I40" i="21"/>
  <c r="B40" i="21"/>
  <c r="J39" i="21"/>
  <c r="K39" i="21" s="1"/>
  <c r="I39" i="21"/>
  <c r="M39" i="21" s="1"/>
  <c r="B39" i="21"/>
  <c r="M38" i="21"/>
  <c r="K38" i="21"/>
  <c r="J38" i="21"/>
  <c r="I38" i="2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M34" i="21"/>
  <c r="A34" i="21" s="1"/>
  <c r="K34" i="21"/>
  <c r="J34" i="21"/>
  <c r="I34" i="21"/>
  <c r="B34" i="21"/>
  <c r="M33" i="21"/>
  <c r="A33" i="21" s="1"/>
  <c r="J33" i="21"/>
  <c r="K33" i="21" s="1"/>
  <c r="I33" i="21"/>
  <c r="B33" i="21"/>
  <c r="J32" i="21"/>
  <c r="K32" i="21" s="1"/>
  <c r="I32" i="21"/>
  <c r="M32" i="21" s="1"/>
  <c r="B32" i="21"/>
  <c r="A32" i="21"/>
  <c r="M31" i="21"/>
  <c r="A31" i="21" s="1"/>
  <c r="J31" i="21"/>
  <c r="K31" i="21" s="1"/>
  <c r="I31" i="21"/>
  <c r="B31" i="21"/>
  <c r="J30" i="21"/>
  <c r="K30" i="21" s="1"/>
  <c r="I30" i="21"/>
  <c r="M30" i="21" s="1"/>
  <c r="A30" i="21" s="1"/>
  <c r="B30" i="21"/>
  <c r="M29" i="21"/>
  <c r="A29" i="21" s="1"/>
  <c r="K29" i="21"/>
  <c r="J29" i="21"/>
  <c r="I29" i="21"/>
  <c r="B29" i="21"/>
  <c r="J28" i="21"/>
  <c r="K28" i="21" s="1"/>
  <c r="I28" i="21"/>
  <c r="M28" i="21" s="1"/>
  <c r="A28" i="21" s="1"/>
  <c r="B28" i="21"/>
  <c r="M27" i="21"/>
  <c r="A27" i="21" s="1"/>
  <c r="J27" i="21"/>
  <c r="K27" i="21" s="1"/>
  <c r="I27" i="21"/>
  <c r="B27" i="21"/>
  <c r="K26" i="21"/>
  <c r="J26" i="2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M23" i="21"/>
  <c r="A23" i="21" s="1"/>
  <c r="J23" i="21"/>
  <c r="K23" i="21" s="1"/>
  <c r="I23" i="21"/>
  <c r="B23" i="21"/>
  <c r="K22" i="21"/>
  <c r="J22" i="21"/>
  <c r="I22" i="21"/>
  <c r="M22" i="21" s="1"/>
  <c r="A22" i="21" s="1"/>
  <c r="B22" i="21"/>
  <c r="K21" i="21"/>
  <c r="J21" i="21"/>
  <c r="I21" i="21"/>
  <c r="M21" i="21" s="1"/>
  <c r="A21" i="21" s="1"/>
  <c r="B21" i="21"/>
  <c r="J20" i="21"/>
  <c r="K20" i="21" s="1"/>
  <c r="I20" i="21"/>
  <c r="M20" i="21" s="1"/>
  <c r="A20" i="21" s="1"/>
  <c r="B20" i="21"/>
  <c r="M19" i="21"/>
  <c r="A19" i="21" s="1"/>
  <c r="J19" i="21"/>
  <c r="K19" i="21" s="1"/>
  <c r="I19" i="21"/>
  <c r="B19" i="21"/>
  <c r="J18" i="21"/>
  <c r="K18" i="21" s="1"/>
  <c r="I18" i="21"/>
  <c r="M18" i="21" s="1"/>
  <c r="A18" i="21" s="1"/>
  <c r="B18" i="21"/>
  <c r="K17" i="21"/>
  <c r="J17" i="21"/>
  <c r="I17" i="21"/>
  <c r="M17" i="21" s="1"/>
  <c r="A17" i="21" s="1"/>
  <c r="B17" i="21"/>
  <c r="J16" i="21"/>
  <c r="K16" i="21" s="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A13" i="21" s="1"/>
  <c r="B13" i="21"/>
  <c r="AI12" i="21"/>
  <c r="J12" i="21"/>
  <c r="K12" i="21" s="1"/>
  <c r="I12" i="21"/>
  <c r="M12" i="21" s="1"/>
  <c r="A12" i="21" s="1"/>
  <c r="B12" i="21"/>
  <c r="J11" i="21"/>
  <c r="K11" i="21" s="1"/>
  <c r="I11" i="21"/>
  <c r="M11" i="21" s="1"/>
  <c r="A11" i="21" s="1"/>
  <c r="B11" i="21"/>
  <c r="J10" i="21"/>
  <c r="K10" i="21" s="1"/>
  <c r="I10" i="21"/>
  <c r="B10" i="21"/>
  <c r="K9" i="21"/>
  <c r="J9" i="21"/>
  <c r="I9" i="21"/>
  <c r="B9" i="21"/>
  <c r="J8" i="21"/>
  <c r="K8" i="21" s="1"/>
  <c r="I8" i="21"/>
  <c r="B8" i="21"/>
  <c r="L7" i="21"/>
  <c r="J7" i="21"/>
  <c r="K7" i="21" s="1"/>
  <c r="M7" i="21" s="1"/>
  <c r="A7" i="21" s="1"/>
  <c r="I7" i="21"/>
  <c r="B7" i="21"/>
  <c r="L6" i="21"/>
  <c r="J6" i="21"/>
  <c r="K6" i="21" s="1"/>
  <c r="M6" i="21" s="1"/>
  <c r="A6" i="21" s="1"/>
  <c r="I6" i="21"/>
  <c r="B6" i="21"/>
  <c r="X28" i="20" s="1"/>
  <c r="K2" i="21"/>
  <c r="AL29" i="20"/>
  <c r="AJ29" i="20"/>
  <c r="AK29" i="20" s="1"/>
  <c r="BF29" i="20" s="1"/>
  <c r="AH29" i="20"/>
  <c r="AI29" i="20" s="1"/>
  <c r="AF29" i="20"/>
  <c r="AB29" i="20"/>
  <c r="A29" i="20"/>
  <c r="AL28" i="20"/>
  <c r="AJ28" i="20"/>
  <c r="AK28" i="20" s="1"/>
  <c r="AH28" i="20"/>
  <c r="AI28" i="20" s="1"/>
  <c r="BE28" i="20" s="1"/>
  <c r="AF28" i="20"/>
  <c r="A28" i="20"/>
  <c r="AX27" i="20" a="1"/>
  <c r="AX27" i="20" s="1"/>
  <c r="AL27" i="20"/>
  <c r="AJ27" i="20"/>
  <c r="AK27" i="20" s="1"/>
  <c r="AH27" i="20"/>
  <c r="AI27" i="20" s="1"/>
  <c r="AF27" i="20"/>
  <c r="X27" i="20"/>
  <c r="A27" i="20"/>
  <c r="AL26" i="20"/>
  <c r="AJ26" i="20"/>
  <c r="AK26" i="20" s="1"/>
  <c r="BF26" i="20" s="1"/>
  <c r="AH26" i="20"/>
  <c r="AI26" i="20" s="1"/>
  <c r="BE26" i="20" s="1"/>
  <c r="AF26" i="20"/>
  <c r="AB26" i="20"/>
  <c r="X26" i="20"/>
  <c r="A26" i="20"/>
  <c r="AL25" i="20"/>
  <c r="AJ25" i="20"/>
  <c r="AK25" i="20" s="1"/>
  <c r="BF25" i="20" s="1"/>
  <c r="AH25" i="20"/>
  <c r="AI25" i="20" s="1"/>
  <c r="BE25" i="20" s="1"/>
  <c r="AF25" i="20"/>
  <c r="AB25" i="20"/>
  <c r="X25" i="20"/>
  <c r="A25" i="20"/>
  <c r="AL24" i="20"/>
  <c r="AJ24" i="20"/>
  <c r="AK24" i="20" s="1"/>
  <c r="BF24" i="20" s="1"/>
  <c r="AH24" i="20"/>
  <c r="AI24" i="20" s="1"/>
  <c r="BE24" i="20" s="1"/>
  <c r="AF24" i="20"/>
  <c r="Z24" i="20"/>
  <c r="X24" i="20"/>
  <c r="A24" i="20"/>
  <c r="AL23" i="20"/>
  <c r="AJ23" i="20"/>
  <c r="AK23" i="20" s="1"/>
  <c r="AH23" i="20"/>
  <c r="AI23" i="20" s="1"/>
  <c r="AF23" i="20"/>
  <c r="AB23" i="20"/>
  <c r="Z23" i="20"/>
  <c r="X23" i="20"/>
  <c r="A23" i="20"/>
  <c r="AL22" i="20"/>
  <c r="AJ22" i="20"/>
  <c r="AK22" i="20" s="1"/>
  <c r="BF22" i="20" s="1"/>
  <c r="AH22" i="20"/>
  <c r="AI22" i="20" s="1"/>
  <c r="AF22" i="20"/>
  <c r="AB22" i="20"/>
  <c r="Z22" i="20"/>
  <c r="X22" i="20"/>
  <c r="A22" i="20"/>
  <c r="AX21" i="20" a="1"/>
  <c r="AX21" i="20" s="1"/>
  <c r="AL21" i="20"/>
  <c r="AJ21" i="20"/>
  <c r="AK21" i="20" s="1"/>
  <c r="BF21" i="20" s="1"/>
  <c r="AH21" i="20"/>
  <c r="AI21" i="20" s="1"/>
  <c r="BE21" i="20" s="1"/>
  <c r="AF21" i="20"/>
  <c r="Z21" i="20"/>
  <c r="A21" i="20"/>
  <c r="AL20" i="20"/>
  <c r="AJ20" i="20"/>
  <c r="AK20" i="20" s="1"/>
  <c r="BF20" i="20" s="1"/>
  <c r="AH20" i="20"/>
  <c r="AI20" i="20" s="1"/>
  <c r="BE20" i="20" s="1"/>
  <c r="AF20" i="20"/>
  <c r="AB20" i="20"/>
  <c r="Z20" i="20"/>
  <c r="X20" i="20"/>
  <c r="A20" i="20"/>
  <c r="AX19" i="20" a="1"/>
  <c r="AX19" i="20" s="1"/>
  <c r="AL19" i="20"/>
  <c r="AJ19" i="20"/>
  <c r="AK19" i="20" s="1"/>
  <c r="BF19" i="20" s="1"/>
  <c r="AH19" i="20"/>
  <c r="AI19" i="20" s="1"/>
  <c r="BE19" i="20" s="1"/>
  <c r="AF19" i="20"/>
  <c r="AB19" i="20"/>
  <c r="A19" i="20"/>
  <c r="AL18" i="20"/>
  <c r="AJ18" i="20"/>
  <c r="AK18" i="20" s="1"/>
  <c r="AH18" i="20"/>
  <c r="AI18" i="20" s="1"/>
  <c r="AF18" i="20"/>
  <c r="AB18" i="20"/>
  <c r="Z18" i="20"/>
  <c r="A18" i="20"/>
  <c r="AX10" i="20" a="1"/>
  <c r="AX10" i="20" s="1"/>
  <c r="AL10" i="20"/>
  <c r="AJ10" i="20"/>
  <c r="AK10" i="20" s="1"/>
  <c r="AH10" i="20"/>
  <c r="AI10" i="20" s="1"/>
  <c r="AF10" i="20"/>
  <c r="AB10" i="20"/>
  <c r="X10" i="20"/>
  <c r="A10" i="20"/>
  <c r="AL11" i="20"/>
  <c r="AJ11" i="20"/>
  <c r="AK11" i="20" s="1"/>
  <c r="AH11" i="20"/>
  <c r="AI11" i="20" s="1"/>
  <c r="AF11" i="20"/>
  <c r="AB11" i="20"/>
  <c r="X11" i="20"/>
  <c r="A11" i="20"/>
  <c r="AX17" i="20" a="1"/>
  <c r="AX17" i="20" s="1"/>
  <c r="AL17" i="20"/>
  <c r="AJ17" i="20"/>
  <c r="AK17" i="20" s="1"/>
  <c r="AH17" i="20"/>
  <c r="AI17" i="20" s="1"/>
  <c r="AF17" i="20"/>
  <c r="AB17" i="20"/>
  <c r="Z17" i="20"/>
  <c r="X17" i="20"/>
  <c r="A17" i="20"/>
  <c r="AX13" i="20" a="1"/>
  <c r="AX13" i="20" s="1"/>
  <c r="AL13" i="20"/>
  <c r="AJ13" i="20"/>
  <c r="AK13" i="20" s="1"/>
  <c r="AH13" i="20"/>
  <c r="AI13" i="20" s="1"/>
  <c r="AF13" i="20"/>
  <c r="AB13" i="20"/>
  <c r="Z13" i="20"/>
  <c r="X13" i="20"/>
  <c r="A13" i="20"/>
  <c r="AX9" i="20" a="1"/>
  <c r="AX9" i="20" s="1"/>
  <c r="AL9" i="20"/>
  <c r="AJ9" i="20"/>
  <c r="AK9" i="20" s="1"/>
  <c r="AH9" i="20"/>
  <c r="AI9" i="20" s="1"/>
  <c r="AF9" i="20"/>
  <c r="AB9" i="20"/>
  <c r="Z9" i="20"/>
  <c r="X9" i="20"/>
  <c r="A9" i="20"/>
  <c r="AX16" i="20" a="1"/>
  <c r="AX16" i="20" s="1"/>
  <c r="AL16" i="20"/>
  <c r="AJ16" i="20"/>
  <c r="AK16" i="20" s="1"/>
  <c r="AH16" i="20"/>
  <c r="AI16" i="20" s="1"/>
  <c r="AF16" i="20"/>
  <c r="AB16" i="20"/>
  <c r="Z16" i="20"/>
  <c r="X16" i="20"/>
  <c r="A16" i="20"/>
  <c r="AX14" i="20" a="1"/>
  <c r="AX14" i="20" s="1"/>
  <c r="AL14" i="20"/>
  <c r="AJ14" i="20"/>
  <c r="AK14" i="20" s="1"/>
  <c r="AH14" i="20"/>
  <c r="AI14" i="20" s="1"/>
  <c r="AF14" i="20"/>
  <c r="AB14" i="20"/>
  <c r="Z14" i="20"/>
  <c r="X14" i="20"/>
  <c r="A14" i="20"/>
  <c r="AX8" i="20" a="1"/>
  <c r="AX8" i="20" s="1"/>
  <c r="AL8" i="20"/>
  <c r="AJ8" i="20"/>
  <c r="AK8" i="20" s="1"/>
  <c r="AH8" i="20"/>
  <c r="AI8" i="20" s="1"/>
  <c r="AF8" i="20"/>
  <c r="AB8" i="20"/>
  <c r="Z8" i="20"/>
  <c r="X8" i="20"/>
  <c r="A8" i="20"/>
  <c r="AX15" i="20" a="1"/>
  <c r="AX15" i="20" s="1"/>
  <c r="AL15" i="20"/>
  <c r="AJ15" i="20"/>
  <c r="AK15" i="20" s="1"/>
  <c r="AH15" i="20"/>
  <c r="AI15" i="20" s="1"/>
  <c r="AF15" i="20"/>
  <c r="AB15" i="20"/>
  <c r="Z15" i="20"/>
  <c r="X15" i="20"/>
  <c r="A15" i="20"/>
  <c r="AX7" i="20" a="1"/>
  <c r="AX7" i="20" s="1"/>
  <c r="AL7" i="20"/>
  <c r="AJ7" i="20"/>
  <c r="AK7" i="20" s="1"/>
  <c r="AH7" i="20"/>
  <c r="AI7" i="20" s="1"/>
  <c r="AF7" i="20"/>
  <c r="AB7" i="20"/>
  <c r="Z7" i="20"/>
  <c r="X7" i="20"/>
  <c r="A7" i="20"/>
  <c r="AX6" i="20" a="1"/>
  <c r="AX6" i="20" s="1"/>
  <c r="AL6" i="20"/>
  <c r="AJ6" i="20"/>
  <c r="AK6" i="20" s="1"/>
  <c r="AH6" i="20"/>
  <c r="AI6" i="20" s="1"/>
  <c r="BE7" i="20" s="1"/>
  <c r="AF6" i="20"/>
  <c r="AB6" i="20"/>
  <c r="Z6" i="20"/>
  <c r="X6" i="20"/>
  <c r="A6" i="20"/>
  <c r="AX12" i="20" a="1"/>
  <c r="AX12" i="20" s="1"/>
  <c r="AL12" i="20"/>
  <c r="AJ12" i="20"/>
  <c r="AK12" i="20" s="1"/>
  <c r="AH12" i="20"/>
  <c r="AI12" i="20" s="1"/>
  <c r="AF12" i="20"/>
  <c r="AB12" i="20"/>
  <c r="Z12" i="20"/>
  <c r="X12" i="20"/>
  <c r="A12" i="20"/>
  <c r="U6" i="13"/>
  <c r="U11" i="13"/>
  <c r="U10" i="13"/>
  <c r="U8" i="13"/>
  <c r="U15" i="13"/>
  <c r="U13" i="13"/>
  <c r="U9" i="13"/>
  <c r="M14" i="13"/>
  <c r="M6" i="13"/>
  <c r="M11" i="13"/>
  <c r="M13" i="13"/>
  <c r="M8" i="13"/>
  <c r="M10" i="13"/>
  <c r="M19" i="13"/>
  <c r="M9" i="13"/>
  <c r="B20" i="16"/>
  <c r="B19" i="16"/>
  <c r="B18" i="16"/>
  <c r="B17" i="16"/>
  <c r="B16" i="16"/>
  <c r="B15" i="16"/>
  <c r="B13" i="16"/>
  <c r="I29" i="20" s="1"/>
  <c r="B12" i="16"/>
  <c r="I17" i="20" s="1"/>
  <c r="B11" i="16"/>
  <c r="I16" i="20" s="1"/>
  <c r="B10" i="16"/>
  <c r="B9" i="16"/>
  <c r="B8" i="16"/>
  <c r="B7" i="16"/>
  <c r="I14" i="13" s="1"/>
  <c r="B6" i="16"/>
  <c r="I6" i="13" s="1"/>
  <c r="I7" i="13"/>
  <c r="K6" i="13"/>
  <c r="K11" i="13"/>
  <c r="K10" i="13"/>
  <c r="K13" i="13"/>
  <c r="K9" i="13"/>
  <c r="I22" i="13"/>
  <c r="I21" i="13"/>
  <c r="I20" i="13"/>
  <c r="I12" i="13"/>
  <c r="I16" i="13"/>
  <c r="I17" i="13"/>
  <c r="I19" i="13"/>
  <c r="I9" i="13"/>
  <c r="I13" i="13"/>
  <c r="I8" i="13"/>
  <c r="I10" i="13"/>
  <c r="I18" i="13"/>
  <c r="I15" i="13"/>
  <c r="I11" i="13"/>
  <c r="G17" i="13"/>
  <c r="G8" i="13"/>
  <c r="G9" i="13"/>
  <c r="G13" i="13"/>
  <c r="G6" i="13"/>
  <c r="G15" i="13"/>
  <c r="G11" i="13"/>
  <c r="G14" i="13"/>
  <c r="A22" i="13"/>
  <c r="A21" i="13"/>
  <c r="A20" i="13"/>
  <c r="A7" i="13"/>
  <c r="A12" i="13"/>
  <c r="A16" i="13"/>
  <c r="A19" i="13"/>
  <c r="A17" i="13"/>
  <c r="A8" i="13"/>
  <c r="A9" i="13"/>
  <c r="A13" i="13"/>
  <c r="A6" i="13"/>
  <c r="A15" i="13"/>
  <c r="A10" i="13"/>
  <c r="A18" i="13"/>
  <c r="A11" i="13"/>
  <c r="A14" i="13"/>
  <c r="J126" i="15"/>
  <c r="J125" i="15"/>
  <c r="J124" i="15"/>
  <c r="K124" i="15" s="1"/>
  <c r="J123" i="15"/>
  <c r="K123" i="15" s="1"/>
  <c r="J122" i="15"/>
  <c r="J121" i="15"/>
  <c r="J120" i="15"/>
  <c r="J119" i="15"/>
  <c r="K119" i="15" s="1"/>
  <c r="J118" i="15"/>
  <c r="K118" i="15" s="1"/>
  <c r="J117" i="15"/>
  <c r="J116" i="15"/>
  <c r="K116" i="15" s="1"/>
  <c r="J115" i="15"/>
  <c r="K115" i="15" s="1"/>
  <c r="J114" i="15"/>
  <c r="J113" i="15"/>
  <c r="J112" i="15"/>
  <c r="J111" i="15"/>
  <c r="J110" i="15"/>
  <c r="K110" i="15" s="1"/>
  <c r="J109" i="15"/>
  <c r="K109" i="15" s="1"/>
  <c r="J108" i="15"/>
  <c r="K108" i="15" s="1"/>
  <c r="J107" i="15"/>
  <c r="K107" i="15" s="1"/>
  <c r="J106" i="15"/>
  <c r="J105" i="15"/>
  <c r="K105" i="15" s="1"/>
  <c r="J104" i="15"/>
  <c r="K104" i="15" s="1"/>
  <c r="J103" i="15"/>
  <c r="J102" i="15"/>
  <c r="K102" i="15" s="1"/>
  <c r="J101" i="15"/>
  <c r="K101" i="15" s="1"/>
  <c r="J100" i="15"/>
  <c r="J99" i="15"/>
  <c r="K99" i="15" s="1"/>
  <c r="J98" i="15"/>
  <c r="J97" i="15"/>
  <c r="J96" i="15"/>
  <c r="J95" i="15"/>
  <c r="J94" i="15"/>
  <c r="K94" i="15" s="1"/>
  <c r="J93" i="15"/>
  <c r="K93" i="15" s="1"/>
  <c r="J92" i="15"/>
  <c r="K92" i="15" s="1"/>
  <c r="J91" i="15"/>
  <c r="K91" i="15" s="1"/>
  <c r="J90" i="15"/>
  <c r="J89" i="15"/>
  <c r="J88" i="15"/>
  <c r="J87" i="15"/>
  <c r="J86" i="15"/>
  <c r="J85" i="15"/>
  <c r="J84" i="15"/>
  <c r="J83" i="15"/>
  <c r="K83" i="15" s="1"/>
  <c r="J82" i="15"/>
  <c r="J81" i="15"/>
  <c r="K81" i="15" s="1"/>
  <c r="J80" i="15"/>
  <c r="K80" i="15" s="1"/>
  <c r="J79" i="15"/>
  <c r="J78" i="15"/>
  <c r="K78" i="15" s="1"/>
  <c r="J77" i="15"/>
  <c r="K77" i="15" s="1"/>
  <c r="J76" i="15"/>
  <c r="K76" i="15" s="1"/>
  <c r="J75" i="15"/>
  <c r="K75" i="15" s="1"/>
  <c r="J74" i="15"/>
  <c r="J73" i="15"/>
  <c r="J72" i="15"/>
  <c r="J71" i="15"/>
  <c r="J70" i="15"/>
  <c r="J69" i="15"/>
  <c r="K69" i="15" s="1"/>
  <c r="J68" i="15"/>
  <c r="K68" i="15" s="1"/>
  <c r="J67" i="15"/>
  <c r="K67" i="15" s="1"/>
  <c r="J66" i="15"/>
  <c r="J65" i="15"/>
  <c r="J64" i="15"/>
  <c r="J63" i="15"/>
  <c r="K63" i="15" s="1"/>
  <c r="J62" i="15"/>
  <c r="J61" i="15"/>
  <c r="K61" i="15" s="1"/>
  <c r="J60" i="15"/>
  <c r="K60" i="15" s="1"/>
  <c r="J59" i="15"/>
  <c r="K59" i="15" s="1"/>
  <c r="J58" i="15"/>
  <c r="J57" i="15"/>
  <c r="K57" i="15" s="1"/>
  <c r="J56" i="15"/>
  <c r="K56" i="15" s="1"/>
  <c r="J55" i="15"/>
  <c r="J54" i="15"/>
  <c r="J53" i="15"/>
  <c r="J52" i="15"/>
  <c r="K52" i="15" s="1"/>
  <c r="J51" i="15"/>
  <c r="K51" i="15" s="1"/>
  <c r="J50" i="15"/>
  <c r="J49" i="15"/>
  <c r="J48" i="15"/>
  <c r="J47" i="15"/>
  <c r="J46" i="15"/>
  <c r="J45" i="15"/>
  <c r="K45" i="15" s="1"/>
  <c r="J44" i="15"/>
  <c r="K44" i="15" s="1"/>
  <c r="J43" i="15"/>
  <c r="K43" i="15" s="1"/>
  <c r="J42" i="15"/>
  <c r="J41" i="15"/>
  <c r="J40" i="15"/>
  <c r="J39" i="15"/>
  <c r="K39" i="15" s="1"/>
  <c r="J38" i="15"/>
  <c r="K38" i="15" s="1"/>
  <c r="J37" i="15"/>
  <c r="K37" i="15" s="1"/>
  <c r="J36" i="15"/>
  <c r="K36" i="15" s="1"/>
  <c r="J35" i="15"/>
  <c r="K35" i="15" s="1"/>
  <c r="J34" i="15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J25" i="15"/>
  <c r="J24" i="15"/>
  <c r="J23" i="15"/>
  <c r="K23" i="15" s="1"/>
  <c r="J22" i="15"/>
  <c r="J21" i="15"/>
  <c r="K21" i="15" s="1"/>
  <c r="J20" i="15"/>
  <c r="K20" i="15" s="1"/>
  <c r="J19" i="15"/>
  <c r="K19" i="15" s="1"/>
  <c r="J18" i="15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J9" i="15"/>
  <c r="K9" i="15" s="1"/>
  <c r="J8" i="15"/>
  <c r="K8" i="15" s="1"/>
  <c r="J7" i="15"/>
  <c r="J126" i="16"/>
  <c r="J125" i="16"/>
  <c r="J124" i="16"/>
  <c r="J123" i="16"/>
  <c r="K123" i="16" s="1"/>
  <c r="J122" i="16"/>
  <c r="J121" i="16"/>
  <c r="K121" i="16" s="1"/>
  <c r="J120" i="16"/>
  <c r="J119" i="16"/>
  <c r="J118" i="16"/>
  <c r="J117" i="16"/>
  <c r="K117" i="16" s="1"/>
  <c r="J116" i="16"/>
  <c r="K116" i="16" s="1"/>
  <c r="J115" i="16"/>
  <c r="J114" i="16"/>
  <c r="J113" i="16"/>
  <c r="K113" i="16" s="1"/>
  <c r="J112" i="16"/>
  <c r="J111" i="16"/>
  <c r="J110" i="16"/>
  <c r="J109" i="16"/>
  <c r="J108" i="16"/>
  <c r="J107" i="16"/>
  <c r="K107" i="16" s="1"/>
  <c r="J106" i="16"/>
  <c r="J105" i="16"/>
  <c r="K105" i="16" s="1"/>
  <c r="J104" i="16"/>
  <c r="K104" i="16" s="1"/>
  <c r="J103" i="16"/>
  <c r="J102" i="16"/>
  <c r="J101" i="16"/>
  <c r="J100" i="16"/>
  <c r="J99" i="16"/>
  <c r="K99" i="16" s="1"/>
  <c r="J98" i="16"/>
  <c r="J97" i="16"/>
  <c r="J96" i="16"/>
  <c r="J95" i="16"/>
  <c r="J94" i="16"/>
  <c r="J93" i="16"/>
  <c r="K93" i="16" s="1"/>
  <c r="J92" i="16"/>
  <c r="K92" i="16" s="1"/>
  <c r="J91" i="16"/>
  <c r="K91" i="16" s="1"/>
  <c r="J90" i="16"/>
  <c r="J89" i="16"/>
  <c r="K89" i="16" s="1"/>
  <c r="J88" i="16"/>
  <c r="J87" i="16"/>
  <c r="J86" i="16"/>
  <c r="J85" i="16"/>
  <c r="J84" i="16"/>
  <c r="J83" i="16"/>
  <c r="K83" i="16" s="1"/>
  <c r="J82" i="16"/>
  <c r="J81" i="16"/>
  <c r="K81" i="16" s="1"/>
  <c r="J80" i="16"/>
  <c r="K80" i="16" s="1"/>
  <c r="J79" i="16"/>
  <c r="J78" i="16"/>
  <c r="J77" i="16"/>
  <c r="J76" i="16"/>
  <c r="J75" i="16"/>
  <c r="K75" i="16" s="1"/>
  <c r="J74" i="16"/>
  <c r="J73" i="16"/>
  <c r="K73" i="16" s="1"/>
  <c r="J72" i="16"/>
  <c r="J71" i="16"/>
  <c r="J70" i="16"/>
  <c r="J69" i="16"/>
  <c r="J68" i="16"/>
  <c r="K68" i="16" s="1"/>
  <c r="J67" i="16"/>
  <c r="K67" i="16" s="1"/>
  <c r="J66" i="16"/>
  <c r="J65" i="16"/>
  <c r="K65" i="16" s="1"/>
  <c r="J64" i="16"/>
  <c r="J63" i="16"/>
  <c r="J62" i="16"/>
  <c r="J61" i="16"/>
  <c r="J60" i="16"/>
  <c r="J59" i="16"/>
  <c r="K59" i="16" s="1"/>
  <c r="J58" i="16"/>
  <c r="J57" i="16"/>
  <c r="K57" i="16" s="1"/>
  <c r="J56" i="16"/>
  <c r="K56" i="16" s="1"/>
  <c r="J55" i="16"/>
  <c r="J54" i="16"/>
  <c r="J53" i="16"/>
  <c r="J52" i="16"/>
  <c r="J51" i="16"/>
  <c r="K51" i="16" s="1"/>
  <c r="J50" i="16"/>
  <c r="J49" i="16"/>
  <c r="K49" i="16" s="1"/>
  <c r="J48" i="16"/>
  <c r="J47" i="16"/>
  <c r="J46" i="16"/>
  <c r="J45" i="16"/>
  <c r="J44" i="16"/>
  <c r="K44" i="16" s="1"/>
  <c r="J43" i="16"/>
  <c r="K43" i="16" s="1"/>
  <c r="J42" i="16"/>
  <c r="J41" i="16"/>
  <c r="K41" i="16" s="1"/>
  <c r="J40" i="16"/>
  <c r="J39" i="16"/>
  <c r="J38" i="16"/>
  <c r="J37" i="16"/>
  <c r="J36" i="16"/>
  <c r="J35" i="16"/>
  <c r="K35" i="16" s="1"/>
  <c r="J34" i="16"/>
  <c r="J33" i="16"/>
  <c r="K33" i="16" s="1"/>
  <c r="J32" i="16"/>
  <c r="K32" i="16" s="1"/>
  <c r="J31" i="16"/>
  <c r="K31" i="16" s="1"/>
  <c r="J30" i="16"/>
  <c r="J29" i="16"/>
  <c r="J28" i="16"/>
  <c r="J27" i="16"/>
  <c r="K27" i="16" s="1"/>
  <c r="J26" i="16"/>
  <c r="J25" i="16"/>
  <c r="J24" i="16"/>
  <c r="J23" i="16"/>
  <c r="J22" i="16"/>
  <c r="J21" i="16"/>
  <c r="K21" i="16" s="1"/>
  <c r="J20" i="16"/>
  <c r="K20" i="16" s="1"/>
  <c r="J19" i="16"/>
  <c r="K19" i="16" s="1"/>
  <c r="J18" i="16"/>
  <c r="J17" i="16"/>
  <c r="K17" i="16" s="1"/>
  <c r="J16" i="16"/>
  <c r="J15" i="16"/>
  <c r="J14" i="16"/>
  <c r="J13" i="16"/>
  <c r="J12" i="16"/>
  <c r="J11" i="16"/>
  <c r="K11" i="16" s="1"/>
  <c r="J10" i="16"/>
  <c r="J9" i="16"/>
  <c r="K9" i="16" s="1"/>
  <c r="J8" i="16"/>
  <c r="K8" i="16" s="1"/>
  <c r="J7" i="16"/>
  <c r="K7" i="16" s="1"/>
  <c r="J126" i="17"/>
  <c r="J125" i="17"/>
  <c r="J124" i="17"/>
  <c r="J123" i="17"/>
  <c r="J122" i="17"/>
  <c r="J121" i="17"/>
  <c r="J120" i="17"/>
  <c r="J119" i="17"/>
  <c r="J118" i="17"/>
  <c r="J117" i="17"/>
  <c r="K117" i="17" s="1"/>
  <c r="J116" i="17"/>
  <c r="K116" i="17" s="1"/>
  <c r="J115" i="17"/>
  <c r="K115" i="17" s="1"/>
  <c r="J114" i="17"/>
  <c r="J113" i="17"/>
  <c r="J112" i="17"/>
  <c r="J111" i="17"/>
  <c r="J110" i="17"/>
  <c r="J109" i="17"/>
  <c r="J108" i="17"/>
  <c r="J107" i="17"/>
  <c r="K107" i="17" s="1"/>
  <c r="J106" i="17"/>
  <c r="J105" i="17"/>
  <c r="K105" i="17" s="1"/>
  <c r="J104" i="17"/>
  <c r="K104" i="17" s="1"/>
  <c r="J103" i="17"/>
  <c r="K103" i="17" s="1"/>
  <c r="J102" i="17"/>
  <c r="J101" i="17"/>
  <c r="J100" i="17"/>
  <c r="J99" i="17"/>
  <c r="K99" i="17" s="1"/>
  <c r="J98" i="17"/>
  <c r="J97" i="17"/>
  <c r="J96" i="17"/>
  <c r="J95" i="17"/>
  <c r="J94" i="17"/>
  <c r="J93" i="17"/>
  <c r="K93" i="17" s="1"/>
  <c r="J92" i="17"/>
  <c r="K92" i="17" s="1"/>
  <c r="J91" i="17"/>
  <c r="K91" i="17" s="1"/>
  <c r="J90" i="17"/>
  <c r="J89" i="17"/>
  <c r="J88" i="17"/>
  <c r="J87" i="17"/>
  <c r="J86" i="17"/>
  <c r="J85" i="17"/>
  <c r="J84" i="17"/>
  <c r="J83" i="17"/>
  <c r="J82" i="17"/>
  <c r="J81" i="17"/>
  <c r="K81" i="17" s="1"/>
  <c r="J80" i="17"/>
  <c r="K80" i="17" s="1"/>
  <c r="J79" i="17"/>
  <c r="J78" i="17"/>
  <c r="J77" i="17"/>
  <c r="J76" i="17"/>
  <c r="J75" i="17"/>
  <c r="K75" i="17" s="1"/>
  <c r="J74" i="17"/>
  <c r="J73" i="17"/>
  <c r="J72" i="17"/>
  <c r="J71" i="17"/>
  <c r="J70" i="17"/>
  <c r="J69" i="17"/>
  <c r="K69" i="17" s="1"/>
  <c r="J68" i="17"/>
  <c r="K68" i="17" s="1"/>
  <c r="J67" i="17"/>
  <c r="K67" i="17" s="1"/>
  <c r="J66" i="17"/>
  <c r="J65" i="17"/>
  <c r="J64" i="17"/>
  <c r="J63" i="17"/>
  <c r="J62" i="17"/>
  <c r="J61" i="17"/>
  <c r="J60" i="17"/>
  <c r="J59" i="17"/>
  <c r="J58" i="17"/>
  <c r="J57" i="17"/>
  <c r="K57" i="17" s="1"/>
  <c r="J56" i="17"/>
  <c r="K56" i="17" s="1"/>
  <c r="J55" i="17"/>
  <c r="J54" i="17"/>
  <c r="J53" i="17"/>
  <c r="J52" i="17"/>
  <c r="J51" i="17"/>
  <c r="K51" i="17" s="1"/>
  <c r="J50" i="17"/>
  <c r="J49" i="17"/>
  <c r="J48" i="17"/>
  <c r="J47" i="17"/>
  <c r="J46" i="17"/>
  <c r="J45" i="17"/>
  <c r="K45" i="17" s="1"/>
  <c r="J44" i="17"/>
  <c r="K44" i="17" s="1"/>
  <c r="J43" i="17"/>
  <c r="K43" i="17" s="1"/>
  <c r="J42" i="17"/>
  <c r="J41" i="17"/>
  <c r="J40" i="17"/>
  <c r="J39" i="17"/>
  <c r="J38" i="17"/>
  <c r="J37" i="17"/>
  <c r="J36" i="17"/>
  <c r="J35" i="17"/>
  <c r="K35" i="17" s="1"/>
  <c r="J34" i="17"/>
  <c r="J33" i="17"/>
  <c r="K33" i="17" s="1"/>
  <c r="J32" i="17"/>
  <c r="K32" i="17" s="1"/>
  <c r="J31" i="17"/>
  <c r="J30" i="17"/>
  <c r="J29" i="17"/>
  <c r="J28" i="17"/>
  <c r="J27" i="17"/>
  <c r="K27" i="17" s="1"/>
  <c r="J26" i="17"/>
  <c r="J25" i="17"/>
  <c r="J24" i="17"/>
  <c r="J23" i="17"/>
  <c r="J22" i="17"/>
  <c r="J21" i="17"/>
  <c r="K21" i="17" s="1"/>
  <c r="J20" i="17"/>
  <c r="K20" i="17" s="1"/>
  <c r="J19" i="17"/>
  <c r="K19" i="17" s="1"/>
  <c r="J18" i="17"/>
  <c r="J17" i="17"/>
  <c r="J16" i="17"/>
  <c r="J15" i="17"/>
  <c r="J14" i="17"/>
  <c r="J13" i="17"/>
  <c r="J12" i="17"/>
  <c r="J11" i="17"/>
  <c r="K11" i="17" s="1"/>
  <c r="J10" i="17"/>
  <c r="J9" i="17"/>
  <c r="K9" i="17" s="1"/>
  <c r="J8" i="17"/>
  <c r="K8" i="17" s="1"/>
  <c r="J7" i="17"/>
  <c r="K7" i="17" s="1"/>
  <c r="J126" i="18"/>
  <c r="J125" i="18"/>
  <c r="J124" i="18"/>
  <c r="J123" i="18"/>
  <c r="J122" i="18"/>
  <c r="J121" i="18"/>
  <c r="J120" i="18"/>
  <c r="J119" i="18"/>
  <c r="K119" i="18" s="1"/>
  <c r="J118" i="18"/>
  <c r="K118" i="18" s="1"/>
  <c r="J117" i="18"/>
  <c r="K117" i="18" s="1"/>
  <c r="J116" i="18"/>
  <c r="K116" i="18" s="1"/>
  <c r="J115" i="18"/>
  <c r="K115" i="18" s="1"/>
  <c r="J114" i="18"/>
  <c r="J113" i="18"/>
  <c r="J112" i="18"/>
  <c r="J111" i="18"/>
  <c r="K111" i="18" s="1"/>
  <c r="J110" i="18"/>
  <c r="K110" i="18" s="1"/>
  <c r="J109" i="18"/>
  <c r="J108" i="18"/>
  <c r="J107" i="18"/>
  <c r="J106" i="18"/>
  <c r="J105" i="18"/>
  <c r="K105" i="18" s="1"/>
  <c r="J104" i="18"/>
  <c r="K104" i="18" s="1"/>
  <c r="J103" i="18"/>
  <c r="K103" i="18" s="1"/>
  <c r="J102" i="18"/>
  <c r="K102" i="18" s="1"/>
  <c r="J101" i="18"/>
  <c r="J100" i="18"/>
  <c r="J99" i="18"/>
  <c r="J98" i="18"/>
  <c r="J97" i="18"/>
  <c r="J96" i="18"/>
  <c r="J95" i="18"/>
  <c r="K95" i="18" s="1"/>
  <c r="J94" i="18"/>
  <c r="J93" i="18"/>
  <c r="K93" i="18" s="1"/>
  <c r="J92" i="18"/>
  <c r="K92" i="18" s="1"/>
  <c r="J91" i="18"/>
  <c r="K91" i="18" s="1"/>
  <c r="J90" i="18"/>
  <c r="J89" i="18"/>
  <c r="J88" i="18"/>
  <c r="J87" i="18"/>
  <c r="K87" i="18" s="1"/>
  <c r="J86" i="18"/>
  <c r="K86" i="18" s="1"/>
  <c r="J85" i="18"/>
  <c r="J84" i="18"/>
  <c r="J83" i="18"/>
  <c r="J82" i="18"/>
  <c r="J81" i="18"/>
  <c r="K81" i="18" s="1"/>
  <c r="J80" i="18"/>
  <c r="K80" i="18" s="1"/>
  <c r="J79" i="18"/>
  <c r="K79" i="18" s="1"/>
  <c r="J78" i="18"/>
  <c r="K78" i="18" s="1"/>
  <c r="J77" i="18"/>
  <c r="J76" i="18"/>
  <c r="J75" i="18"/>
  <c r="J74" i="18"/>
  <c r="J73" i="18"/>
  <c r="J72" i="18"/>
  <c r="J71" i="18"/>
  <c r="J70" i="18"/>
  <c r="J69" i="18"/>
  <c r="K69" i="18" s="1"/>
  <c r="J68" i="18"/>
  <c r="K68" i="18" s="1"/>
  <c r="J67" i="18"/>
  <c r="K67" i="18" s="1"/>
  <c r="J66" i="18"/>
  <c r="J65" i="18"/>
  <c r="J64" i="18"/>
  <c r="J63" i="18"/>
  <c r="K63" i="18" s="1"/>
  <c r="J62" i="18"/>
  <c r="K62" i="18" s="1"/>
  <c r="J61" i="18"/>
  <c r="J60" i="18"/>
  <c r="J59" i="18"/>
  <c r="J58" i="18"/>
  <c r="J57" i="18"/>
  <c r="K57" i="18" s="1"/>
  <c r="J56" i="18"/>
  <c r="K56" i="18" s="1"/>
  <c r="J55" i="18"/>
  <c r="K55" i="18" s="1"/>
  <c r="J54" i="18"/>
  <c r="K54" i="18" s="1"/>
  <c r="J53" i="18"/>
  <c r="J52" i="18"/>
  <c r="J51" i="18"/>
  <c r="J50" i="18"/>
  <c r="J49" i="18"/>
  <c r="J48" i="18"/>
  <c r="J47" i="18"/>
  <c r="K47" i="18" s="1"/>
  <c r="J46" i="18"/>
  <c r="J45" i="18"/>
  <c r="K45" i="18" s="1"/>
  <c r="J44" i="18"/>
  <c r="K44" i="18" s="1"/>
  <c r="J43" i="18"/>
  <c r="K43" i="18" s="1"/>
  <c r="J42" i="18"/>
  <c r="J41" i="18"/>
  <c r="J40" i="18"/>
  <c r="J39" i="18"/>
  <c r="K39" i="18" s="1"/>
  <c r="J38" i="18"/>
  <c r="K38" i="18" s="1"/>
  <c r="J37" i="18"/>
  <c r="J36" i="18"/>
  <c r="J35" i="18"/>
  <c r="J34" i="18"/>
  <c r="J33" i="18"/>
  <c r="K33" i="18" s="1"/>
  <c r="J32" i="18"/>
  <c r="K32" i="18" s="1"/>
  <c r="J31" i="18"/>
  <c r="K31" i="18" s="1"/>
  <c r="J30" i="18"/>
  <c r="K30" i="18" s="1"/>
  <c r="J29" i="18"/>
  <c r="J28" i="18"/>
  <c r="J27" i="18"/>
  <c r="J26" i="18"/>
  <c r="J25" i="18"/>
  <c r="J24" i="18"/>
  <c r="J23" i="18"/>
  <c r="J22" i="18"/>
  <c r="J21" i="18"/>
  <c r="K21" i="18" s="1"/>
  <c r="J20" i="18"/>
  <c r="K20" i="18" s="1"/>
  <c r="J19" i="18"/>
  <c r="K19" i="18" s="1"/>
  <c r="J18" i="18"/>
  <c r="J17" i="18"/>
  <c r="J16" i="18"/>
  <c r="J15" i="18"/>
  <c r="K15" i="18" s="1"/>
  <c r="J14" i="18"/>
  <c r="K14" i="18" s="1"/>
  <c r="J13" i="18"/>
  <c r="J12" i="18"/>
  <c r="J11" i="18"/>
  <c r="J10" i="18"/>
  <c r="J9" i="18"/>
  <c r="K9" i="18" s="1"/>
  <c r="J8" i="18"/>
  <c r="K8" i="18" s="1"/>
  <c r="J7" i="18"/>
  <c r="K7" i="18" s="1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K116" i="19" s="1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K105" i="19" s="1"/>
  <c r="J104" i="19"/>
  <c r="K104" i="19" s="1"/>
  <c r="J103" i="19"/>
  <c r="K103" i="19" s="1"/>
  <c r="J102" i="19"/>
  <c r="J101" i="19"/>
  <c r="J100" i="19"/>
  <c r="K100" i="19" s="1"/>
  <c r="J99" i="19"/>
  <c r="J98" i="19"/>
  <c r="K98" i="19" s="1"/>
  <c r="J97" i="19"/>
  <c r="J96" i="19"/>
  <c r="J95" i="19"/>
  <c r="J94" i="19"/>
  <c r="J93" i="19"/>
  <c r="K93" i="19" s="1"/>
  <c r="J92" i="19"/>
  <c r="K92" i="19" s="1"/>
  <c r="J91" i="19"/>
  <c r="K91" i="19" s="1"/>
  <c r="J90" i="19"/>
  <c r="K90" i="19" s="1"/>
  <c r="J89" i="19"/>
  <c r="J88" i="19"/>
  <c r="J87" i="19"/>
  <c r="J86" i="19"/>
  <c r="J85" i="19"/>
  <c r="J84" i="19"/>
  <c r="K84" i="19" s="1"/>
  <c r="J83" i="19"/>
  <c r="J82" i="19"/>
  <c r="K82" i="19" s="1"/>
  <c r="J81" i="19"/>
  <c r="K81" i="19" s="1"/>
  <c r="J80" i="19"/>
  <c r="K80" i="19" s="1"/>
  <c r="J79" i="19"/>
  <c r="K79" i="19" s="1"/>
  <c r="J78" i="19"/>
  <c r="J77" i="19"/>
  <c r="J76" i="19"/>
  <c r="J75" i="19"/>
  <c r="J74" i="19"/>
  <c r="K74" i="19" s="1"/>
  <c r="J73" i="19"/>
  <c r="J72" i="19"/>
  <c r="J71" i="19"/>
  <c r="J70" i="19"/>
  <c r="J69" i="19"/>
  <c r="K69" i="19" s="1"/>
  <c r="J68" i="19"/>
  <c r="K68" i="19" s="1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K58" i="19" s="1"/>
  <c r="J57" i="19"/>
  <c r="K57" i="19" s="1"/>
  <c r="J56" i="19"/>
  <c r="K56" i="19" s="1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K45" i="19" s="1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K33" i="19" s="1"/>
  <c r="J32" i="19"/>
  <c r="K32" i="19" s="1"/>
  <c r="J31" i="19"/>
  <c r="K31" i="19" s="1"/>
  <c r="J30" i="19"/>
  <c r="J29" i="19"/>
  <c r="J28" i="19"/>
  <c r="J27" i="19"/>
  <c r="J26" i="19"/>
  <c r="K26" i="19" s="1"/>
  <c r="J25" i="19"/>
  <c r="J24" i="19"/>
  <c r="J23" i="19"/>
  <c r="J22" i="19"/>
  <c r="J21" i="19"/>
  <c r="K21" i="19" s="1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K9" i="19" s="1"/>
  <c r="J8" i="19"/>
  <c r="K8" i="19" s="1"/>
  <c r="J7" i="19"/>
  <c r="K7" i="19" s="1"/>
  <c r="J126" i="14"/>
  <c r="J125" i="14"/>
  <c r="J124" i="14"/>
  <c r="J123" i="14"/>
  <c r="J122" i="14"/>
  <c r="J121" i="14"/>
  <c r="J120" i="14"/>
  <c r="J119" i="14"/>
  <c r="J118" i="14"/>
  <c r="J117" i="14"/>
  <c r="K117" i="14" s="1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K105" i="14" s="1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K93" i="14" s="1"/>
  <c r="J92" i="14"/>
  <c r="K92" i="14" s="1"/>
  <c r="J91" i="14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K57" i="14" s="1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K45" i="14" s="1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K33" i="14" s="1"/>
  <c r="J32" i="14"/>
  <c r="K32" i="14" s="1"/>
  <c r="J31" i="14"/>
  <c r="K31" i="14" s="1"/>
  <c r="J30" i="14"/>
  <c r="J29" i="14"/>
  <c r="J28" i="14"/>
  <c r="J27" i="14"/>
  <c r="J26" i="14"/>
  <c r="K26" i="14" s="1"/>
  <c r="J25" i="14"/>
  <c r="J24" i="14"/>
  <c r="J23" i="14"/>
  <c r="J22" i="14"/>
  <c r="J21" i="14"/>
  <c r="K21" i="14" s="1"/>
  <c r="J20" i="14"/>
  <c r="K20" i="14" s="1"/>
  <c r="J19" i="14"/>
  <c r="K19" i="14" s="1"/>
  <c r="J18" i="14"/>
  <c r="J17" i="14"/>
  <c r="J16" i="14"/>
  <c r="J15" i="14"/>
  <c r="J13" i="14"/>
  <c r="J12" i="14"/>
  <c r="J11" i="14"/>
  <c r="J10" i="14"/>
  <c r="J9" i="14"/>
  <c r="J8" i="14"/>
  <c r="K8" i="14" s="1"/>
  <c r="J7" i="14"/>
  <c r="K7" i="14" s="1"/>
  <c r="J6" i="15"/>
  <c r="J6" i="16"/>
  <c r="J6" i="17"/>
  <c r="J6" i="18"/>
  <c r="J6" i="19"/>
  <c r="J6" i="14"/>
  <c r="J305" i="15"/>
  <c r="J304" i="15"/>
  <c r="J303" i="15"/>
  <c r="J302" i="15"/>
  <c r="K302" i="15" s="1"/>
  <c r="J301" i="15"/>
  <c r="K301" i="15" s="1"/>
  <c r="J300" i="15"/>
  <c r="K300" i="15" s="1"/>
  <c r="J299" i="15"/>
  <c r="K299" i="15" s="1"/>
  <c r="J298" i="15"/>
  <c r="J297" i="15"/>
  <c r="J296" i="15"/>
  <c r="K296" i="15" s="1"/>
  <c r="J295" i="15"/>
  <c r="K295" i="15" s="1"/>
  <c r="J294" i="15"/>
  <c r="K294" i="15" s="1"/>
  <c r="J293" i="15"/>
  <c r="K293" i="15" s="1"/>
  <c r="J292" i="15"/>
  <c r="J291" i="15"/>
  <c r="K291" i="15" s="1"/>
  <c r="J290" i="15"/>
  <c r="K290" i="15" s="1"/>
  <c r="J289" i="15"/>
  <c r="K289" i="15" s="1"/>
  <c r="J288" i="15"/>
  <c r="K288" i="15" s="1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K281" i="15" s="1"/>
  <c r="J280" i="15"/>
  <c r="J279" i="15"/>
  <c r="K279" i="15" s="1"/>
  <c r="J278" i="15"/>
  <c r="J277" i="15"/>
  <c r="K277" i="15" s="1"/>
  <c r="J276" i="15"/>
  <c r="K276" i="15" s="1"/>
  <c r="J275" i="15"/>
  <c r="J274" i="15"/>
  <c r="J273" i="15"/>
  <c r="J272" i="15"/>
  <c r="K272" i="15" s="1"/>
  <c r="J271" i="15"/>
  <c r="J270" i="15"/>
  <c r="K270" i="15" s="1"/>
  <c r="J269" i="15"/>
  <c r="K269" i="15" s="1"/>
  <c r="J268" i="15"/>
  <c r="K268" i="15" s="1"/>
  <c r="J267" i="15"/>
  <c r="K267" i="15" s="1"/>
  <c r="J266" i="15"/>
  <c r="J265" i="15"/>
  <c r="K265" i="15" s="1"/>
  <c r="J264" i="15"/>
  <c r="K264" i="15" s="1"/>
  <c r="J263" i="15"/>
  <c r="J262" i="15"/>
  <c r="J261" i="15"/>
  <c r="J260" i="15"/>
  <c r="K260" i="15" s="1"/>
  <c r="J259" i="15"/>
  <c r="K259" i="15" s="1"/>
  <c r="J258" i="15"/>
  <c r="K258" i="15" s="1"/>
  <c r="J257" i="15"/>
  <c r="K257" i="15" s="1"/>
  <c r="J256" i="15"/>
  <c r="J255" i="15"/>
  <c r="J254" i="15"/>
  <c r="K254" i="15" s="1"/>
  <c r="J253" i="15"/>
  <c r="K253" i="15" s="1"/>
  <c r="J252" i="15"/>
  <c r="K252" i="15" s="1"/>
  <c r="J251" i="15"/>
  <c r="K251" i="15" s="1"/>
  <c r="J250" i="15"/>
  <c r="J249" i="15"/>
  <c r="J248" i="15"/>
  <c r="K248" i="15" s="1"/>
  <c r="J247" i="15"/>
  <c r="J246" i="15"/>
  <c r="K246" i="15" s="1"/>
  <c r="J245" i="15"/>
  <c r="K245" i="15" s="1"/>
  <c r="J244" i="15"/>
  <c r="J243" i="15"/>
  <c r="K243" i="15" s="1"/>
  <c r="J242" i="15"/>
  <c r="J241" i="15"/>
  <c r="K241" i="15" s="1"/>
  <c r="J240" i="15"/>
  <c r="K240" i="15" s="1"/>
  <c r="J239" i="15"/>
  <c r="J238" i="15"/>
  <c r="K238" i="15" s="1"/>
  <c r="J237" i="15"/>
  <c r="K237" i="15" s="1"/>
  <c r="J236" i="15"/>
  <c r="K236" i="15" s="1"/>
  <c r="J235" i="15"/>
  <c r="K235" i="15" s="1"/>
  <c r="J234" i="15"/>
  <c r="K234" i="15" s="1"/>
  <c r="J233" i="15"/>
  <c r="K233" i="15" s="1"/>
  <c r="J232" i="15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K224" i="15" s="1"/>
  <c r="J223" i="15"/>
  <c r="J222" i="15"/>
  <c r="K222" i="15" s="1"/>
  <c r="J221" i="15"/>
  <c r="K221" i="15" s="1"/>
  <c r="J220" i="15"/>
  <c r="K220" i="15" s="1"/>
  <c r="J219" i="15"/>
  <c r="K219" i="15" s="1"/>
  <c r="J218" i="15"/>
  <c r="J217" i="15"/>
  <c r="K217" i="15" s="1"/>
  <c r="J216" i="15"/>
  <c r="K216" i="15" s="1"/>
  <c r="J215" i="15"/>
  <c r="K215" i="15" s="1"/>
  <c r="J214" i="15"/>
  <c r="J213" i="15"/>
  <c r="J212" i="15"/>
  <c r="K212" i="15" s="1"/>
  <c r="J211" i="15"/>
  <c r="K211" i="15" s="1"/>
  <c r="J210" i="15"/>
  <c r="K210" i="15" s="1"/>
  <c r="J209" i="15"/>
  <c r="K209" i="15" s="1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J201" i="15"/>
  <c r="J200" i="15"/>
  <c r="K200" i="15" s="1"/>
  <c r="J199" i="15"/>
  <c r="J198" i="15"/>
  <c r="K198" i="15" s="1"/>
  <c r="J197" i="15"/>
  <c r="K197" i="15" s="1"/>
  <c r="J196" i="15"/>
  <c r="J195" i="15"/>
  <c r="K195" i="15" s="1"/>
  <c r="J194" i="15"/>
  <c r="J193" i="15"/>
  <c r="K193" i="15" s="1"/>
  <c r="J192" i="15"/>
  <c r="K192" i="15" s="1"/>
  <c r="J191" i="15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K185" i="15" s="1"/>
  <c r="J184" i="15"/>
  <c r="J183" i="15"/>
  <c r="J182" i="15"/>
  <c r="J181" i="15"/>
  <c r="K181" i="15" s="1"/>
  <c r="J180" i="15"/>
  <c r="K180" i="15" s="1"/>
  <c r="J179" i="15"/>
  <c r="K179" i="15" s="1"/>
  <c r="J178" i="15"/>
  <c r="J177" i="15"/>
  <c r="J176" i="15"/>
  <c r="K176" i="15" s="1"/>
  <c r="J175" i="15"/>
  <c r="K175" i="15" s="1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K169" i="15" s="1"/>
  <c r="J168" i="15"/>
  <c r="K168" i="15" s="1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K158" i="15" s="1"/>
  <c r="J157" i="15"/>
  <c r="K157" i="15" s="1"/>
  <c r="J156" i="15"/>
  <c r="K156" i="15" s="1"/>
  <c r="J155" i="15"/>
  <c r="K155" i="15" s="1"/>
  <c r="J154" i="15"/>
  <c r="J153" i="15"/>
  <c r="J152" i="15"/>
  <c r="K152" i="15" s="1"/>
  <c r="J151" i="15"/>
  <c r="J150" i="15"/>
  <c r="J149" i="15"/>
  <c r="K149" i="15" s="1"/>
  <c r="J148" i="15"/>
  <c r="J147" i="15"/>
  <c r="K147" i="15" s="1"/>
  <c r="J146" i="15"/>
  <c r="K146" i="15" s="1"/>
  <c r="J145" i="15"/>
  <c r="K145" i="15" s="1"/>
  <c r="J144" i="15"/>
  <c r="K144" i="15" s="1"/>
  <c r="J143" i="15"/>
  <c r="J142" i="15"/>
  <c r="J141" i="15"/>
  <c r="K141" i="15" s="1"/>
  <c r="J140" i="15"/>
  <c r="K140" i="15" s="1"/>
  <c r="J139" i="15"/>
  <c r="K139" i="15" s="1"/>
  <c r="J138" i="15"/>
  <c r="K138" i="15" s="1"/>
  <c r="J137" i="15"/>
  <c r="K137" i="15" s="1"/>
  <c r="J136" i="15"/>
  <c r="J135" i="15"/>
  <c r="K135" i="15" s="1"/>
  <c r="J134" i="15"/>
  <c r="K134" i="15" s="1"/>
  <c r="J133" i="15"/>
  <c r="K133" i="15" s="1"/>
  <c r="J132" i="15"/>
  <c r="K132" i="15" s="1"/>
  <c r="J131" i="15"/>
  <c r="K131" i="15" s="1"/>
  <c r="J130" i="15"/>
  <c r="J129" i="15"/>
  <c r="J128" i="15"/>
  <c r="K128" i="15" s="1"/>
  <c r="J127" i="15"/>
  <c r="K126" i="15"/>
  <c r="K125" i="15"/>
  <c r="K121" i="15"/>
  <c r="K114" i="15"/>
  <c r="K97" i="15"/>
  <c r="K96" i="15"/>
  <c r="K90" i="15"/>
  <c r="K85" i="15"/>
  <c r="K84" i="15"/>
  <c r="K66" i="15"/>
  <c r="K65" i="15"/>
  <c r="K54" i="15"/>
  <c r="K53" i="15"/>
  <c r="K49" i="15"/>
  <c r="K48" i="15"/>
  <c r="K42" i="15"/>
  <c r="K25" i="15"/>
  <c r="K24" i="15"/>
  <c r="K18" i="15"/>
  <c r="K17" i="15"/>
  <c r="J305" i="16"/>
  <c r="K305" i="16" s="1"/>
  <c r="J304" i="16"/>
  <c r="K304" i="16" s="1"/>
  <c r="J303" i="16"/>
  <c r="J302" i="16"/>
  <c r="J301" i="16"/>
  <c r="J300" i="16"/>
  <c r="K300" i="16" s="1"/>
  <c r="J299" i="16"/>
  <c r="K299" i="16" s="1"/>
  <c r="J298" i="16"/>
  <c r="K298" i="16" s="1"/>
  <c r="J297" i="16"/>
  <c r="J296" i="16"/>
  <c r="J295" i="16"/>
  <c r="K295" i="16" s="1"/>
  <c r="J294" i="16"/>
  <c r="K294" i="16" s="1"/>
  <c r="J293" i="16"/>
  <c r="K293" i="16" s="1"/>
  <c r="J292" i="16"/>
  <c r="K292" i="16" s="1"/>
  <c r="J291" i="16"/>
  <c r="J290" i="16"/>
  <c r="K290" i="16" s="1"/>
  <c r="J289" i="16"/>
  <c r="J288" i="16"/>
  <c r="K288" i="16" s="1"/>
  <c r="J287" i="16"/>
  <c r="K287" i="16" s="1"/>
  <c r="J286" i="16"/>
  <c r="J285" i="16"/>
  <c r="J284" i="16"/>
  <c r="J283" i="16"/>
  <c r="K283" i="16" s="1"/>
  <c r="J282" i="16"/>
  <c r="K282" i="16" s="1"/>
  <c r="J281" i="16"/>
  <c r="K281" i="16" s="1"/>
  <c r="J280" i="16"/>
  <c r="K280" i="16" s="1"/>
  <c r="J279" i="16"/>
  <c r="J278" i="16"/>
  <c r="J277" i="16"/>
  <c r="J276" i="16"/>
  <c r="K276" i="16" s="1"/>
  <c r="J275" i="16"/>
  <c r="K275" i="16" s="1"/>
  <c r="J274" i="16"/>
  <c r="K274" i="16" s="1"/>
  <c r="J273" i="16"/>
  <c r="J272" i="16"/>
  <c r="J271" i="16"/>
  <c r="K271" i="16" s="1"/>
  <c r="J270" i="16"/>
  <c r="K270" i="16" s="1"/>
  <c r="J269" i="16"/>
  <c r="K269" i="16" s="1"/>
  <c r="J268" i="16"/>
  <c r="K268" i="16" s="1"/>
  <c r="J267" i="16"/>
  <c r="K267" i="16" s="1"/>
  <c r="J266" i="16"/>
  <c r="K266" i="16" s="1"/>
  <c r="J265" i="16"/>
  <c r="J264" i="16"/>
  <c r="K264" i="16" s="1"/>
  <c r="J263" i="16"/>
  <c r="K263" i="16" s="1"/>
  <c r="J262" i="16"/>
  <c r="J261" i="16"/>
  <c r="J260" i="16"/>
  <c r="J259" i="16"/>
  <c r="K259" i="16" s="1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K247" i="16" s="1"/>
  <c r="J246" i="16"/>
  <c r="K246" i="16" s="1"/>
  <c r="J245" i="16"/>
  <c r="K245" i="16" s="1"/>
  <c r="J244" i="16"/>
  <c r="K244" i="16" s="1"/>
  <c r="J243" i="16"/>
  <c r="K243" i="16" s="1"/>
  <c r="J242" i="16"/>
  <c r="K242" i="16" s="1"/>
  <c r="J241" i="16"/>
  <c r="J240" i="16"/>
  <c r="K240" i="16" s="1"/>
  <c r="J239" i="16"/>
  <c r="K239" i="16" s="1"/>
  <c r="J238" i="16"/>
  <c r="J237" i="16"/>
  <c r="J236" i="16"/>
  <c r="J235" i="16"/>
  <c r="K235" i="16" s="1"/>
  <c r="J234" i="16"/>
  <c r="K234" i="16" s="1"/>
  <c r="J233" i="16"/>
  <c r="K233" i="16" s="1"/>
  <c r="J232" i="16"/>
  <c r="K232" i="16" s="1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K223" i="16" s="1"/>
  <c r="J222" i="16"/>
  <c r="K222" i="16" s="1"/>
  <c r="J221" i="16"/>
  <c r="K221" i="16" s="1"/>
  <c r="J220" i="16"/>
  <c r="K220" i="16" s="1"/>
  <c r="J219" i="16"/>
  <c r="K219" i="16" s="1"/>
  <c r="J218" i="16"/>
  <c r="K218" i="16" s="1"/>
  <c r="J217" i="16"/>
  <c r="J216" i="16"/>
  <c r="K216" i="16" s="1"/>
  <c r="J215" i="16"/>
  <c r="K215" i="16" s="1"/>
  <c r="J214" i="16"/>
  <c r="J213" i="16"/>
  <c r="J212" i="16"/>
  <c r="J211" i="16"/>
  <c r="K211" i="16" s="1"/>
  <c r="J210" i="16"/>
  <c r="K210" i="16" s="1"/>
  <c r="J209" i="16"/>
  <c r="K209" i="16" s="1"/>
  <c r="J208" i="16"/>
  <c r="K208" i="16" s="1"/>
  <c r="J207" i="16"/>
  <c r="J206" i="16"/>
  <c r="J205" i="16"/>
  <c r="J204" i="16"/>
  <c r="K204" i="16" s="1"/>
  <c r="J203" i="16"/>
  <c r="K203" i="16" s="1"/>
  <c r="J202" i="16"/>
  <c r="J201" i="16"/>
  <c r="J200" i="16"/>
  <c r="J199" i="16"/>
  <c r="K199" i="16" s="1"/>
  <c r="J198" i="16"/>
  <c r="K198" i="16" s="1"/>
  <c r="J197" i="16"/>
  <c r="K197" i="16" s="1"/>
  <c r="J196" i="16"/>
  <c r="K196" i="16" s="1"/>
  <c r="J195" i="16"/>
  <c r="K195" i="16" s="1"/>
  <c r="J194" i="16"/>
  <c r="J193" i="16"/>
  <c r="J192" i="16"/>
  <c r="K192" i="16" s="1"/>
  <c r="J191" i="16"/>
  <c r="K191" i="16" s="1"/>
  <c r="J190" i="16"/>
  <c r="J189" i="16"/>
  <c r="J188" i="16"/>
  <c r="J187" i="16"/>
  <c r="K187" i="16" s="1"/>
  <c r="J186" i="16"/>
  <c r="K186" i="16" s="1"/>
  <c r="J185" i="16"/>
  <c r="K185" i="16" s="1"/>
  <c r="J184" i="16"/>
  <c r="K184" i="16" s="1"/>
  <c r="J183" i="16"/>
  <c r="J182" i="16"/>
  <c r="J181" i="16"/>
  <c r="J180" i="16"/>
  <c r="K180" i="16" s="1"/>
  <c r="J179" i="16"/>
  <c r="K179" i="16" s="1"/>
  <c r="J178" i="16"/>
  <c r="J177" i="16"/>
  <c r="J176" i="16"/>
  <c r="J175" i="16"/>
  <c r="K175" i="16" s="1"/>
  <c r="J174" i="16"/>
  <c r="K174" i="16" s="1"/>
  <c r="J173" i="16"/>
  <c r="K173" i="16" s="1"/>
  <c r="J172" i="16"/>
  <c r="K172" i="16" s="1"/>
  <c r="J171" i="16"/>
  <c r="K171" i="16" s="1"/>
  <c r="J170" i="16"/>
  <c r="K170" i="16" s="1"/>
  <c r="J169" i="16"/>
  <c r="J168" i="16"/>
  <c r="K168" i="16" s="1"/>
  <c r="J167" i="16"/>
  <c r="K167" i="16" s="1"/>
  <c r="J166" i="16"/>
  <c r="J165" i="16"/>
  <c r="J164" i="16"/>
  <c r="J163" i="16"/>
  <c r="K163" i="16" s="1"/>
  <c r="J162" i="16"/>
  <c r="K162" i="16" s="1"/>
  <c r="J161" i="16"/>
  <c r="K161" i="16" s="1"/>
  <c r="J160" i="16"/>
  <c r="K160" i="16" s="1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K151" i="16" s="1"/>
  <c r="J150" i="16"/>
  <c r="K150" i="16" s="1"/>
  <c r="J149" i="16"/>
  <c r="K149" i="16" s="1"/>
  <c r="J148" i="16"/>
  <c r="K148" i="16" s="1"/>
  <c r="J147" i="16"/>
  <c r="K147" i="16" s="1"/>
  <c r="J146" i="16"/>
  <c r="K146" i="16" s="1"/>
  <c r="J145" i="16"/>
  <c r="J144" i="16"/>
  <c r="K144" i="16" s="1"/>
  <c r="J143" i="16"/>
  <c r="K143" i="16" s="1"/>
  <c r="J142" i="16"/>
  <c r="J141" i="16"/>
  <c r="J140" i="16"/>
  <c r="J139" i="16"/>
  <c r="K139" i="16" s="1"/>
  <c r="J138" i="16"/>
  <c r="K138" i="16" s="1"/>
  <c r="J137" i="16"/>
  <c r="K137" i="16" s="1"/>
  <c r="J136" i="16"/>
  <c r="K136" i="16" s="1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K127" i="16" s="1"/>
  <c r="K125" i="16"/>
  <c r="K124" i="16"/>
  <c r="K120" i="16"/>
  <c r="K119" i="16"/>
  <c r="K115" i="16"/>
  <c r="K112" i="16"/>
  <c r="K108" i="16"/>
  <c r="K103" i="16"/>
  <c r="K101" i="16"/>
  <c r="K100" i="16"/>
  <c r="K96" i="16"/>
  <c r="K95" i="16"/>
  <c r="K88" i="16"/>
  <c r="K84" i="16"/>
  <c r="K79" i="16"/>
  <c r="K77" i="16"/>
  <c r="K76" i="16"/>
  <c r="K72" i="16"/>
  <c r="K71" i="16"/>
  <c r="K60" i="16"/>
  <c r="K53" i="16"/>
  <c r="K48" i="16"/>
  <c r="K47" i="16"/>
  <c r="K40" i="16"/>
  <c r="K36" i="16"/>
  <c r="K29" i="16"/>
  <c r="K28" i="16"/>
  <c r="K24" i="16"/>
  <c r="K23" i="16"/>
  <c r="K16" i="16"/>
  <c r="K12" i="16"/>
  <c r="J305" i="17"/>
  <c r="J304" i="17"/>
  <c r="K304" i="17" s="1"/>
  <c r="J303" i="17"/>
  <c r="K303" i="17" s="1"/>
  <c r="J302" i="17"/>
  <c r="J301" i="17"/>
  <c r="K301" i="17" s="1"/>
  <c r="J300" i="17"/>
  <c r="K300" i="17" s="1"/>
  <c r="J299" i="17"/>
  <c r="K299" i="17" s="1"/>
  <c r="J298" i="17"/>
  <c r="K298" i="17" s="1"/>
  <c r="J297" i="17"/>
  <c r="J296" i="17"/>
  <c r="K296" i="17" s="1"/>
  <c r="J295" i="17"/>
  <c r="J294" i="17"/>
  <c r="K294" i="17" s="1"/>
  <c r="J293" i="17"/>
  <c r="J292" i="17"/>
  <c r="K292" i="17" s="1"/>
  <c r="J291" i="17"/>
  <c r="K291" i="17" s="1"/>
  <c r="J290" i="17"/>
  <c r="J289" i="17"/>
  <c r="K289" i="17" s="1"/>
  <c r="J288" i="17"/>
  <c r="K288" i="17" s="1"/>
  <c r="J287" i="17"/>
  <c r="K287" i="17" s="1"/>
  <c r="J286" i="17"/>
  <c r="K286" i="17" s="1"/>
  <c r="J285" i="17"/>
  <c r="J284" i="17"/>
  <c r="K284" i="17" s="1"/>
  <c r="J283" i="17"/>
  <c r="J282" i="17"/>
  <c r="K282" i="17" s="1"/>
  <c r="J281" i="17"/>
  <c r="J280" i="17"/>
  <c r="K280" i="17" s="1"/>
  <c r="J279" i="17"/>
  <c r="K279" i="17" s="1"/>
  <c r="J278" i="17"/>
  <c r="J277" i="17"/>
  <c r="K277" i="17" s="1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J265" i="17"/>
  <c r="K265" i="17" s="1"/>
  <c r="J264" i="17"/>
  <c r="K264" i="17" s="1"/>
  <c r="J263" i="17"/>
  <c r="K263" i="17" s="1"/>
  <c r="J262" i="17"/>
  <c r="K262" i="17" s="1"/>
  <c r="J261" i="17"/>
  <c r="J260" i="17"/>
  <c r="J259" i="17"/>
  <c r="J258" i="17"/>
  <c r="K258" i="17" s="1"/>
  <c r="J257" i="17"/>
  <c r="J256" i="17"/>
  <c r="K256" i="17" s="1"/>
  <c r="J255" i="17"/>
  <c r="K255" i="17" s="1"/>
  <c r="J254" i="17"/>
  <c r="J253" i="17"/>
  <c r="J252" i="17"/>
  <c r="K252" i="17" s="1"/>
  <c r="J251" i="17"/>
  <c r="K251" i="17" s="1"/>
  <c r="J250" i="17"/>
  <c r="K250" i="17" s="1"/>
  <c r="J249" i="17"/>
  <c r="J248" i="17"/>
  <c r="K248" i="17" s="1"/>
  <c r="J247" i="17"/>
  <c r="J246" i="17"/>
  <c r="J245" i="17"/>
  <c r="J244" i="17"/>
  <c r="K244" i="17" s="1"/>
  <c r="J243" i="17"/>
  <c r="J242" i="17"/>
  <c r="J241" i="17"/>
  <c r="K241" i="17" s="1"/>
  <c r="J240" i="17"/>
  <c r="K240" i="17" s="1"/>
  <c r="J239" i="17"/>
  <c r="K239" i="17" s="1"/>
  <c r="J238" i="17"/>
  <c r="K238" i="17" s="1"/>
  <c r="J237" i="17"/>
  <c r="J236" i="17"/>
  <c r="K236" i="17" s="1"/>
  <c r="J235" i="17"/>
  <c r="J234" i="17"/>
  <c r="K234" i="17" s="1"/>
  <c r="J233" i="17"/>
  <c r="J232" i="17"/>
  <c r="K232" i="17" s="1"/>
  <c r="J231" i="17"/>
  <c r="K231" i="17" s="1"/>
  <c r="J230" i="17"/>
  <c r="J229" i="17"/>
  <c r="K229" i="17" s="1"/>
  <c r="J228" i="17"/>
  <c r="K228" i="17" s="1"/>
  <c r="J227" i="17"/>
  <c r="K227" i="17" s="1"/>
  <c r="J226" i="17"/>
  <c r="K226" i="17" s="1"/>
  <c r="J225" i="17"/>
  <c r="J224" i="17"/>
  <c r="K224" i="17" s="1"/>
  <c r="J223" i="17"/>
  <c r="J222" i="17"/>
  <c r="K222" i="17" s="1"/>
  <c r="J221" i="17"/>
  <c r="J220" i="17"/>
  <c r="K220" i="17" s="1"/>
  <c r="J219" i="17"/>
  <c r="K219" i="17" s="1"/>
  <c r="J218" i="17"/>
  <c r="J217" i="17"/>
  <c r="K217" i="17" s="1"/>
  <c r="J216" i="17"/>
  <c r="K216" i="17" s="1"/>
  <c r="J215" i="17"/>
  <c r="K215" i="17" s="1"/>
  <c r="J214" i="17"/>
  <c r="K214" i="17" s="1"/>
  <c r="J213" i="17"/>
  <c r="J212" i="17"/>
  <c r="K212" i="17" s="1"/>
  <c r="J211" i="17"/>
  <c r="J210" i="17"/>
  <c r="K210" i="17" s="1"/>
  <c r="J209" i="17"/>
  <c r="J208" i="17"/>
  <c r="K208" i="17" s="1"/>
  <c r="J207" i="17"/>
  <c r="K207" i="17" s="1"/>
  <c r="J206" i="17"/>
  <c r="J205" i="17"/>
  <c r="K205" i="17" s="1"/>
  <c r="J204" i="17"/>
  <c r="K204" i="17" s="1"/>
  <c r="J203" i="17"/>
  <c r="K203" i="17" s="1"/>
  <c r="J202" i="17"/>
  <c r="K202" i="17" s="1"/>
  <c r="J201" i="17"/>
  <c r="J200" i="17"/>
  <c r="K200" i="17" s="1"/>
  <c r="J199" i="17"/>
  <c r="J198" i="17"/>
  <c r="K198" i="17" s="1"/>
  <c r="J197" i="17"/>
  <c r="J196" i="17"/>
  <c r="K196" i="17" s="1"/>
  <c r="J195" i="17"/>
  <c r="K195" i="17" s="1"/>
  <c r="J194" i="17"/>
  <c r="J193" i="17"/>
  <c r="K193" i="17" s="1"/>
  <c r="J192" i="17"/>
  <c r="K192" i="17" s="1"/>
  <c r="J191" i="17"/>
  <c r="K191" i="17" s="1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K183" i="17" s="1"/>
  <c r="J182" i="17"/>
  <c r="J181" i="17"/>
  <c r="K181" i="17" s="1"/>
  <c r="J180" i="17"/>
  <c r="K180" i="17" s="1"/>
  <c r="J179" i="17"/>
  <c r="K179" i="17" s="1"/>
  <c r="J178" i="17"/>
  <c r="K178" i="17" s="1"/>
  <c r="J177" i="17"/>
  <c r="J176" i="17"/>
  <c r="K176" i="17" s="1"/>
  <c r="J175" i="17"/>
  <c r="J174" i="17"/>
  <c r="K174" i="17" s="1"/>
  <c r="J173" i="17"/>
  <c r="J172" i="17"/>
  <c r="K172" i="17" s="1"/>
  <c r="J171" i="17"/>
  <c r="K171" i="17" s="1"/>
  <c r="J170" i="17"/>
  <c r="J169" i="17"/>
  <c r="K169" i="17" s="1"/>
  <c r="J168" i="17"/>
  <c r="K168" i="17" s="1"/>
  <c r="J167" i="17"/>
  <c r="K167" i="17" s="1"/>
  <c r="J166" i="17"/>
  <c r="K166" i="17" s="1"/>
  <c r="J165" i="17"/>
  <c r="J164" i="17"/>
  <c r="K164" i="17" s="1"/>
  <c r="J163" i="17"/>
  <c r="J162" i="17"/>
  <c r="K162" i="17" s="1"/>
  <c r="J161" i="17"/>
  <c r="J160" i="17"/>
  <c r="K160" i="17" s="1"/>
  <c r="J159" i="17"/>
  <c r="K159" i="17" s="1"/>
  <c r="J158" i="17"/>
  <c r="J157" i="17"/>
  <c r="K157" i="17" s="1"/>
  <c r="J156" i="17"/>
  <c r="K156" i="17" s="1"/>
  <c r="J155" i="17"/>
  <c r="K155" i="17" s="1"/>
  <c r="J154" i="17"/>
  <c r="K154" i="17" s="1"/>
  <c r="J153" i="17"/>
  <c r="J152" i="17"/>
  <c r="K152" i="17" s="1"/>
  <c r="J151" i="17"/>
  <c r="J150" i="17"/>
  <c r="K150" i="17" s="1"/>
  <c r="J149" i="17"/>
  <c r="J148" i="17"/>
  <c r="K148" i="17" s="1"/>
  <c r="J147" i="17"/>
  <c r="K147" i="17" s="1"/>
  <c r="J146" i="17"/>
  <c r="J145" i="17"/>
  <c r="K145" i="17" s="1"/>
  <c r="J144" i="17"/>
  <c r="K144" i="17" s="1"/>
  <c r="J143" i="17"/>
  <c r="K143" i="17" s="1"/>
  <c r="J142" i="17"/>
  <c r="K142" i="17" s="1"/>
  <c r="J141" i="17"/>
  <c r="J140" i="17"/>
  <c r="K140" i="17" s="1"/>
  <c r="J139" i="17"/>
  <c r="J138" i="17"/>
  <c r="K138" i="17" s="1"/>
  <c r="J137" i="17"/>
  <c r="J136" i="17"/>
  <c r="K136" i="17" s="1"/>
  <c r="J135" i="17"/>
  <c r="K135" i="17" s="1"/>
  <c r="J134" i="17"/>
  <c r="J133" i="17"/>
  <c r="K133" i="17" s="1"/>
  <c r="J132" i="17"/>
  <c r="K132" i="17" s="1"/>
  <c r="J131" i="17"/>
  <c r="K131" i="17" s="1"/>
  <c r="J130" i="17"/>
  <c r="K130" i="17" s="1"/>
  <c r="J129" i="17"/>
  <c r="J128" i="17"/>
  <c r="J127" i="17"/>
  <c r="K126" i="17"/>
  <c r="K124" i="17"/>
  <c r="K123" i="17"/>
  <c r="K119" i="17"/>
  <c r="K118" i="17"/>
  <c r="K114" i="17"/>
  <c r="K112" i="17"/>
  <c r="K111" i="17"/>
  <c r="K106" i="17"/>
  <c r="K102" i="17"/>
  <c r="K100" i="17"/>
  <c r="K95" i="17"/>
  <c r="K94" i="17"/>
  <c r="K90" i="17"/>
  <c r="K88" i="17"/>
  <c r="K87" i="17"/>
  <c r="K83" i="17"/>
  <c r="K82" i="17"/>
  <c r="K71" i="17"/>
  <c r="K70" i="17"/>
  <c r="K66" i="17"/>
  <c r="K64" i="17"/>
  <c r="K63" i="17"/>
  <c r="K59" i="17"/>
  <c r="K58" i="17"/>
  <c r="K54" i="17"/>
  <c r="K52" i="17"/>
  <c r="K47" i="17"/>
  <c r="K46" i="17"/>
  <c r="K42" i="17"/>
  <c r="K40" i="17"/>
  <c r="K39" i="17"/>
  <c r="K34" i="17"/>
  <c r="K28" i="17"/>
  <c r="K23" i="17"/>
  <c r="K22" i="17"/>
  <c r="K18" i="17"/>
  <c r="K16" i="17"/>
  <c r="K15" i="17"/>
  <c r="K10" i="17"/>
  <c r="J305" i="18"/>
  <c r="K305" i="18" s="1"/>
  <c r="J304" i="18"/>
  <c r="J303" i="18"/>
  <c r="K303" i="18" s="1"/>
  <c r="J302" i="18"/>
  <c r="K302" i="18" s="1"/>
  <c r="J301" i="18"/>
  <c r="J300" i="18"/>
  <c r="J299" i="18"/>
  <c r="K299" i="18" s="1"/>
  <c r="J298" i="18"/>
  <c r="K298" i="18" s="1"/>
  <c r="J297" i="18"/>
  <c r="K297" i="18" s="1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K287" i="18" s="1"/>
  <c r="J286" i="18"/>
  <c r="K286" i="18" s="1"/>
  <c r="J285" i="18"/>
  <c r="K285" i="18" s="1"/>
  <c r="J284" i="18"/>
  <c r="J283" i="18"/>
  <c r="K283" i="18" s="1"/>
  <c r="J282" i="18"/>
  <c r="K282" i="18" s="1"/>
  <c r="J281" i="18"/>
  <c r="J280" i="18"/>
  <c r="J279" i="18"/>
  <c r="K279" i="18" s="1"/>
  <c r="J278" i="18"/>
  <c r="K278" i="18" s="1"/>
  <c r="J277" i="18"/>
  <c r="J276" i="18"/>
  <c r="J275" i="18"/>
  <c r="K275" i="18" s="1"/>
  <c r="J274" i="18"/>
  <c r="K274" i="18" s="1"/>
  <c r="J273" i="18"/>
  <c r="K273" i="18" s="1"/>
  <c r="J272" i="18"/>
  <c r="J271" i="18"/>
  <c r="K271" i="18" s="1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K263" i="18" s="1"/>
  <c r="J262" i="18"/>
  <c r="K262" i="18" s="1"/>
  <c r="J261" i="18"/>
  <c r="K261" i="18" s="1"/>
  <c r="J260" i="18"/>
  <c r="J259" i="18"/>
  <c r="K259" i="18" s="1"/>
  <c r="J258" i="18"/>
  <c r="J257" i="18"/>
  <c r="K257" i="18" s="1"/>
  <c r="J256" i="18"/>
  <c r="J255" i="18"/>
  <c r="K255" i="18" s="1"/>
  <c r="J254" i="18"/>
  <c r="K254" i="18" s="1"/>
  <c r="J253" i="18"/>
  <c r="J252" i="18"/>
  <c r="J251" i="18"/>
  <c r="K251" i="18" s="1"/>
  <c r="J250" i="18"/>
  <c r="K250" i="18" s="1"/>
  <c r="J249" i="18"/>
  <c r="K249" i="18" s="1"/>
  <c r="J248" i="18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J233" i="18"/>
  <c r="K233" i="18" s="1"/>
  <c r="J232" i="18"/>
  <c r="J231" i="18"/>
  <c r="K231" i="18" s="1"/>
  <c r="J230" i="18"/>
  <c r="K230" i="18" s="1"/>
  <c r="J229" i="18"/>
  <c r="J228" i="18"/>
  <c r="J227" i="18"/>
  <c r="K227" i="18" s="1"/>
  <c r="J226" i="18"/>
  <c r="K226" i="18" s="1"/>
  <c r="J225" i="18"/>
  <c r="K225" i="18" s="1"/>
  <c r="J224" i="18"/>
  <c r="J223" i="18"/>
  <c r="J222" i="18"/>
  <c r="J221" i="18"/>
  <c r="K221" i="18" s="1"/>
  <c r="J220" i="18"/>
  <c r="J219" i="18"/>
  <c r="K219" i="18" s="1"/>
  <c r="J218" i="18"/>
  <c r="K218" i="18" s="1"/>
  <c r="J217" i="18"/>
  <c r="J216" i="18"/>
  <c r="J215" i="18"/>
  <c r="K215" i="18" s="1"/>
  <c r="J214" i="18"/>
  <c r="K214" i="18" s="1"/>
  <c r="J213" i="18"/>
  <c r="K213" i="18" s="1"/>
  <c r="J212" i="18"/>
  <c r="J211" i="18"/>
  <c r="J210" i="18"/>
  <c r="K210" i="18" s="1"/>
  <c r="J209" i="18"/>
  <c r="K209" i="18" s="1"/>
  <c r="J208" i="18"/>
  <c r="J207" i="18"/>
  <c r="K207" i="18" s="1"/>
  <c r="J206" i="18"/>
  <c r="K206" i="18" s="1"/>
  <c r="J205" i="18"/>
  <c r="J204" i="18"/>
  <c r="J203" i="18"/>
  <c r="K203" i="18" s="1"/>
  <c r="J202" i="18"/>
  <c r="K202" i="18" s="1"/>
  <c r="J201" i="18"/>
  <c r="K201" i="18" s="1"/>
  <c r="J200" i="18"/>
  <c r="J199" i="18"/>
  <c r="K199" i="18" s="1"/>
  <c r="J198" i="18"/>
  <c r="J197" i="18"/>
  <c r="K197" i="18" s="1"/>
  <c r="J196" i="18"/>
  <c r="J195" i="18"/>
  <c r="K195" i="18" s="1"/>
  <c r="J194" i="18"/>
  <c r="K194" i="18" s="1"/>
  <c r="J193" i="18"/>
  <c r="J192" i="18"/>
  <c r="J191" i="18"/>
  <c r="K191" i="18" s="1"/>
  <c r="J190" i="18"/>
  <c r="K190" i="18" s="1"/>
  <c r="J189" i="18"/>
  <c r="K189" i="18" s="1"/>
  <c r="J188" i="18"/>
  <c r="J187" i="18"/>
  <c r="K187" i="18" s="1"/>
  <c r="J186" i="18"/>
  <c r="K186" i="18" s="1"/>
  <c r="J185" i="18"/>
  <c r="K185" i="18" s="1"/>
  <c r="J184" i="18"/>
  <c r="J183" i="18"/>
  <c r="K183" i="18" s="1"/>
  <c r="J182" i="18"/>
  <c r="K182" i="18" s="1"/>
  <c r="J181" i="18"/>
  <c r="J180" i="18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J163" i="18"/>
  <c r="K163" i="18" s="1"/>
  <c r="J162" i="18"/>
  <c r="K162" i="18" s="1"/>
  <c r="J161" i="18"/>
  <c r="K161" i="18" s="1"/>
  <c r="J160" i="18"/>
  <c r="J159" i="18"/>
  <c r="K159" i="18" s="1"/>
  <c r="J158" i="18"/>
  <c r="K158" i="18" s="1"/>
  <c r="J157" i="18"/>
  <c r="J156" i="18"/>
  <c r="J155" i="18"/>
  <c r="K155" i="18" s="1"/>
  <c r="J154" i="18"/>
  <c r="K154" i="18" s="1"/>
  <c r="J153" i="18"/>
  <c r="K153" i="18" s="1"/>
  <c r="J152" i="18"/>
  <c r="J151" i="18"/>
  <c r="K151" i="18" s="1"/>
  <c r="J150" i="18"/>
  <c r="J149" i="18"/>
  <c r="J148" i="18"/>
  <c r="J147" i="18"/>
  <c r="K147" i="18" s="1"/>
  <c r="J146" i="18"/>
  <c r="K146" i="18" s="1"/>
  <c r="J145" i="18"/>
  <c r="J144" i="18"/>
  <c r="J143" i="18"/>
  <c r="K143" i="18" s="1"/>
  <c r="J142" i="18"/>
  <c r="K142" i="18" s="1"/>
  <c r="J141" i="18"/>
  <c r="K141" i="18" s="1"/>
  <c r="J140" i="18"/>
  <c r="J139" i="18"/>
  <c r="K139" i="18" s="1"/>
  <c r="J138" i="18"/>
  <c r="K138" i="18" s="1"/>
  <c r="J137" i="18"/>
  <c r="K137" i="18" s="1"/>
  <c r="J136" i="18"/>
  <c r="J135" i="18"/>
  <c r="K135" i="18" s="1"/>
  <c r="J134" i="18"/>
  <c r="K134" i="18" s="1"/>
  <c r="J133" i="18"/>
  <c r="J132" i="18"/>
  <c r="J131" i="18"/>
  <c r="K131" i="18" s="1"/>
  <c r="J130" i="18"/>
  <c r="K130" i="18" s="1"/>
  <c r="J129" i="18"/>
  <c r="K129" i="18" s="1"/>
  <c r="J128" i="18"/>
  <c r="J127" i="18"/>
  <c r="K125" i="18"/>
  <c r="K123" i="18"/>
  <c r="K122" i="18"/>
  <c r="K113" i="18"/>
  <c r="K106" i="18"/>
  <c r="K101" i="18"/>
  <c r="K99" i="18"/>
  <c r="K98" i="18"/>
  <c r="K94" i="18"/>
  <c r="K89" i="18"/>
  <c r="K82" i="18"/>
  <c r="K77" i="18"/>
  <c r="K75" i="18"/>
  <c r="K74" i="18"/>
  <c r="K70" i="18"/>
  <c r="K65" i="18"/>
  <c r="K58" i="18"/>
  <c r="K53" i="18"/>
  <c r="K51" i="18"/>
  <c r="K50" i="18"/>
  <c r="K46" i="18"/>
  <c r="K41" i="18"/>
  <c r="K34" i="18"/>
  <c r="K29" i="18"/>
  <c r="K27" i="18"/>
  <c r="K26" i="18"/>
  <c r="K22" i="18"/>
  <c r="K17" i="18"/>
  <c r="K10" i="18"/>
  <c r="J305" i="19"/>
  <c r="J304" i="19"/>
  <c r="K304" i="19" s="1"/>
  <c r="J303" i="19"/>
  <c r="K303" i="19" s="1"/>
  <c r="J302" i="19"/>
  <c r="K302" i="19" s="1"/>
  <c r="J301" i="19"/>
  <c r="K301" i="19" s="1"/>
  <c r="J300" i="19"/>
  <c r="J299" i="19"/>
  <c r="J298" i="19"/>
  <c r="K298" i="19" s="1"/>
  <c r="J297" i="19"/>
  <c r="K297" i="19" s="1"/>
  <c r="J296" i="19"/>
  <c r="K296" i="19" s="1"/>
  <c r="J295" i="19"/>
  <c r="J294" i="19"/>
  <c r="K294" i="19" s="1"/>
  <c r="J293" i="19"/>
  <c r="J292" i="19"/>
  <c r="K292" i="19" s="1"/>
  <c r="J291" i="19"/>
  <c r="K291" i="19" s="1"/>
  <c r="J290" i="19"/>
  <c r="K290" i="19" s="1"/>
  <c r="J289" i="19"/>
  <c r="K289" i="19" s="1"/>
  <c r="J288" i="19"/>
  <c r="J287" i="19"/>
  <c r="J286" i="19"/>
  <c r="K286" i="19" s="1"/>
  <c r="J285" i="19"/>
  <c r="K285" i="19" s="1"/>
  <c r="J284" i="19"/>
  <c r="K284" i="19" s="1"/>
  <c r="J283" i="19"/>
  <c r="J282" i="19"/>
  <c r="J281" i="19"/>
  <c r="J280" i="19"/>
  <c r="K280" i="19" s="1"/>
  <c r="J279" i="19"/>
  <c r="K279" i="19" s="1"/>
  <c r="J278" i="19"/>
  <c r="K278" i="19" s="1"/>
  <c r="J277" i="19"/>
  <c r="K277" i="19" s="1"/>
  <c r="J276" i="19"/>
  <c r="J275" i="19"/>
  <c r="J274" i="19"/>
  <c r="J273" i="19"/>
  <c r="K273" i="19" s="1"/>
  <c r="J272" i="19"/>
  <c r="K272" i="19" s="1"/>
  <c r="J271" i="19"/>
  <c r="J270" i="19"/>
  <c r="J269" i="19"/>
  <c r="J268" i="19"/>
  <c r="K268" i="19" s="1"/>
  <c r="J267" i="19"/>
  <c r="K267" i="19" s="1"/>
  <c r="J266" i="19"/>
  <c r="K266" i="19" s="1"/>
  <c r="J265" i="19"/>
  <c r="K265" i="19" s="1"/>
  <c r="J264" i="19"/>
  <c r="J263" i="19"/>
  <c r="J262" i="19"/>
  <c r="K262" i="19" s="1"/>
  <c r="J261" i="19"/>
  <c r="K261" i="19" s="1"/>
  <c r="J260" i="19"/>
  <c r="K260" i="19" s="1"/>
  <c r="J259" i="19"/>
  <c r="J258" i="19"/>
  <c r="K258" i="19" s="1"/>
  <c r="J257" i="19"/>
  <c r="J256" i="19"/>
  <c r="K256" i="19" s="1"/>
  <c r="J255" i="19"/>
  <c r="K255" i="19" s="1"/>
  <c r="J254" i="19"/>
  <c r="K254" i="19" s="1"/>
  <c r="J253" i="19"/>
  <c r="K253" i="19" s="1"/>
  <c r="J252" i="19"/>
  <c r="J251" i="19"/>
  <c r="J250" i="19"/>
  <c r="J249" i="19"/>
  <c r="K249" i="19" s="1"/>
  <c r="J248" i="19"/>
  <c r="K248" i="19" s="1"/>
  <c r="J247" i="19"/>
  <c r="J246" i="19"/>
  <c r="K246" i="19" s="1"/>
  <c r="J245" i="19"/>
  <c r="J244" i="19"/>
  <c r="K244" i="19" s="1"/>
  <c r="J243" i="19"/>
  <c r="K243" i="19" s="1"/>
  <c r="J242" i="19"/>
  <c r="K242" i="19" s="1"/>
  <c r="J241" i="19"/>
  <c r="K241" i="19" s="1"/>
  <c r="J240" i="19"/>
  <c r="K240" i="19" s="1"/>
  <c r="J239" i="19"/>
  <c r="J238" i="19"/>
  <c r="K238" i="19" s="1"/>
  <c r="J237" i="19"/>
  <c r="K237" i="19" s="1"/>
  <c r="J236" i="19"/>
  <c r="K236" i="19" s="1"/>
  <c r="J235" i="19"/>
  <c r="J234" i="19"/>
  <c r="J233" i="19"/>
  <c r="J232" i="19"/>
  <c r="K232" i="19" s="1"/>
  <c r="J231" i="19"/>
  <c r="K231" i="19" s="1"/>
  <c r="J230" i="19"/>
  <c r="K230" i="19" s="1"/>
  <c r="J229" i="19"/>
  <c r="K229" i="19" s="1"/>
  <c r="J228" i="19"/>
  <c r="J227" i="19"/>
  <c r="J226" i="19"/>
  <c r="K226" i="19" s="1"/>
  <c r="J225" i="19"/>
  <c r="K225" i="19" s="1"/>
  <c r="J224" i="19"/>
  <c r="K224" i="19" s="1"/>
  <c r="J223" i="19"/>
  <c r="J222" i="19"/>
  <c r="K222" i="19" s="1"/>
  <c r="J221" i="19"/>
  <c r="J220" i="19"/>
  <c r="K220" i="19" s="1"/>
  <c r="J219" i="19"/>
  <c r="K219" i="19" s="1"/>
  <c r="J218" i="19"/>
  <c r="K218" i="19" s="1"/>
  <c r="J217" i="19"/>
  <c r="K217" i="19" s="1"/>
  <c r="J216" i="19"/>
  <c r="K216" i="19" s="1"/>
  <c r="J215" i="19"/>
  <c r="J214" i="19"/>
  <c r="K214" i="19" s="1"/>
  <c r="J213" i="19"/>
  <c r="K213" i="19" s="1"/>
  <c r="J212" i="19"/>
  <c r="K212" i="19" s="1"/>
  <c r="J211" i="19"/>
  <c r="K211" i="19" s="1"/>
  <c r="J210" i="19"/>
  <c r="K210" i="19" s="1"/>
  <c r="J209" i="19"/>
  <c r="J208" i="19"/>
  <c r="K208" i="19" s="1"/>
  <c r="J207" i="19"/>
  <c r="K207" i="19" s="1"/>
  <c r="J206" i="19"/>
  <c r="K206" i="19" s="1"/>
  <c r="J205" i="19"/>
  <c r="K205" i="19" s="1"/>
  <c r="J204" i="19"/>
  <c r="J203" i="19"/>
  <c r="J202" i="19"/>
  <c r="K202" i="19" s="1"/>
  <c r="J201" i="19"/>
  <c r="K201" i="19" s="1"/>
  <c r="J200" i="19"/>
  <c r="K200" i="19" s="1"/>
  <c r="J199" i="19"/>
  <c r="J198" i="19"/>
  <c r="K198" i="19" s="1"/>
  <c r="J197" i="19"/>
  <c r="J196" i="19"/>
  <c r="K196" i="19" s="1"/>
  <c r="J195" i="19"/>
  <c r="K195" i="19" s="1"/>
  <c r="J194" i="19"/>
  <c r="K194" i="19" s="1"/>
  <c r="J193" i="19"/>
  <c r="K193" i="19" s="1"/>
  <c r="J192" i="19"/>
  <c r="J191" i="19"/>
  <c r="J190" i="19"/>
  <c r="K190" i="19" s="1"/>
  <c r="J189" i="19"/>
  <c r="K189" i="19" s="1"/>
  <c r="J188" i="19"/>
  <c r="K188" i="19" s="1"/>
  <c r="J187" i="19"/>
  <c r="J186" i="19"/>
  <c r="K186" i="19" s="1"/>
  <c r="J185" i="19"/>
  <c r="J184" i="19"/>
  <c r="K184" i="19" s="1"/>
  <c r="J183" i="19"/>
  <c r="K183" i="19" s="1"/>
  <c r="J182" i="19"/>
  <c r="K182" i="19" s="1"/>
  <c r="J181" i="19"/>
  <c r="K181" i="19" s="1"/>
  <c r="J180" i="19"/>
  <c r="J179" i="19"/>
  <c r="J178" i="19"/>
  <c r="J177" i="19"/>
  <c r="K177" i="19" s="1"/>
  <c r="J176" i="19"/>
  <c r="K176" i="19" s="1"/>
  <c r="J175" i="19"/>
  <c r="K175" i="19" s="1"/>
  <c r="J174" i="19"/>
  <c r="J173" i="19"/>
  <c r="J172" i="19"/>
  <c r="K172" i="19" s="1"/>
  <c r="J171" i="19"/>
  <c r="K171" i="19" s="1"/>
  <c r="J170" i="19"/>
  <c r="K170" i="19" s="1"/>
  <c r="J169" i="19"/>
  <c r="K169" i="19" s="1"/>
  <c r="J168" i="19"/>
  <c r="J167" i="19"/>
  <c r="K167" i="19" s="1"/>
  <c r="J166" i="19"/>
  <c r="K166" i="19" s="1"/>
  <c r="J165" i="19"/>
  <c r="K165" i="19" s="1"/>
  <c r="J164" i="19"/>
  <c r="K164" i="19" s="1"/>
  <c r="J163" i="19"/>
  <c r="J162" i="19"/>
  <c r="J161" i="19"/>
  <c r="J160" i="19"/>
  <c r="K160" i="19" s="1"/>
  <c r="J159" i="19"/>
  <c r="K159" i="19" s="1"/>
  <c r="J158" i="19"/>
  <c r="K158" i="19" s="1"/>
  <c r="J157" i="19"/>
  <c r="K157" i="19" s="1"/>
  <c r="J156" i="19"/>
  <c r="J155" i="19"/>
  <c r="K155" i="19" s="1"/>
  <c r="J154" i="19"/>
  <c r="J153" i="19"/>
  <c r="K153" i="19" s="1"/>
  <c r="J152" i="19"/>
  <c r="K152" i="19" s="1"/>
  <c r="J151" i="19"/>
  <c r="J150" i="19"/>
  <c r="K150" i="19" s="1"/>
  <c r="J149" i="19"/>
  <c r="J148" i="19"/>
  <c r="K148" i="19" s="1"/>
  <c r="J147" i="19"/>
  <c r="K147" i="19" s="1"/>
  <c r="J146" i="19"/>
  <c r="K146" i="19" s="1"/>
  <c r="J145" i="19"/>
  <c r="K145" i="19" s="1"/>
  <c r="J144" i="19"/>
  <c r="K144" i="19" s="1"/>
  <c r="J143" i="19"/>
  <c r="J142" i="19"/>
  <c r="K142" i="19" s="1"/>
  <c r="J141" i="19"/>
  <c r="K141" i="19" s="1"/>
  <c r="J140" i="19"/>
  <c r="K140" i="19" s="1"/>
  <c r="J139" i="19"/>
  <c r="K139" i="19" s="1"/>
  <c r="J138" i="19"/>
  <c r="K138" i="19" s="1"/>
  <c r="J137" i="19"/>
  <c r="J136" i="19"/>
  <c r="K136" i="19" s="1"/>
  <c r="J135" i="19"/>
  <c r="K135" i="19" s="1"/>
  <c r="J134" i="19"/>
  <c r="K134" i="19" s="1"/>
  <c r="J133" i="19"/>
  <c r="K133" i="19" s="1"/>
  <c r="J132" i="19"/>
  <c r="J131" i="19"/>
  <c r="J130" i="19"/>
  <c r="K130" i="19" s="1"/>
  <c r="J129" i="19"/>
  <c r="K129" i="19" s="1"/>
  <c r="J128" i="19"/>
  <c r="K128" i="19" s="1"/>
  <c r="J127" i="19"/>
  <c r="K127" i="19" s="1"/>
  <c r="K124" i="19"/>
  <c r="K121" i="19"/>
  <c r="K117" i="19"/>
  <c r="K115" i="19"/>
  <c r="K112" i="19"/>
  <c r="K110" i="19"/>
  <c r="K109" i="19"/>
  <c r="K97" i="19"/>
  <c r="K88" i="19"/>
  <c r="K86" i="19"/>
  <c r="K85" i="19"/>
  <c r="K76" i="19"/>
  <c r="K73" i="19"/>
  <c r="K64" i="19"/>
  <c r="K62" i="19"/>
  <c r="K61" i="19"/>
  <c r="K54" i="19"/>
  <c r="K52" i="19"/>
  <c r="K49" i="19"/>
  <c r="K40" i="19"/>
  <c r="K38" i="19"/>
  <c r="K37" i="19"/>
  <c r="K30" i="19"/>
  <c r="K28" i="19"/>
  <c r="K25" i="19"/>
  <c r="K16" i="19"/>
  <c r="K14" i="19"/>
  <c r="K13" i="19"/>
  <c r="J305" i="14"/>
  <c r="J304" i="14"/>
  <c r="J303" i="14"/>
  <c r="K303" i="14" s="1"/>
  <c r="J302" i="14"/>
  <c r="J301" i="14"/>
  <c r="K301" i="14" s="1"/>
  <c r="J300" i="14"/>
  <c r="K300" i="14" s="1"/>
  <c r="J299" i="14"/>
  <c r="J298" i="14"/>
  <c r="J297" i="14"/>
  <c r="K297" i="14" s="1"/>
  <c r="J296" i="14"/>
  <c r="K296" i="14" s="1"/>
  <c r="J295" i="14"/>
  <c r="K295" i="14" s="1"/>
  <c r="J294" i="14"/>
  <c r="K294" i="14" s="1"/>
  <c r="J293" i="14"/>
  <c r="J292" i="14"/>
  <c r="J291" i="14"/>
  <c r="K291" i="14" s="1"/>
  <c r="J290" i="14"/>
  <c r="K290" i="14" s="1"/>
  <c r="J289" i="14"/>
  <c r="K289" i="14" s="1"/>
  <c r="J288" i="14"/>
  <c r="K288" i="14" s="1"/>
  <c r="J287" i="14"/>
  <c r="J286" i="14"/>
  <c r="J285" i="14"/>
  <c r="K285" i="14" s="1"/>
  <c r="J284" i="14"/>
  <c r="K284" i="14" s="1"/>
  <c r="J283" i="14"/>
  <c r="K283" i="14" s="1"/>
  <c r="J282" i="14"/>
  <c r="J281" i="14"/>
  <c r="J280" i="14"/>
  <c r="J279" i="14"/>
  <c r="K279" i="14" s="1"/>
  <c r="J278" i="14"/>
  <c r="K278" i="14" s="1"/>
  <c r="J277" i="14"/>
  <c r="K277" i="14" s="1"/>
  <c r="J276" i="14"/>
  <c r="K276" i="14" s="1"/>
  <c r="J275" i="14"/>
  <c r="J274" i="14"/>
  <c r="J273" i="14"/>
  <c r="K273" i="14" s="1"/>
  <c r="J272" i="14"/>
  <c r="K272" i="14" s="1"/>
  <c r="J271" i="14"/>
  <c r="K271" i="14" s="1"/>
  <c r="J270" i="14"/>
  <c r="K270" i="14" s="1"/>
  <c r="J269" i="14"/>
  <c r="J268" i="14"/>
  <c r="J267" i="14"/>
  <c r="K267" i="14" s="1"/>
  <c r="J266" i="14"/>
  <c r="K266" i="14" s="1"/>
  <c r="J265" i="14"/>
  <c r="K265" i="14" s="1"/>
  <c r="J264" i="14"/>
  <c r="K264" i="14" s="1"/>
  <c r="J263" i="14"/>
  <c r="J262" i="14"/>
  <c r="J261" i="14"/>
  <c r="K261" i="14" s="1"/>
  <c r="J260" i="14"/>
  <c r="K260" i="14" s="1"/>
  <c r="J259" i="14"/>
  <c r="K259" i="14" s="1"/>
  <c r="J258" i="14"/>
  <c r="K258" i="14" s="1"/>
  <c r="J257" i="14"/>
  <c r="J256" i="14"/>
  <c r="J255" i="14"/>
  <c r="K255" i="14" s="1"/>
  <c r="J254" i="14"/>
  <c r="K254" i="14" s="1"/>
  <c r="J253" i="14"/>
  <c r="K253" i="14" s="1"/>
  <c r="J252" i="14"/>
  <c r="K252" i="14" s="1"/>
  <c r="J251" i="14"/>
  <c r="J250" i="14"/>
  <c r="J249" i="14"/>
  <c r="K249" i="14" s="1"/>
  <c r="J248" i="14"/>
  <c r="K248" i="14" s="1"/>
  <c r="J247" i="14"/>
  <c r="K247" i="14" s="1"/>
  <c r="J246" i="14"/>
  <c r="K246" i="14" s="1"/>
  <c r="J245" i="14"/>
  <c r="J244" i="14"/>
  <c r="J243" i="14"/>
  <c r="K243" i="14" s="1"/>
  <c r="J242" i="14"/>
  <c r="K242" i="14" s="1"/>
  <c r="J241" i="14"/>
  <c r="K241" i="14" s="1"/>
  <c r="J240" i="14"/>
  <c r="J239" i="14"/>
  <c r="J238" i="14"/>
  <c r="J237" i="14"/>
  <c r="K237" i="14" s="1"/>
  <c r="J236" i="14"/>
  <c r="K236" i="14" s="1"/>
  <c r="J235" i="14"/>
  <c r="K235" i="14" s="1"/>
  <c r="J234" i="14"/>
  <c r="J233" i="14"/>
  <c r="J232" i="14"/>
  <c r="J231" i="14"/>
  <c r="K231" i="14" s="1"/>
  <c r="J230" i="14"/>
  <c r="K230" i="14" s="1"/>
  <c r="J229" i="14"/>
  <c r="K229" i="14" s="1"/>
  <c r="J228" i="14"/>
  <c r="J227" i="14"/>
  <c r="J226" i="14"/>
  <c r="J225" i="14"/>
  <c r="K225" i="14" s="1"/>
  <c r="J224" i="14"/>
  <c r="K224" i="14" s="1"/>
  <c r="J223" i="14"/>
  <c r="K223" i="14" s="1"/>
  <c r="J222" i="14"/>
  <c r="J221" i="14"/>
  <c r="J220" i="14"/>
  <c r="J219" i="14"/>
  <c r="K219" i="14" s="1"/>
  <c r="J218" i="14"/>
  <c r="K218" i="14" s="1"/>
  <c r="J217" i="14"/>
  <c r="K217" i="14" s="1"/>
  <c r="J216" i="14"/>
  <c r="K216" i="14" s="1"/>
  <c r="J215" i="14"/>
  <c r="J214" i="14"/>
  <c r="J213" i="14"/>
  <c r="K213" i="14" s="1"/>
  <c r="J212" i="14"/>
  <c r="K212" i="14" s="1"/>
  <c r="J211" i="14"/>
  <c r="K211" i="14" s="1"/>
  <c r="J210" i="14"/>
  <c r="K210" i="14" s="1"/>
  <c r="J209" i="14"/>
  <c r="J208" i="14"/>
  <c r="J207" i="14"/>
  <c r="K207" i="14" s="1"/>
  <c r="J206" i="14"/>
  <c r="K206" i="14" s="1"/>
  <c r="J205" i="14"/>
  <c r="K205" i="14" s="1"/>
  <c r="J204" i="14"/>
  <c r="K204" i="14" s="1"/>
  <c r="J203" i="14"/>
  <c r="J202" i="14"/>
  <c r="J201" i="14"/>
  <c r="K201" i="14" s="1"/>
  <c r="J200" i="14"/>
  <c r="K200" i="14" s="1"/>
  <c r="J199" i="14"/>
  <c r="K199" i="14" s="1"/>
  <c r="J198" i="14"/>
  <c r="J197" i="14"/>
  <c r="J196" i="14"/>
  <c r="J195" i="14"/>
  <c r="K195" i="14" s="1"/>
  <c r="J194" i="14"/>
  <c r="K194" i="14" s="1"/>
  <c r="J193" i="14"/>
  <c r="K193" i="14" s="1"/>
  <c r="J192" i="14"/>
  <c r="K192" i="14" s="1"/>
  <c r="J191" i="14"/>
  <c r="J190" i="14"/>
  <c r="J189" i="14"/>
  <c r="K189" i="14" s="1"/>
  <c r="J188" i="14"/>
  <c r="K188" i="14" s="1"/>
  <c r="J187" i="14"/>
  <c r="K187" i="14" s="1"/>
  <c r="J186" i="14"/>
  <c r="J185" i="14"/>
  <c r="J184" i="14"/>
  <c r="J183" i="14"/>
  <c r="K183" i="14" s="1"/>
  <c r="J182" i="14"/>
  <c r="K182" i="14" s="1"/>
  <c r="J181" i="14"/>
  <c r="K181" i="14" s="1"/>
  <c r="J180" i="14"/>
  <c r="K180" i="14" s="1"/>
  <c r="J179" i="14"/>
  <c r="J178" i="14"/>
  <c r="J177" i="14"/>
  <c r="K177" i="14" s="1"/>
  <c r="J176" i="14"/>
  <c r="K176" i="14" s="1"/>
  <c r="J175" i="14"/>
  <c r="K175" i="14" s="1"/>
  <c r="J174" i="14"/>
  <c r="J173" i="14"/>
  <c r="J172" i="14"/>
  <c r="J171" i="14"/>
  <c r="K171" i="14" s="1"/>
  <c r="J170" i="14"/>
  <c r="J169" i="14"/>
  <c r="K169" i="14" s="1"/>
  <c r="J168" i="14"/>
  <c r="K168" i="14" s="1"/>
  <c r="J167" i="14"/>
  <c r="J166" i="14"/>
  <c r="J165" i="14"/>
  <c r="K165" i="14" s="1"/>
  <c r="J164" i="14"/>
  <c r="K164" i="14" s="1"/>
  <c r="J163" i="14"/>
  <c r="K163" i="14" s="1"/>
  <c r="J162" i="14"/>
  <c r="J161" i="14"/>
  <c r="J160" i="14"/>
  <c r="J159" i="14"/>
  <c r="K159" i="14" s="1"/>
  <c r="J158" i="14"/>
  <c r="K158" i="14" s="1"/>
  <c r="J157" i="14"/>
  <c r="K157" i="14" s="1"/>
  <c r="J156" i="14"/>
  <c r="K156" i="14" s="1"/>
  <c r="J155" i="14"/>
  <c r="J154" i="14"/>
  <c r="J153" i="14"/>
  <c r="K153" i="14" s="1"/>
  <c r="J152" i="14"/>
  <c r="K152" i="14" s="1"/>
  <c r="J151" i="14"/>
  <c r="K151" i="14" s="1"/>
  <c r="J150" i="14"/>
  <c r="K150" i="14" s="1"/>
  <c r="J149" i="14"/>
  <c r="J148" i="14"/>
  <c r="J147" i="14"/>
  <c r="K147" i="14" s="1"/>
  <c r="J146" i="14"/>
  <c r="K146" i="14" s="1"/>
  <c r="J145" i="14"/>
  <c r="K145" i="14" s="1"/>
  <c r="J144" i="14"/>
  <c r="K144" i="14" s="1"/>
  <c r="J143" i="14"/>
  <c r="J142" i="14"/>
  <c r="J141" i="14"/>
  <c r="K141" i="14" s="1"/>
  <c r="J140" i="14"/>
  <c r="K140" i="14" s="1"/>
  <c r="J139" i="14"/>
  <c r="K139" i="14" s="1"/>
  <c r="J138" i="14"/>
  <c r="K138" i="14" s="1"/>
  <c r="J137" i="14"/>
  <c r="J136" i="14"/>
  <c r="J135" i="14"/>
  <c r="K135" i="14" s="1"/>
  <c r="J134" i="14"/>
  <c r="K134" i="14" s="1"/>
  <c r="J133" i="14"/>
  <c r="K133" i="14" s="1"/>
  <c r="J132" i="14"/>
  <c r="K132" i="14" s="1"/>
  <c r="J131" i="14"/>
  <c r="J130" i="14"/>
  <c r="J129" i="14"/>
  <c r="K129" i="14" s="1"/>
  <c r="J128" i="14"/>
  <c r="K128" i="14" s="1"/>
  <c r="J127" i="14"/>
  <c r="K127" i="14" s="1"/>
  <c r="K126" i="14"/>
  <c r="K121" i="14"/>
  <c r="K120" i="14"/>
  <c r="K114" i="14"/>
  <c r="K109" i="14"/>
  <c r="K108" i="14"/>
  <c r="K102" i="14"/>
  <c r="K98" i="14"/>
  <c r="K97" i="14"/>
  <c r="K91" i="14"/>
  <c r="K90" i="14"/>
  <c r="K86" i="14"/>
  <c r="K85" i="14"/>
  <c r="K73" i="14"/>
  <c r="K72" i="14"/>
  <c r="K66" i="14"/>
  <c r="K63" i="14"/>
  <c r="K61" i="14"/>
  <c r="K60" i="14"/>
  <c r="K54" i="14"/>
  <c r="K51" i="14"/>
  <c r="K49" i="14"/>
  <c r="K42" i="14"/>
  <c r="K39" i="14"/>
  <c r="K37" i="14"/>
  <c r="K36" i="14"/>
  <c r="K30" i="14"/>
  <c r="K27" i="14"/>
  <c r="K25" i="14"/>
  <c r="K24" i="14"/>
  <c r="K18" i="14"/>
  <c r="K15" i="14"/>
  <c r="K13" i="14"/>
  <c r="K12" i="14"/>
  <c r="K6" i="19"/>
  <c r="K6" i="14"/>
  <c r="K162" i="14"/>
  <c r="K282" i="14"/>
  <c r="K163" i="19"/>
  <c r="K187" i="19"/>
  <c r="K199" i="19"/>
  <c r="K223" i="19"/>
  <c r="K235" i="19"/>
  <c r="K259" i="19"/>
  <c r="K271" i="19"/>
  <c r="K283" i="19"/>
  <c r="K295" i="19"/>
  <c r="K128" i="18"/>
  <c r="K140" i="18"/>
  <c r="K152" i="18"/>
  <c r="K188" i="18"/>
  <c r="K200" i="18"/>
  <c r="K212" i="18"/>
  <c r="K224" i="18"/>
  <c r="K236" i="18"/>
  <c r="K248" i="18"/>
  <c r="K260" i="18"/>
  <c r="K272" i="18"/>
  <c r="K284" i="18"/>
  <c r="K296" i="18"/>
  <c r="K76" i="17"/>
  <c r="K129" i="17"/>
  <c r="K141" i="17"/>
  <c r="K153" i="17"/>
  <c r="K165" i="17"/>
  <c r="K189" i="17"/>
  <c r="K201" i="17"/>
  <c r="K213" i="17"/>
  <c r="K225" i="17"/>
  <c r="K237" i="17"/>
  <c r="K249" i="17"/>
  <c r="K261" i="17"/>
  <c r="K273" i="17"/>
  <c r="K285" i="17"/>
  <c r="K297" i="17"/>
  <c r="K10" i="16"/>
  <c r="K22" i="16"/>
  <c r="K34" i="16"/>
  <c r="K46" i="16"/>
  <c r="K52" i="16"/>
  <c r="K58" i="16"/>
  <c r="K70" i="16"/>
  <c r="K82" i="16"/>
  <c r="K94" i="16"/>
  <c r="K106" i="16"/>
  <c r="K118" i="16"/>
  <c r="K142" i="16"/>
  <c r="K166" i="16"/>
  <c r="K190" i="16"/>
  <c r="K202" i="16"/>
  <c r="K214" i="16"/>
  <c r="K238" i="16"/>
  <c r="K257" i="16"/>
  <c r="K47" i="15"/>
  <c r="K71" i="15"/>
  <c r="K95" i="15"/>
  <c r="K143" i="15"/>
  <c r="K150" i="15"/>
  <c r="K191" i="15"/>
  <c r="K239" i="15"/>
  <c r="K263" i="15"/>
  <c r="K275" i="15"/>
  <c r="K302" i="16"/>
  <c r="K278" i="16"/>
  <c r="K254" i="16"/>
  <c r="K230" i="16"/>
  <c r="K206" i="16"/>
  <c r="K194" i="16"/>
  <c r="K182" i="16"/>
  <c r="K158" i="16"/>
  <c r="K134" i="16"/>
  <c r="K122" i="16"/>
  <c r="K110" i="16"/>
  <c r="K98" i="16"/>
  <c r="K86" i="16"/>
  <c r="K74" i="16"/>
  <c r="K62" i="16"/>
  <c r="K50" i="16"/>
  <c r="K38" i="16"/>
  <c r="K26" i="16"/>
  <c r="K14" i="16"/>
  <c r="K272" i="17"/>
  <c r="K260" i="17"/>
  <c r="K128" i="17"/>
  <c r="K302" i="14"/>
  <c r="K122" i="14"/>
  <c r="K110" i="14"/>
  <c r="K74" i="14"/>
  <c r="K62" i="14"/>
  <c r="K50" i="14"/>
  <c r="K6" i="18"/>
  <c r="E9" i="13"/>
  <c r="E13" i="13"/>
  <c r="E6" i="13"/>
  <c r="E15" i="13"/>
  <c r="K305" i="19"/>
  <c r="I305" i="19"/>
  <c r="I304" i="19"/>
  <c r="I303" i="19"/>
  <c r="I302" i="19"/>
  <c r="I301" i="19"/>
  <c r="K300" i="19"/>
  <c r="I300" i="19"/>
  <c r="K299" i="19"/>
  <c r="I299" i="19"/>
  <c r="I298" i="19"/>
  <c r="I297" i="19"/>
  <c r="I296" i="19"/>
  <c r="I295" i="19"/>
  <c r="I294" i="19"/>
  <c r="K293" i="19"/>
  <c r="I293" i="19"/>
  <c r="I292" i="19"/>
  <c r="I291" i="19"/>
  <c r="I290" i="19"/>
  <c r="I289" i="19"/>
  <c r="K288" i="19"/>
  <c r="I288" i="19"/>
  <c r="K287" i="19"/>
  <c r="I287" i="19"/>
  <c r="I286" i="19"/>
  <c r="I285" i="19"/>
  <c r="I284" i="19"/>
  <c r="I283" i="19"/>
  <c r="K282" i="19"/>
  <c r="I282" i="19"/>
  <c r="K281" i="19"/>
  <c r="I281" i="19"/>
  <c r="I280" i="19"/>
  <c r="I279" i="19"/>
  <c r="I278" i="19"/>
  <c r="I277" i="19"/>
  <c r="K276" i="19"/>
  <c r="I276" i="19"/>
  <c r="K275" i="19"/>
  <c r="I275" i="19"/>
  <c r="K274" i="19"/>
  <c r="I274" i="19"/>
  <c r="I273" i="19"/>
  <c r="I272" i="19"/>
  <c r="I271" i="19"/>
  <c r="K270" i="19"/>
  <c r="I270" i="19"/>
  <c r="K269" i="19"/>
  <c r="I269" i="19"/>
  <c r="I268" i="19"/>
  <c r="I267" i="19"/>
  <c r="I266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I256" i="19"/>
  <c r="I255" i="19"/>
  <c r="I254" i="19"/>
  <c r="I253" i="19"/>
  <c r="K252" i="19"/>
  <c r="I252" i="19"/>
  <c r="K251" i="19"/>
  <c r="I251" i="19"/>
  <c r="K250" i="19"/>
  <c r="I250" i="19"/>
  <c r="I249" i="19"/>
  <c r="I248" i="19"/>
  <c r="K247" i="19"/>
  <c r="I247" i="19"/>
  <c r="I246" i="19"/>
  <c r="K245" i="19"/>
  <c r="I245" i="19"/>
  <c r="I244" i="19"/>
  <c r="I243" i="19"/>
  <c r="I242" i="19"/>
  <c r="I241" i="19"/>
  <c r="I240" i="19"/>
  <c r="K239" i="19"/>
  <c r="I239" i="19"/>
  <c r="I238" i="19"/>
  <c r="I237" i="19"/>
  <c r="I236" i="19"/>
  <c r="I235" i="19"/>
  <c r="K234" i="19"/>
  <c r="I234" i="19"/>
  <c r="K233" i="19"/>
  <c r="I233" i="19"/>
  <c r="I232" i="19"/>
  <c r="I231" i="19"/>
  <c r="I230" i="19"/>
  <c r="I229" i="19"/>
  <c r="K228" i="19"/>
  <c r="I228" i="19"/>
  <c r="K227" i="19"/>
  <c r="I227" i="19"/>
  <c r="I226" i="19"/>
  <c r="I225" i="19"/>
  <c r="I224" i="19"/>
  <c r="I223" i="19"/>
  <c r="I222" i="19"/>
  <c r="K221" i="19"/>
  <c r="I221" i="19"/>
  <c r="I220" i="19"/>
  <c r="I219" i="19"/>
  <c r="I218" i="19"/>
  <c r="I217" i="19"/>
  <c r="I216" i="19"/>
  <c r="K215" i="19"/>
  <c r="I215" i="19"/>
  <c r="I214" i="19"/>
  <c r="I213" i="19"/>
  <c r="I212" i="19"/>
  <c r="I211" i="19"/>
  <c r="I210" i="19"/>
  <c r="K209" i="19"/>
  <c r="I209" i="19"/>
  <c r="I208" i="19"/>
  <c r="I207" i="19"/>
  <c r="I206" i="19"/>
  <c r="I205" i="19"/>
  <c r="K204" i="19"/>
  <c r="I204" i="19"/>
  <c r="K203" i="19"/>
  <c r="I203" i="19"/>
  <c r="I202" i="19"/>
  <c r="I201" i="19"/>
  <c r="I200" i="19"/>
  <c r="I199" i="19"/>
  <c r="I198" i="19"/>
  <c r="K197" i="19"/>
  <c r="I197" i="19"/>
  <c r="I196" i="19"/>
  <c r="I195" i="19"/>
  <c r="I194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I184" i="19"/>
  <c r="I183" i="19"/>
  <c r="I182" i="19"/>
  <c r="I181" i="19"/>
  <c r="K180" i="19"/>
  <c r="I180" i="19"/>
  <c r="K179" i="19"/>
  <c r="I179" i="19"/>
  <c r="K178" i="19"/>
  <c r="I178" i="19"/>
  <c r="I177" i="19"/>
  <c r="I176" i="19"/>
  <c r="I175" i="19"/>
  <c r="K174" i="19"/>
  <c r="I174" i="19"/>
  <c r="K173" i="19"/>
  <c r="I173" i="19"/>
  <c r="I172" i="19"/>
  <c r="I171" i="19"/>
  <c r="I170" i="19"/>
  <c r="I169" i="19"/>
  <c r="K168" i="19"/>
  <c r="I168" i="19"/>
  <c r="I167" i="19"/>
  <c r="I166" i="19"/>
  <c r="I165" i="19"/>
  <c r="I164" i="19"/>
  <c r="I163" i="19"/>
  <c r="K162" i="19"/>
  <c r="I162" i="19"/>
  <c r="K161" i="19"/>
  <c r="I161" i="19"/>
  <c r="I160" i="19"/>
  <c r="I159" i="19"/>
  <c r="I158" i="19"/>
  <c r="I157" i="19"/>
  <c r="K156" i="19"/>
  <c r="I156" i="19"/>
  <c r="I155" i="19"/>
  <c r="K154" i="19"/>
  <c r="I154" i="19"/>
  <c r="I153" i="19"/>
  <c r="I152" i="19"/>
  <c r="K151" i="19"/>
  <c r="I151" i="19"/>
  <c r="I150" i="19"/>
  <c r="K149" i="19"/>
  <c r="I149" i="19"/>
  <c r="I148" i="19"/>
  <c r="I147" i="19"/>
  <c r="I146" i="19"/>
  <c r="I145" i="19"/>
  <c r="I144" i="19"/>
  <c r="K143" i="19"/>
  <c r="I143" i="19"/>
  <c r="I142" i="19"/>
  <c r="I141" i="19"/>
  <c r="I140" i="19"/>
  <c r="I139" i="19"/>
  <c r="I138" i="19"/>
  <c r="K137" i="19"/>
  <c r="I137" i="19"/>
  <c r="I136" i="19"/>
  <c r="I135" i="19"/>
  <c r="I134" i="19"/>
  <c r="I133" i="19"/>
  <c r="K132" i="19"/>
  <c r="I132" i="19"/>
  <c r="K131" i="19"/>
  <c r="I131" i="19"/>
  <c r="I130" i="19"/>
  <c r="I129" i="19"/>
  <c r="I128" i="19"/>
  <c r="I127" i="19"/>
  <c r="K126" i="19"/>
  <c r="I126" i="19"/>
  <c r="K125" i="19"/>
  <c r="I125" i="19"/>
  <c r="I124" i="19"/>
  <c r="K123" i="19"/>
  <c r="I123" i="19"/>
  <c r="I122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I112" i="19"/>
  <c r="K111" i="19"/>
  <c r="I111" i="19"/>
  <c r="I110" i="19"/>
  <c r="I109" i="19"/>
  <c r="K108" i="19"/>
  <c r="I108" i="19"/>
  <c r="K107" i="19"/>
  <c r="I107" i="19"/>
  <c r="I106" i="19"/>
  <c r="I105" i="19"/>
  <c r="I104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I93" i="19"/>
  <c r="I92" i="19"/>
  <c r="I91" i="19"/>
  <c r="I90" i="19"/>
  <c r="K89" i="19"/>
  <c r="I89" i="19"/>
  <c r="I88" i="19"/>
  <c r="K87" i="19"/>
  <c r="I87" i="19"/>
  <c r="I86" i="19"/>
  <c r="I85" i="19"/>
  <c r="I84" i="19"/>
  <c r="K83" i="19"/>
  <c r="I83" i="19"/>
  <c r="I82" i="19"/>
  <c r="I81" i="19"/>
  <c r="I80" i="19"/>
  <c r="I79" i="19"/>
  <c r="K78" i="19"/>
  <c r="I78" i="19"/>
  <c r="K77" i="19"/>
  <c r="I77" i="19"/>
  <c r="I76" i="19"/>
  <c r="K75" i="19"/>
  <c r="I75" i="19"/>
  <c r="I74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I64" i="19"/>
  <c r="B64" i="19"/>
  <c r="K63" i="19"/>
  <c r="I63" i="19"/>
  <c r="B63" i="19"/>
  <c r="I62" i="19"/>
  <c r="B62" i="19"/>
  <c r="I61" i="19"/>
  <c r="B61" i="19"/>
  <c r="I60" i="19"/>
  <c r="B60" i="19"/>
  <c r="K59" i="19"/>
  <c r="I59" i="19"/>
  <c r="B59" i="19"/>
  <c r="I58" i="19"/>
  <c r="B58" i="19"/>
  <c r="I57" i="19"/>
  <c r="B57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I33" i="19"/>
  <c r="B33" i="19"/>
  <c r="I32" i="19"/>
  <c r="B32" i="19"/>
  <c r="I31" i="19"/>
  <c r="B31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I20" i="19"/>
  <c r="B20" i="19"/>
  <c r="I19" i="19"/>
  <c r="B19" i="19"/>
  <c r="I18" i="19"/>
  <c r="K17" i="19"/>
  <c r="I17" i="19"/>
  <c r="I16" i="19"/>
  <c r="K15" i="19"/>
  <c r="I15" i="19"/>
  <c r="AJ14" i="19"/>
  <c r="I14" i="19"/>
  <c r="AJ13" i="19"/>
  <c r="I13" i="19"/>
  <c r="AJ12" i="19"/>
  <c r="AJ16" i="19" s="1"/>
  <c r="I12" i="19"/>
  <c r="K11" i="19"/>
  <c r="I11" i="19"/>
  <c r="M11" i="19" s="1"/>
  <c r="I10" i="19"/>
  <c r="M10" i="19" s="1"/>
  <c r="I9" i="19"/>
  <c r="M9" i="19" s="1"/>
  <c r="I8" i="19"/>
  <c r="I7" i="19"/>
  <c r="L2" i="19"/>
  <c r="K2" i="19"/>
  <c r="L7" i="19" s="1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I271" i="18"/>
  <c r="M271" i="18" s="1"/>
  <c r="K270" i="18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I261" i="18"/>
  <c r="M261" i="18" s="1"/>
  <c r="I260" i="18"/>
  <c r="M260" i="18" s="1"/>
  <c r="I259" i="18"/>
  <c r="M259" i="18" s="1"/>
  <c r="K258" i="18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K246" i="18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K234" i="18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I200" i="18"/>
  <c r="M200" i="18" s="1"/>
  <c r="I199" i="18"/>
  <c r="M199" i="18" s="1"/>
  <c r="K198" i="18"/>
  <c r="I198" i="18"/>
  <c r="M198" i="18" s="1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I152" i="18"/>
  <c r="M152" i="18" s="1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K114" i="18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I105" i="18"/>
  <c r="M105" i="18" s="1"/>
  <c r="I104" i="18"/>
  <c r="M104" i="18" s="1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K90" i="18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K66" i="18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K42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I32" i="18"/>
  <c r="B32" i="18"/>
  <c r="I31" i="18"/>
  <c r="B31" i="18"/>
  <c r="I30" i="18"/>
  <c r="B30" i="18"/>
  <c r="I29" i="18"/>
  <c r="B29" i="18"/>
  <c r="K28" i="18"/>
  <c r="I28" i="18"/>
  <c r="B28" i="18"/>
  <c r="I27" i="18"/>
  <c r="M27" i="18" s="1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M19" i="18" s="1"/>
  <c r="B19" i="18"/>
  <c r="K18" i="18"/>
  <c r="I18" i="18"/>
  <c r="B18" i="18"/>
  <c r="I17" i="18"/>
  <c r="B17" i="18"/>
  <c r="K16" i="18"/>
  <c r="I16" i="18"/>
  <c r="B16" i="18"/>
  <c r="I15" i="18"/>
  <c r="B15" i="18"/>
  <c r="AI14" i="18"/>
  <c r="I14" i="18"/>
  <c r="B14" i="18"/>
  <c r="AI13" i="18"/>
  <c r="K13" i="18"/>
  <c r="I13" i="18"/>
  <c r="M13" i="18" s="1"/>
  <c r="B13" i="18"/>
  <c r="AI12" i="18"/>
  <c r="AI16" i="18" s="1"/>
  <c r="K12" i="18"/>
  <c r="I12" i="18"/>
  <c r="M12" i="18" s="1"/>
  <c r="B12" i="18"/>
  <c r="K11" i="18"/>
  <c r="I11" i="18"/>
  <c r="M11" i="18" s="1"/>
  <c r="B11" i="18"/>
  <c r="I10" i="18"/>
  <c r="M10" i="18" s="1"/>
  <c r="B10" i="18"/>
  <c r="I9" i="18"/>
  <c r="M9" i="18" s="1"/>
  <c r="B9" i="18"/>
  <c r="I8" i="18"/>
  <c r="B8" i="18"/>
  <c r="M20" i="20" s="1"/>
  <c r="I7" i="18"/>
  <c r="K2" i="18"/>
  <c r="L7" i="18" s="1"/>
  <c r="K305" i="17"/>
  <c r="I305" i="17"/>
  <c r="M305" i="17" s="1"/>
  <c r="I304" i="17"/>
  <c r="M304" i="17" s="1"/>
  <c r="I303" i="17"/>
  <c r="M303" i="17" s="1"/>
  <c r="K302" i="17"/>
  <c r="I302" i="17"/>
  <c r="M302" i="17" s="1"/>
  <c r="I301" i="17"/>
  <c r="M301" i="17" s="1"/>
  <c r="I300" i="17"/>
  <c r="M300" i="17" s="1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I291" i="17"/>
  <c r="M291" i="17" s="1"/>
  <c r="K290" i="17"/>
  <c r="I290" i="17"/>
  <c r="M290" i="17" s="1"/>
  <c r="I289" i="17"/>
  <c r="M289" i="17" s="1"/>
  <c r="I288" i="17"/>
  <c r="M288" i="17" s="1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I280" i="17"/>
  <c r="M280" i="17" s="1"/>
  <c r="I279" i="17"/>
  <c r="M279" i="17" s="1"/>
  <c r="K278" i="17"/>
  <c r="I278" i="17"/>
  <c r="M278" i="17" s="1"/>
  <c r="I277" i="17"/>
  <c r="M277" i="17" s="1"/>
  <c r="I276" i="17"/>
  <c r="M276" i="17" s="1"/>
  <c r="I275" i="17"/>
  <c r="M275" i="17" s="1"/>
  <c r="I274" i="17"/>
  <c r="M274" i="17" s="1"/>
  <c r="I273" i="17"/>
  <c r="M273" i="17" s="1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K266" i="17"/>
  <c r="I266" i="17"/>
  <c r="M266" i="17" s="1"/>
  <c r="I265" i="17"/>
  <c r="M265" i="17" s="1"/>
  <c r="I264" i="17"/>
  <c r="M264" i="17" s="1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I256" i="17"/>
  <c r="M256" i="17" s="1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I249" i="17"/>
  <c r="M249" i="17" s="1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I240" i="17"/>
  <c r="M240" i="17" s="1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I231" i="17"/>
  <c r="M231" i="17" s="1"/>
  <c r="K230" i="17"/>
  <c r="I230" i="17"/>
  <c r="M230" i="17" s="1"/>
  <c r="I229" i="17"/>
  <c r="M229" i="17" s="1"/>
  <c r="I228" i="17"/>
  <c r="M228" i="17" s="1"/>
  <c r="I227" i="17"/>
  <c r="M227" i="17" s="1"/>
  <c r="I226" i="17"/>
  <c r="M226" i="17" s="1"/>
  <c r="I225" i="17"/>
  <c r="M225" i="17" s="1"/>
  <c r="I224" i="17"/>
  <c r="M224" i="17" s="1"/>
  <c r="K223" i="17"/>
  <c r="I223" i="17"/>
  <c r="M223" i="17" s="1"/>
  <c r="I222" i="17"/>
  <c r="M222" i="17" s="1"/>
  <c r="K221" i="17"/>
  <c r="I221" i="17"/>
  <c r="M221" i="17" s="1"/>
  <c r="I220" i="17"/>
  <c r="M220" i="17" s="1"/>
  <c r="I219" i="17"/>
  <c r="M219" i="17" s="1"/>
  <c r="K218" i="17"/>
  <c r="I218" i="17"/>
  <c r="M218" i="17" s="1"/>
  <c r="I217" i="17"/>
  <c r="M217" i="17" s="1"/>
  <c r="I216" i="17"/>
  <c r="M216" i="17" s="1"/>
  <c r="I215" i="17"/>
  <c r="M215" i="17" s="1"/>
  <c r="I214" i="17"/>
  <c r="M214" i="17" s="1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I207" i="17"/>
  <c r="M207" i="17" s="1"/>
  <c r="K206" i="17"/>
  <c r="I206" i="17"/>
  <c r="M206" i="17" s="1"/>
  <c r="I205" i="17"/>
  <c r="M205" i="17" s="1"/>
  <c r="I204" i="17"/>
  <c r="M204" i="17" s="1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I195" i="17"/>
  <c r="M195" i="17" s="1"/>
  <c r="K194" i="17"/>
  <c r="I194" i="17"/>
  <c r="M194" i="17" s="1"/>
  <c r="I193" i="17"/>
  <c r="M193" i="17" s="1"/>
  <c r="I192" i="17"/>
  <c r="M192" i="17" s="1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I183" i="17"/>
  <c r="M183" i="17" s="1"/>
  <c r="K182" i="17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K170" i="17"/>
  <c r="I170" i="17"/>
  <c r="M170" i="17" s="1"/>
  <c r="I169" i="17"/>
  <c r="M169" i="17" s="1"/>
  <c r="I168" i="17"/>
  <c r="M168" i="17" s="1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I160" i="17"/>
  <c r="M160" i="17" s="1"/>
  <c r="I159" i="17"/>
  <c r="M159" i="17" s="1"/>
  <c r="K158" i="17"/>
  <c r="I158" i="17"/>
  <c r="M158" i="17" s="1"/>
  <c r="I157" i="17"/>
  <c r="M157" i="17" s="1"/>
  <c r="I156" i="17"/>
  <c r="M156" i="17" s="1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I145" i="17"/>
  <c r="M145" i="17" s="1"/>
  <c r="I144" i="17"/>
  <c r="M144" i="17" s="1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I135" i="17"/>
  <c r="M135" i="17" s="1"/>
  <c r="K134" i="17"/>
  <c r="I134" i="17"/>
  <c r="M134" i="17" s="1"/>
  <c r="I133" i="17"/>
  <c r="M133" i="17" s="1"/>
  <c r="I132" i="17"/>
  <c r="M132" i="17" s="1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I124" i="17"/>
  <c r="M124" i="17" s="1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I119" i="17"/>
  <c r="M119" i="17" s="1"/>
  <c r="I118" i="17"/>
  <c r="M118" i="17" s="1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I112" i="17"/>
  <c r="M112" i="17" s="1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I105" i="17"/>
  <c r="M105" i="17" s="1"/>
  <c r="I104" i="17"/>
  <c r="M104" i="17" s="1"/>
  <c r="I103" i="17"/>
  <c r="M103" i="17" s="1"/>
  <c r="I102" i="17"/>
  <c r="M102" i="17" s="1"/>
  <c r="K101" i="17"/>
  <c r="I101" i="17"/>
  <c r="M101" i="17" s="1"/>
  <c r="I100" i="17"/>
  <c r="M100" i="17" s="1"/>
  <c r="I99" i="17"/>
  <c r="M99" i="17" s="1"/>
  <c r="K98" i="17"/>
  <c r="I98" i="17"/>
  <c r="M98" i="17" s="1"/>
  <c r="K97" i="17"/>
  <c r="I97" i="17"/>
  <c r="M97" i="17" s="1"/>
  <c r="K96" i="17"/>
  <c r="I96" i="17"/>
  <c r="M96" i="17" s="1"/>
  <c r="I95" i="17"/>
  <c r="M95" i="17" s="1"/>
  <c r="I94" i="17"/>
  <c r="M94" i="17" s="1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I88" i="17"/>
  <c r="M88" i="17" s="1"/>
  <c r="I87" i="17"/>
  <c r="M87" i="17" s="1"/>
  <c r="K86" i="17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I81" i="17"/>
  <c r="M81" i="17" s="1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I75" i="17"/>
  <c r="M75" i="17" s="1"/>
  <c r="K74" i="17"/>
  <c r="I74" i="17"/>
  <c r="M74" i="17" s="1"/>
  <c r="K73" i="17"/>
  <c r="I73" i="17"/>
  <c r="M73" i="17" s="1"/>
  <c r="K72" i="17"/>
  <c r="I72" i="17"/>
  <c r="M72" i="17" s="1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I39" i="17"/>
  <c r="M39" i="17" s="1"/>
  <c r="B39" i="17"/>
  <c r="K38" i="17"/>
  <c r="I38" i="17"/>
  <c r="M38" i="17" s="1"/>
  <c r="B38" i="17"/>
  <c r="K37" i="17"/>
  <c r="I37" i="17"/>
  <c r="B37" i="17"/>
  <c r="K36" i="17"/>
  <c r="I36" i="17"/>
  <c r="M36" i="17" s="1"/>
  <c r="B36" i="17"/>
  <c r="I35" i="17"/>
  <c r="B35" i="17"/>
  <c r="I34" i="17"/>
  <c r="B34" i="17"/>
  <c r="I33" i="17"/>
  <c r="B33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M28" i="17" s="1"/>
  <c r="B28" i="17"/>
  <c r="I27" i="17"/>
  <c r="B27" i="17"/>
  <c r="K26" i="17"/>
  <c r="I26" i="17"/>
  <c r="B26" i="17"/>
  <c r="K25" i="17"/>
  <c r="I25" i="17"/>
  <c r="B25" i="17"/>
  <c r="K24" i="17"/>
  <c r="I24" i="17"/>
  <c r="B24" i="17"/>
  <c r="I23" i="17"/>
  <c r="B23" i="17"/>
  <c r="I22" i="17"/>
  <c r="B22" i="17"/>
  <c r="I21" i="17"/>
  <c r="B21" i="17"/>
  <c r="I20" i="17"/>
  <c r="M20" i="17" s="1"/>
  <c r="B20" i="17"/>
  <c r="I19" i="17"/>
  <c r="B19" i="17"/>
  <c r="I18" i="17"/>
  <c r="B18" i="17"/>
  <c r="K17" i="17"/>
  <c r="I17" i="17"/>
  <c r="I16" i="17"/>
  <c r="I15" i="17"/>
  <c r="AI14" i="17"/>
  <c r="K14" i="17"/>
  <c r="I14" i="17"/>
  <c r="AI13" i="17"/>
  <c r="K13" i="17"/>
  <c r="I13" i="17"/>
  <c r="AI12" i="17"/>
  <c r="K12" i="17"/>
  <c r="I12" i="17"/>
  <c r="M12" i="17" s="1"/>
  <c r="A12" i="17" s="1"/>
  <c r="I11" i="17"/>
  <c r="I10" i="17"/>
  <c r="M10" i="17" s="1"/>
  <c r="A10" i="17" s="1"/>
  <c r="I9" i="17"/>
  <c r="M9" i="17" s="1"/>
  <c r="A9" i="17" s="1"/>
  <c r="I8" i="17"/>
  <c r="I7" i="17"/>
  <c r="K6" i="17"/>
  <c r="K2" i="17"/>
  <c r="L6" i="17" s="1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I264" i="16"/>
  <c r="M264" i="16" s="1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K217" i="16"/>
  <c r="I217" i="16"/>
  <c r="M217" i="16" s="1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I144" i="16"/>
  <c r="M144" i="16" s="1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I127" i="16"/>
  <c r="M127" i="16" s="1"/>
  <c r="K126" i="16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M118" i="16" s="1"/>
  <c r="I117" i="16"/>
  <c r="M117" i="16" s="1"/>
  <c r="I116" i="16"/>
  <c r="M116" i="16" s="1"/>
  <c r="I115" i="16"/>
  <c r="M115" i="16" s="1"/>
  <c r="K114" i="16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K102" i="16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I79" i="16"/>
  <c r="M79" i="16" s="1"/>
  <c r="K78" i="16"/>
  <c r="I78" i="16"/>
  <c r="M78" i="16" s="1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M70" i="16" s="1"/>
  <c r="K69" i="16"/>
  <c r="I69" i="16"/>
  <c r="M69" i="16" s="1"/>
  <c r="I68" i="16"/>
  <c r="M68" i="16" s="1"/>
  <c r="I67" i="16"/>
  <c r="M67" i="16" s="1"/>
  <c r="K66" i="16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K42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I35" i="16"/>
  <c r="B35" i="16"/>
  <c r="I34" i="16"/>
  <c r="M34" i="16" s="1"/>
  <c r="B34" i="16"/>
  <c r="I33" i="16"/>
  <c r="M33" i="16" s="1"/>
  <c r="B33" i="16"/>
  <c r="I32" i="16"/>
  <c r="B32" i="16"/>
  <c r="I31" i="16"/>
  <c r="B31" i="16"/>
  <c r="K30" i="16"/>
  <c r="I30" i="16"/>
  <c r="M30" i="16" s="1"/>
  <c r="B30" i="16"/>
  <c r="I29" i="16"/>
  <c r="B29" i="16"/>
  <c r="I28" i="16"/>
  <c r="B28" i="16"/>
  <c r="I27" i="16"/>
  <c r="M27" i="16" s="1"/>
  <c r="B27" i="16"/>
  <c r="I26" i="16"/>
  <c r="B26" i="16"/>
  <c r="K25" i="16"/>
  <c r="I25" i="16"/>
  <c r="B25" i="16"/>
  <c r="I24" i="16"/>
  <c r="M24" i="16" s="1"/>
  <c r="B24" i="16"/>
  <c r="I23" i="16"/>
  <c r="M23" i="16" s="1"/>
  <c r="B23" i="16"/>
  <c r="I22" i="16"/>
  <c r="M22" i="16" s="1"/>
  <c r="B22" i="16"/>
  <c r="I21" i="16"/>
  <c r="B21" i="16"/>
  <c r="I20" i="16"/>
  <c r="M20" i="16" s="1"/>
  <c r="I19" i="16"/>
  <c r="K18" i="16"/>
  <c r="I18" i="16"/>
  <c r="M18" i="16" s="1"/>
  <c r="I17" i="16"/>
  <c r="I16" i="16"/>
  <c r="M16" i="16" s="1"/>
  <c r="K15" i="16"/>
  <c r="I15" i="16"/>
  <c r="M15" i="16" s="1"/>
  <c r="AI14" i="16"/>
  <c r="I14" i="16"/>
  <c r="AI13" i="16"/>
  <c r="K13" i="16"/>
  <c r="I13" i="16"/>
  <c r="AI12" i="16"/>
  <c r="AI16" i="16" s="1"/>
  <c r="I12" i="16"/>
  <c r="I11" i="16"/>
  <c r="I10" i="16"/>
  <c r="I9" i="16"/>
  <c r="M9" i="16" s="1"/>
  <c r="I8" i="16"/>
  <c r="I7" i="16"/>
  <c r="K6" i="16"/>
  <c r="K2" i="16"/>
  <c r="L8" i="16" s="1"/>
  <c r="M8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K298" i="15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I289" i="15"/>
  <c r="M289" i="15" s="1"/>
  <c r="I288" i="15"/>
  <c r="M288" i="15" s="1"/>
  <c r="K287" i="15"/>
  <c r="I287" i="15"/>
  <c r="M287" i="15" s="1"/>
  <c r="K286" i="15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I279" i="15"/>
  <c r="M279" i="15" s="1"/>
  <c r="K278" i="15"/>
  <c r="I278" i="15"/>
  <c r="M278" i="15" s="1"/>
  <c r="I277" i="15"/>
  <c r="M277" i="15" s="1"/>
  <c r="I276" i="15"/>
  <c r="M276" i="15" s="1"/>
  <c r="I275" i="15"/>
  <c r="M275" i="15" s="1"/>
  <c r="K274" i="15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K266" i="15"/>
  <c r="I266" i="15"/>
  <c r="M266" i="15" s="1"/>
  <c r="I265" i="15"/>
  <c r="M265" i="15" s="1"/>
  <c r="I264" i="15"/>
  <c r="M264" i="15" s="1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K250" i="15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K244" i="15"/>
  <c r="I244" i="15"/>
  <c r="M244" i="15" s="1"/>
  <c r="I243" i="15"/>
  <c r="M243" i="15" s="1"/>
  <c r="K242" i="15"/>
  <c r="I242" i="15"/>
  <c r="M242" i="15" s="1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I228" i="15"/>
  <c r="M228" i="15" s="1"/>
  <c r="I227" i="15"/>
  <c r="M227" i="15" s="1"/>
  <c r="K226" i="15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K218" i="15"/>
  <c r="I218" i="15"/>
  <c r="M218" i="15" s="1"/>
  <c r="I217" i="15"/>
  <c r="M217" i="15" s="1"/>
  <c r="I216" i="15"/>
  <c r="M216" i="15" s="1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K202" i="15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K196" i="15"/>
  <c r="I196" i="15"/>
  <c r="M196" i="15" s="1"/>
  <c r="I195" i="15"/>
  <c r="M195" i="15" s="1"/>
  <c r="K194" i="15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K178" i="15"/>
  <c r="I178" i="15"/>
  <c r="M178" i="15" s="1"/>
  <c r="K177" i="15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I169" i="15"/>
  <c r="M169" i="15" s="1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I155" i="15"/>
  <c r="M155" i="15" s="1"/>
  <c r="K154" i="15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K148" i="15"/>
  <c r="I148" i="15"/>
  <c r="M148" i="15" s="1"/>
  <c r="I147" i="15"/>
  <c r="M147" i="15" s="1"/>
  <c r="I146" i="15"/>
  <c r="M146" i="15" s="1"/>
  <c r="I145" i="15"/>
  <c r="M145" i="15" s="1"/>
  <c r="I144" i="15"/>
  <c r="M144" i="15" s="1"/>
  <c r="I143" i="15"/>
  <c r="M143" i="15" s="1"/>
  <c r="K142" i="15"/>
  <c r="I142" i="15"/>
  <c r="M142" i="15" s="1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K130" i="15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K122" i="15"/>
  <c r="I122" i="15"/>
  <c r="M122" i="15" s="1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K106" i="15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K100" i="15"/>
  <c r="I100" i="15"/>
  <c r="M100" i="15" s="1"/>
  <c r="I99" i="15"/>
  <c r="M99" i="15" s="1"/>
  <c r="K98" i="15"/>
  <c r="I98" i="15"/>
  <c r="M98" i="15" s="1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I85" i="15"/>
  <c r="M85" i="15" s="1"/>
  <c r="I84" i="15"/>
  <c r="M84" i="15" s="1"/>
  <c r="I83" i="15"/>
  <c r="M83" i="15" s="1"/>
  <c r="K82" i="15"/>
  <c r="I82" i="15"/>
  <c r="M82" i="15" s="1"/>
  <c r="I81" i="15"/>
  <c r="M81" i="15" s="1"/>
  <c r="I80" i="15"/>
  <c r="M80" i="15" s="1"/>
  <c r="K79" i="15"/>
  <c r="I79" i="15"/>
  <c r="M79" i="15" s="1"/>
  <c r="I78" i="15"/>
  <c r="M78" i="15" s="1"/>
  <c r="I77" i="15"/>
  <c r="M77" i="15" s="1"/>
  <c r="I76" i="15"/>
  <c r="M76" i="15" s="1"/>
  <c r="I75" i="15"/>
  <c r="M75" i="15" s="1"/>
  <c r="K74" i="15"/>
  <c r="I74" i="15"/>
  <c r="M74" i="15" s="1"/>
  <c r="K73" i="15"/>
  <c r="I73" i="15"/>
  <c r="M73" i="15" s="1"/>
  <c r="K72" i="15"/>
  <c r="I72" i="15"/>
  <c r="M72" i="15" s="1"/>
  <c r="I71" i="15"/>
  <c r="M71" i="15" s="1"/>
  <c r="K70" i="15"/>
  <c r="I70" i="15"/>
  <c r="M70" i="15" s="1"/>
  <c r="I69" i="15"/>
  <c r="M69" i="15" s="1"/>
  <c r="I68" i="15"/>
  <c r="M68" i="15" s="1"/>
  <c r="I67" i="15"/>
  <c r="M67" i="15" s="1"/>
  <c r="I66" i="15"/>
  <c r="M66" i="15" s="1"/>
  <c r="I65" i="15"/>
  <c r="M65" i="15" s="1"/>
  <c r="B65" i="15"/>
  <c r="K64" i="15"/>
  <c r="I64" i="15"/>
  <c r="M64" i="15" s="1"/>
  <c r="B64" i="15"/>
  <c r="I63" i="15"/>
  <c r="M63" i="15" s="1"/>
  <c r="B63" i="15"/>
  <c r="K62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K58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K50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K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M36" i="15" s="1"/>
  <c r="B36" i="15"/>
  <c r="I35" i="15"/>
  <c r="M35" i="15" s="1"/>
  <c r="B35" i="15"/>
  <c r="K34" i="15"/>
  <c r="I34" i="15"/>
  <c r="M34" i="15" s="1"/>
  <c r="B34" i="15"/>
  <c r="K33" i="15"/>
  <c r="I33" i="15"/>
  <c r="B33" i="15"/>
  <c r="I32" i="15"/>
  <c r="B32" i="15"/>
  <c r="K31" i="15"/>
  <c r="I31" i="15"/>
  <c r="B31" i="15"/>
  <c r="I30" i="15"/>
  <c r="B30" i="15"/>
  <c r="I29" i="15"/>
  <c r="M29" i="15" s="1"/>
  <c r="B29" i="15"/>
  <c r="I28" i="15"/>
  <c r="B28" i="15"/>
  <c r="I27" i="15"/>
  <c r="M27" i="15" s="1"/>
  <c r="B27" i="15"/>
  <c r="K26" i="15"/>
  <c r="I26" i="15"/>
  <c r="M26" i="15" s="1"/>
  <c r="B26" i="15"/>
  <c r="I25" i="15"/>
  <c r="B25" i="15"/>
  <c r="I24" i="15"/>
  <c r="B24" i="15"/>
  <c r="I23" i="15"/>
  <c r="M23" i="15" s="1"/>
  <c r="B23" i="15"/>
  <c r="K22" i="15"/>
  <c r="I22" i="15"/>
  <c r="B22" i="15"/>
  <c r="I21" i="15"/>
  <c r="B21" i="15"/>
  <c r="I20" i="15"/>
  <c r="M20" i="15" s="1"/>
  <c r="B20" i="15"/>
  <c r="I19" i="15"/>
  <c r="M19" i="15" s="1"/>
  <c r="B19" i="15"/>
  <c r="I18" i="15"/>
  <c r="M18" i="15" s="1"/>
  <c r="B18" i="15"/>
  <c r="I17" i="15"/>
  <c r="B17" i="15"/>
  <c r="K16" i="15"/>
  <c r="I16" i="15"/>
  <c r="B16" i="15"/>
  <c r="K15" i="15"/>
  <c r="I15" i="15"/>
  <c r="B15" i="15"/>
  <c r="G22" i="13" s="1"/>
  <c r="AI14" i="15"/>
  <c r="I14" i="15"/>
  <c r="M14" i="15" s="1"/>
  <c r="AI13" i="15"/>
  <c r="I13" i="15"/>
  <c r="M13" i="15" s="1"/>
  <c r="AI12" i="15"/>
  <c r="AI16" i="15" s="1"/>
  <c r="I12" i="15"/>
  <c r="M12" i="15" s="1"/>
  <c r="I11" i="15"/>
  <c r="K10" i="15"/>
  <c r="I10" i="15"/>
  <c r="M10" i="15" s="1"/>
  <c r="I9" i="15"/>
  <c r="M9" i="15" s="1"/>
  <c r="I8" i="15"/>
  <c r="K7" i="15"/>
  <c r="I7" i="15"/>
  <c r="K6" i="15"/>
  <c r="K2" i="15"/>
  <c r="L6" i="15" s="1"/>
  <c r="K305" i="14"/>
  <c r="I305" i="14"/>
  <c r="M305" i="14" s="1"/>
  <c r="K304" i="14"/>
  <c r="I304" i="14"/>
  <c r="M304" i="14" s="1"/>
  <c r="I303" i="14"/>
  <c r="M303" i="14" s="1"/>
  <c r="I302" i="14"/>
  <c r="M302" i="14" s="1"/>
  <c r="I301" i="14"/>
  <c r="M301" i="14" s="1"/>
  <c r="I300" i="14"/>
  <c r="M300" i="14" s="1"/>
  <c r="K299" i="14"/>
  <c r="I299" i="14"/>
  <c r="M299" i="14" s="1"/>
  <c r="K298" i="14"/>
  <c r="I298" i="14"/>
  <c r="M298" i="14" s="1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I291" i="14"/>
  <c r="M291" i="14" s="1"/>
  <c r="I290" i="14"/>
  <c r="M290" i="14" s="1"/>
  <c r="I289" i="14"/>
  <c r="M289" i="14" s="1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I279" i="14"/>
  <c r="M279" i="14" s="1"/>
  <c r="I278" i="14"/>
  <c r="M278" i="14" s="1"/>
  <c r="I277" i="14"/>
  <c r="M277" i="14" s="1"/>
  <c r="I276" i="14"/>
  <c r="M276" i="14" s="1"/>
  <c r="K275" i="14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I267" i="14"/>
  <c r="M267" i="14" s="1"/>
  <c r="I266" i="14"/>
  <c r="M266" i="14" s="1"/>
  <c r="I265" i="14"/>
  <c r="M265" i="14" s="1"/>
  <c r="I264" i="14"/>
  <c r="M264" i="14" s="1"/>
  <c r="K263" i="14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I255" i="14"/>
  <c r="M255" i="14" s="1"/>
  <c r="I254" i="14"/>
  <c r="M254" i="14" s="1"/>
  <c r="I253" i="14"/>
  <c r="M253" i="14" s="1"/>
  <c r="I252" i="14"/>
  <c r="M252" i="14" s="1"/>
  <c r="K251" i="14"/>
  <c r="I251" i="14"/>
  <c r="M251" i="14" s="1"/>
  <c r="K250" i="14"/>
  <c r="I250" i="14"/>
  <c r="M250" i="14" s="1"/>
  <c r="I249" i="14"/>
  <c r="M249" i="14" s="1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I243" i="14"/>
  <c r="M243" i="14" s="1"/>
  <c r="I242" i="14"/>
  <c r="M242" i="14" s="1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I231" i="14"/>
  <c r="M231" i="14" s="1"/>
  <c r="I230" i="14"/>
  <c r="M230" i="14" s="1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I219" i="14"/>
  <c r="M219" i="14" s="1"/>
  <c r="I218" i="14"/>
  <c r="M218" i="14" s="1"/>
  <c r="I217" i="14"/>
  <c r="M217" i="14" s="1"/>
  <c r="I216" i="14"/>
  <c r="M216" i="14" s="1"/>
  <c r="K215" i="14"/>
  <c r="I215" i="14"/>
  <c r="M215" i="14" s="1"/>
  <c r="K214" i="14"/>
  <c r="I214" i="14"/>
  <c r="M214" i="14" s="1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I207" i="14"/>
  <c r="M207" i="14" s="1"/>
  <c r="I206" i="14"/>
  <c r="M206" i="14" s="1"/>
  <c r="I205" i="14"/>
  <c r="M205" i="14" s="1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I195" i="14"/>
  <c r="M195" i="14" s="1"/>
  <c r="I194" i="14"/>
  <c r="M194" i="14" s="1"/>
  <c r="I193" i="14"/>
  <c r="M193" i="14" s="1"/>
  <c r="I192" i="14"/>
  <c r="M192" i="14" s="1"/>
  <c r="K191" i="14"/>
  <c r="I191" i="14"/>
  <c r="M191" i="14" s="1"/>
  <c r="K190" i="14"/>
  <c r="I190" i="14"/>
  <c r="M190" i="14" s="1"/>
  <c r="I189" i="14"/>
  <c r="M189" i="14" s="1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I183" i="14"/>
  <c r="M183" i="14" s="1"/>
  <c r="I182" i="14"/>
  <c r="M182" i="14" s="1"/>
  <c r="I181" i="14"/>
  <c r="M181" i="14" s="1"/>
  <c r="I180" i="14"/>
  <c r="M180" i="14" s="1"/>
  <c r="K179" i="14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I171" i="14"/>
  <c r="M171" i="14" s="1"/>
  <c r="K170" i="14"/>
  <c r="I170" i="14"/>
  <c r="M170" i="14" s="1"/>
  <c r="I169" i="14"/>
  <c r="M169" i="14" s="1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I159" i="14"/>
  <c r="M159" i="14" s="1"/>
  <c r="I158" i="14"/>
  <c r="M158" i="14" s="1"/>
  <c r="I157" i="14"/>
  <c r="M157" i="14" s="1"/>
  <c r="I156" i="14"/>
  <c r="M156" i="14" s="1"/>
  <c r="K155" i="14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I147" i="14"/>
  <c r="M147" i="14" s="1"/>
  <c r="I146" i="14"/>
  <c r="M146" i="14" s="1"/>
  <c r="I145" i="14"/>
  <c r="M145" i="14" s="1"/>
  <c r="I144" i="14"/>
  <c r="M144" i="14" s="1"/>
  <c r="K143" i="14"/>
  <c r="I143" i="14"/>
  <c r="M143" i="14" s="1"/>
  <c r="K142" i="14"/>
  <c r="I142" i="14"/>
  <c r="M142" i="14" s="1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I135" i="14"/>
  <c r="M135" i="14" s="1"/>
  <c r="I134" i="14"/>
  <c r="M134" i="14" s="1"/>
  <c r="I133" i="14"/>
  <c r="M133" i="14" s="1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I121" i="14"/>
  <c r="M121" i="14" s="1"/>
  <c r="I120" i="14"/>
  <c r="M120" i="14" s="1"/>
  <c r="K119" i="14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I109" i="14"/>
  <c r="M109" i="14" s="1"/>
  <c r="I108" i="14"/>
  <c r="M108" i="14" s="1"/>
  <c r="K107" i="14"/>
  <c r="I107" i="14"/>
  <c r="M107" i="14" s="1"/>
  <c r="K106" i="14"/>
  <c r="I106" i="14"/>
  <c r="M106" i="14" s="1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I74" i="14"/>
  <c r="M74" i="14" s="1"/>
  <c r="I73" i="14"/>
  <c r="M73" i="14" s="1"/>
  <c r="I72" i="14"/>
  <c r="M72" i="14" s="1"/>
  <c r="K71" i="14"/>
  <c r="I71" i="14"/>
  <c r="M71" i="14" s="1"/>
  <c r="K70" i="14"/>
  <c r="I70" i="14"/>
  <c r="M70" i="14" s="1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I63" i="14"/>
  <c r="M63" i="14" s="1"/>
  <c r="B63" i="14"/>
  <c r="I62" i="14"/>
  <c r="M62" i="14" s="1"/>
  <c r="B62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I51" i="14"/>
  <c r="M51" i="14" s="1"/>
  <c r="B51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I39" i="14"/>
  <c r="M39" i="14" s="1"/>
  <c r="B39" i="14"/>
  <c r="K38" i="14"/>
  <c r="I38" i="14"/>
  <c r="M38" i="14" s="1"/>
  <c r="B38" i="14"/>
  <c r="I37" i="14"/>
  <c r="B37" i="14"/>
  <c r="I36" i="14"/>
  <c r="B36" i="14"/>
  <c r="K35" i="14"/>
  <c r="I35" i="14"/>
  <c r="B35" i="14"/>
  <c r="K34" i="14"/>
  <c r="I34" i="14"/>
  <c r="M34" i="14" s="1"/>
  <c r="B34" i="14"/>
  <c r="I33" i="14"/>
  <c r="B33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I27" i="14"/>
  <c r="B27" i="14"/>
  <c r="I26" i="14"/>
  <c r="M26" i="14" s="1"/>
  <c r="B26" i="14"/>
  <c r="I25" i="14"/>
  <c r="B25" i="14"/>
  <c r="I24" i="14"/>
  <c r="B24" i="14"/>
  <c r="K23" i="14"/>
  <c r="I23" i="14"/>
  <c r="B23" i="14"/>
  <c r="K22" i="14"/>
  <c r="I22" i="14"/>
  <c r="B22" i="14"/>
  <c r="I21" i="14"/>
  <c r="B21" i="14"/>
  <c r="I20" i="14"/>
  <c r="B20" i="14"/>
  <c r="I19" i="14"/>
  <c r="B19" i="14"/>
  <c r="I18" i="14"/>
  <c r="B18" i="14"/>
  <c r="K17" i="14"/>
  <c r="I17" i="14"/>
  <c r="B17" i="14"/>
  <c r="K16" i="14"/>
  <c r="I16" i="14"/>
  <c r="I15" i="14"/>
  <c r="AI13" i="14"/>
  <c r="I13" i="14"/>
  <c r="AI12" i="14"/>
  <c r="AI16" i="14" s="1"/>
  <c r="I12" i="14"/>
  <c r="M12" i="14" s="1"/>
  <c r="K11" i="14"/>
  <c r="I11" i="14"/>
  <c r="M11" i="14" s="1"/>
  <c r="E18" i="13"/>
  <c r="K10" i="14"/>
  <c r="I10" i="14"/>
  <c r="M10" i="14" s="1"/>
  <c r="E10" i="13"/>
  <c r="K9" i="14"/>
  <c r="I9" i="14"/>
  <c r="M9" i="14" s="1"/>
  <c r="I8" i="14"/>
  <c r="E11" i="13"/>
  <c r="I7" i="14"/>
  <c r="K2" i="14"/>
  <c r="L8" i="14" s="1"/>
  <c r="BE29" i="20" l="1"/>
  <c r="BE22" i="20"/>
  <c r="BE23" i="20"/>
  <c r="BF23" i="20"/>
  <c r="BE18" i="20"/>
  <c r="BF28" i="20"/>
  <c r="BE27" i="20"/>
  <c r="BF18" i="20"/>
  <c r="BF7" i="20"/>
  <c r="BF27" i="20"/>
  <c r="T18" i="20"/>
  <c r="T13" i="13"/>
  <c r="S19" i="13"/>
  <c r="T19" i="13" s="1"/>
  <c r="T11" i="20"/>
  <c r="S27" i="20"/>
  <c r="T27" i="20" s="1"/>
  <c r="S12" i="13"/>
  <c r="T12" i="13" s="1"/>
  <c r="S20" i="13"/>
  <c r="T20" i="13" s="1"/>
  <c r="S14" i="20"/>
  <c r="T14" i="20" s="1"/>
  <c r="S20" i="20"/>
  <c r="T20" i="20" s="1"/>
  <c r="S28" i="20"/>
  <c r="T28" i="20" s="1"/>
  <c r="T17" i="13"/>
  <c r="T25" i="20"/>
  <c r="T11" i="13"/>
  <c r="T8" i="20"/>
  <c r="T26" i="20"/>
  <c r="T8" i="13"/>
  <c r="S21" i="13"/>
  <c r="T21" i="13" s="1"/>
  <c r="T10" i="20"/>
  <c r="S15" i="20"/>
  <c r="T15" i="20" s="1"/>
  <c r="S21" i="20"/>
  <c r="T21" i="20" s="1"/>
  <c r="S29" i="20"/>
  <c r="T29" i="20" s="1"/>
  <c r="L7" i="31"/>
  <c r="M7" i="31" s="1"/>
  <c r="A7" i="31" s="1"/>
  <c r="T7" i="13"/>
  <c r="S14" i="13"/>
  <c r="T14" i="13" s="1"/>
  <c r="S22" i="13"/>
  <c r="T22" i="13" s="1"/>
  <c r="T13" i="20"/>
  <c r="S16" i="20"/>
  <c r="T16" i="20" s="1"/>
  <c r="S22" i="20"/>
  <c r="T22" i="20" s="1"/>
  <c r="T6" i="13"/>
  <c r="S15" i="13"/>
  <c r="T15" i="13" s="1"/>
  <c r="T7" i="20"/>
  <c r="S12" i="20"/>
  <c r="T12" i="20" s="1"/>
  <c r="S23" i="20"/>
  <c r="T23" i="20" s="1"/>
  <c r="T18" i="13"/>
  <c r="T6" i="20"/>
  <c r="T19" i="20"/>
  <c r="M6" i="31"/>
  <c r="A6" i="31" s="1"/>
  <c r="M8" i="31"/>
  <c r="A8" i="31" s="1"/>
  <c r="T10" i="13"/>
  <c r="S16" i="13"/>
  <c r="T16" i="13" s="1"/>
  <c r="S17" i="20"/>
  <c r="T17" i="20" s="1"/>
  <c r="U18" i="13"/>
  <c r="U14" i="20"/>
  <c r="U21" i="20"/>
  <c r="U26" i="20"/>
  <c r="U16" i="13"/>
  <c r="U17" i="20"/>
  <c r="U22" i="20"/>
  <c r="U27" i="20"/>
  <c r="U17" i="13"/>
  <c r="U16" i="20"/>
  <c r="U23" i="20"/>
  <c r="U12" i="13"/>
  <c r="U18" i="20"/>
  <c r="U28" i="20"/>
  <c r="U14" i="13"/>
  <c r="U19" i="20"/>
  <c r="U24" i="20"/>
  <c r="U29" i="20"/>
  <c r="U19" i="13"/>
  <c r="U15" i="20"/>
  <c r="Q16" i="20"/>
  <c r="R16" i="20" s="1"/>
  <c r="Q27" i="20"/>
  <c r="R27" i="20" s="1"/>
  <c r="Q23" i="20"/>
  <c r="R23" i="20" s="1"/>
  <c r="Q18" i="13"/>
  <c r="R18" i="13" s="1"/>
  <c r="R6" i="20"/>
  <c r="M8" i="30"/>
  <c r="A8" i="30" s="1"/>
  <c r="R11" i="13"/>
  <c r="M7" i="30"/>
  <c r="A7" i="30" s="1"/>
  <c r="M9" i="30"/>
  <c r="A9" i="30" s="1"/>
  <c r="R13" i="13"/>
  <c r="Q19" i="13"/>
  <c r="R19" i="13" s="1"/>
  <c r="R11" i="20"/>
  <c r="R8" i="20"/>
  <c r="Q12" i="13"/>
  <c r="R12" i="13" s="1"/>
  <c r="Q20" i="13"/>
  <c r="R20" i="13" s="1"/>
  <c r="Q20" i="20"/>
  <c r="R20" i="20" s="1"/>
  <c r="Q24" i="20"/>
  <c r="R24" i="20" s="1"/>
  <c r="Q28" i="20"/>
  <c r="R28" i="20" s="1"/>
  <c r="L7" i="30"/>
  <c r="R8" i="13"/>
  <c r="Q21" i="13"/>
  <c r="R21" i="13" s="1"/>
  <c r="R10" i="20"/>
  <c r="Q17" i="20"/>
  <c r="R17" i="20" s="1"/>
  <c r="R7" i="13"/>
  <c r="Q14" i="13"/>
  <c r="R14" i="13" s="1"/>
  <c r="Q22" i="13"/>
  <c r="R22" i="13" s="1"/>
  <c r="R13" i="20"/>
  <c r="Q14" i="20"/>
  <c r="R14" i="20" s="1"/>
  <c r="Q21" i="20"/>
  <c r="R21" i="20" s="1"/>
  <c r="Q25" i="20"/>
  <c r="R25" i="20" s="1"/>
  <c r="Q29" i="20"/>
  <c r="R29" i="20" s="1"/>
  <c r="Q15" i="13"/>
  <c r="R15" i="13" s="1"/>
  <c r="R7" i="20"/>
  <c r="Q18" i="20"/>
  <c r="R18" i="20" s="1"/>
  <c r="L6" i="30"/>
  <c r="M6" i="30" s="1"/>
  <c r="A6" i="30" s="1"/>
  <c r="R6" i="13" s="1"/>
  <c r="R10" i="13"/>
  <c r="Q16" i="13"/>
  <c r="R16" i="13" s="1"/>
  <c r="R9" i="20"/>
  <c r="Q12" i="20"/>
  <c r="R12" i="20" s="1"/>
  <c r="Q15" i="20"/>
  <c r="R15" i="20" s="1"/>
  <c r="Q22" i="20"/>
  <c r="R22" i="20" s="1"/>
  <c r="Q26" i="20"/>
  <c r="R26" i="20" s="1"/>
  <c r="R9" i="13"/>
  <c r="Q17" i="13"/>
  <c r="R17" i="13" s="1"/>
  <c r="M10" i="27"/>
  <c r="A10" i="27" s="1"/>
  <c r="M15" i="27"/>
  <c r="A15" i="27" s="1"/>
  <c r="O28" i="20"/>
  <c r="P28" i="20" s="1"/>
  <c r="O12" i="20"/>
  <c r="P12" i="20" s="1"/>
  <c r="O25" i="20"/>
  <c r="P25" i="20" s="1"/>
  <c r="O22" i="20"/>
  <c r="P22" i="20" s="1"/>
  <c r="O15" i="13"/>
  <c r="P15" i="13" s="1"/>
  <c r="P27" i="20"/>
  <c r="P17" i="13"/>
  <c r="P11" i="13"/>
  <c r="O23" i="20"/>
  <c r="P23" i="20" s="1"/>
  <c r="P13" i="13"/>
  <c r="O19" i="13"/>
  <c r="P19" i="13" s="1"/>
  <c r="P11" i="20"/>
  <c r="O18" i="20"/>
  <c r="P18" i="20" s="1"/>
  <c r="O26" i="20"/>
  <c r="P26" i="20" s="1"/>
  <c r="P20" i="20"/>
  <c r="M6" i="29"/>
  <c r="A6" i="29" s="1"/>
  <c r="O12" i="13"/>
  <c r="P12" i="13" s="1"/>
  <c r="O20" i="13"/>
  <c r="P20" i="13" s="1"/>
  <c r="P8" i="20"/>
  <c r="O21" i="20"/>
  <c r="P21" i="20" s="1"/>
  <c r="O29" i="20"/>
  <c r="P29" i="20" s="1"/>
  <c r="P6" i="13"/>
  <c r="P7" i="20"/>
  <c r="P14" i="20"/>
  <c r="P16" i="13"/>
  <c r="O18" i="13"/>
  <c r="P18" i="13" s="1"/>
  <c r="O15" i="20"/>
  <c r="P15" i="20" s="1"/>
  <c r="P8" i="13"/>
  <c r="O21" i="13"/>
  <c r="P21" i="13" s="1"/>
  <c r="P10" i="20"/>
  <c r="O16" i="20"/>
  <c r="P16" i="20" s="1"/>
  <c r="O24" i="20"/>
  <c r="P24" i="20" s="1"/>
  <c r="P10" i="13"/>
  <c r="P9" i="20"/>
  <c r="P17" i="20"/>
  <c r="P9" i="13"/>
  <c r="P6" i="20"/>
  <c r="P7" i="13"/>
  <c r="O14" i="13"/>
  <c r="P14" i="13" s="1"/>
  <c r="O22" i="13"/>
  <c r="P22" i="13" s="1"/>
  <c r="P13" i="20"/>
  <c r="O19" i="20"/>
  <c r="P19" i="20" s="1"/>
  <c r="L7" i="37"/>
  <c r="M36" i="37"/>
  <c r="A36" i="37" s="1"/>
  <c r="L6" i="37"/>
  <c r="M27" i="37"/>
  <c r="A27" i="37" s="1"/>
  <c r="M7" i="37"/>
  <c r="A7" i="37" s="1"/>
  <c r="M32" i="37"/>
  <c r="A32" i="37" s="1"/>
  <c r="M6" i="37"/>
  <c r="A6" i="37" s="1"/>
  <c r="L9" i="37"/>
  <c r="M9" i="37" s="1"/>
  <c r="A9" i="37" s="1"/>
  <c r="M24" i="37"/>
  <c r="A24" i="37" s="1"/>
  <c r="M31" i="37"/>
  <c r="A31" i="37" s="1"/>
  <c r="M17" i="37"/>
  <c r="A17" i="37" s="1"/>
  <c r="M33" i="37"/>
  <c r="A33" i="37" s="1"/>
  <c r="M29" i="37"/>
  <c r="A29" i="37" s="1"/>
  <c r="M12" i="20"/>
  <c r="M21" i="20"/>
  <c r="M24" i="20"/>
  <c r="M18" i="20"/>
  <c r="M14" i="20"/>
  <c r="M25" i="20"/>
  <c r="M28" i="20"/>
  <c r="M16" i="13"/>
  <c r="M15" i="13"/>
  <c r="M19" i="20"/>
  <c r="M22" i="20"/>
  <c r="M18" i="13"/>
  <c r="M29" i="20"/>
  <c r="M17" i="13"/>
  <c r="M23" i="20"/>
  <c r="M26" i="20"/>
  <c r="M12" i="13"/>
  <c r="M16" i="20"/>
  <c r="M17" i="20"/>
  <c r="BF10" i="20"/>
  <c r="BF12" i="20"/>
  <c r="BE6" i="20"/>
  <c r="BF6" i="20"/>
  <c r="BF14" i="20"/>
  <c r="L9" i="35"/>
  <c r="L8" i="35"/>
  <c r="L9" i="34"/>
  <c r="L8" i="34"/>
  <c r="L9" i="32"/>
  <c r="L8" i="32"/>
  <c r="L7" i="32"/>
  <c r="L8" i="29"/>
  <c r="K17" i="20"/>
  <c r="L17" i="20" s="1"/>
  <c r="K8" i="13"/>
  <c r="L8" i="13" s="1"/>
  <c r="K24" i="20"/>
  <c r="L24" i="20" s="1"/>
  <c r="K15" i="13"/>
  <c r="K22" i="20"/>
  <c r="L22" i="20" s="1"/>
  <c r="K29" i="20"/>
  <c r="L29" i="20" s="1"/>
  <c r="K16" i="13"/>
  <c r="K18" i="13"/>
  <c r="K20" i="20"/>
  <c r="L20" i="20" s="1"/>
  <c r="K27" i="20"/>
  <c r="L27" i="20" s="1"/>
  <c r="K17" i="13"/>
  <c r="K18" i="20"/>
  <c r="L18" i="20" s="1"/>
  <c r="K25" i="20"/>
  <c r="L25" i="20" s="1"/>
  <c r="K23" i="20"/>
  <c r="L23" i="20" s="1"/>
  <c r="K26" i="20"/>
  <c r="L26" i="20" s="1"/>
  <c r="K19" i="13"/>
  <c r="K14" i="13"/>
  <c r="K21" i="20"/>
  <c r="L21" i="20" s="1"/>
  <c r="K15" i="20"/>
  <c r="L15" i="20" s="1"/>
  <c r="K16" i="20"/>
  <c r="L16" i="20" s="1"/>
  <c r="K19" i="20"/>
  <c r="L19" i="20" s="1"/>
  <c r="L9" i="20"/>
  <c r="L28" i="20"/>
  <c r="L8" i="20"/>
  <c r="BF13" i="20"/>
  <c r="BE9" i="20"/>
  <c r="BF9" i="20"/>
  <c r="BE17" i="20"/>
  <c r="BE8" i="20"/>
  <c r="BF17" i="20"/>
  <c r="BF8" i="20"/>
  <c r="J11" i="20"/>
  <c r="J18" i="20"/>
  <c r="J20" i="20"/>
  <c r="J7" i="20"/>
  <c r="J14" i="20"/>
  <c r="I10" i="20"/>
  <c r="J10" i="20" s="1"/>
  <c r="I19" i="20"/>
  <c r="I21" i="20"/>
  <c r="I23" i="20"/>
  <c r="I25" i="20"/>
  <c r="I27" i="20"/>
  <c r="J27" i="20" s="1"/>
  <c r="M10" i="16"/>
  <c r="A10" i="16" s="1"/>
  <c r="I6" i="20"/>
  <c r="J13" i="20"/>
  <c r="L9" i="28"/>
  <c r="L8" i="28"/>
  <c r="L7" i="28"/>
  <c r="L6" i="28"/>
  <c r="M30" i="28"/>
  <c r="N30" i="28" s="1"/>
  <c r="A30" i="28" s="1"/>
  <c r="M38" i="28"/>
  <c r="N38" i="28" s="1"/>
  <c r="A38" i="28" s="1"/>
  <c r="M41" i="28"/>
  <c r="N41" i="28"/>
  <c r="A41" i="28" s="1"/>
  <c r="M45" i="28"/>
  <c r="N45" i="28" s="1"/>
  <c r="A45" i="28" s="1"/>
  <c r="M54" i="28"/>
  <c r="N54" i="28" s="1"/>
  <c r="A54" i="28" s="1"/>
  <c r="M71" i="28"/>
  <c r="N80" i="28"/>
  <c r="A80" i="28" s="1"/>
  <c r="M80" i="28"/>
  <c r="M81" i="28"/>
  <c r="N81" i="28"/>
  <c r="A81" i="28" s="1"/>
  <c r="N83" i="28"/>
  <c r="A83" i="28" s="1"/>
  <c r="M83" i="28"/>
  <c r="M84" i="28"/>
  <c r="N84" i="28"/>
  <c r="A84" i="28" s="1"/>
  <c r="N85" i="28"/>
  <c r="A85" i="28" s="1"/>
  <c r="M85" i="28"/>
  <c r="N87" i="28"/>
  <c r="A87" i="28" s="1"/>
  <c r="M87" i="28"/>
  <c r="N88" i="28"/>
  <c r="A88" i="28" s="1"/>
  <c r="M88" i="28"/>
  <c r="M89" i="28"/>
  <c r="N89" i="28"/>
  <c r="A89" i="28" s="1"/>
  <c r="M92" i="28"/>
  <c r="N92" i="28"/>
  <c r="A92" i="28" s="1"/>
  <c r="N94" i="28"/>
  <c r="A94" i="28" s="1"/>
  <c r="M94" i="28"/>
  <c r="N96" i="28"/>
  <c r="A96" i="28" s="1"/>
  <c r="M96" i="28"/>
  <c r="M105" i="28"/>
  <c r="N105" i="28"/>
  <c r="A105" i="28" s="1"/>
  <c r="N110" i="28"/>
  <c r="A110" i="28" s="1"/>
  <c r="M110" i="28"/>
  <c r="M111" i="28"/>
  <c r="N111" i="28"/>
  <c r="A111" i="28" s="1"/>
  <c r="N112" i="28"/>
  <c r="A112" i="28" s="1"/>
  <c r="M112" i="28"/>
  <c r="N115" i="28"/>
  <c r="A115" i="28" s="1"/>
  <c r="M115" i="28"/>
  <c r="M118" i="28"/>
  <c r="N118" i="28"/>
  <c r="A118" i="28" s="1"/>
  <c r="N119" i="28"/>
  <c r="A119" i="28" s="1"/>
  <c r="M119" i="28"/>
  <c r="N123" i="28"/>
  <c r="A123" i="28" s="1"/>
  <c r="M123" i="28"/>
  <c r="M124" i="28"/>
  <c r="N124" i="28"/>
  <c r="A124" i="28" s="1"/>
  <c r="N126" i="28"/>
  <c r="A126" i="28" s="1"/>
  <c r="M126" i="28"/>
  <c r="M127" i="28"/>
  <c r="N127" i="28"/>
  <c r="A127" i="28" s="1"/>
  <c r="M128" i="28"/>
  <c r="N128" i="28"/>
  <c r="A128" i="28" s="1"/>
  <c r="N135" i="28"/>
  <c r="A135" i="28" s="1"/>
  <c r="M135" i="28"/>
  <c r="N139" i="28"/>
  <c r="A139" i="28" s="1"/>
  <c r="M139" i="28"/>
  <c r="N142" i="28"/>
  <c r="A142" i="28" s="1"/>
  <c r="M142" i="28"/>
  <c r="N144" i="28"/>
  <c r="A144" i="28" s="1"/>
  <c r="M144" i="28"/>
  <c r="N146" i="28"/>
  <c r="A146" i="28" s="1"/>
  <c r="M146" i="28"/>
  <c r="N148" i="28"/>
  <c r="A148" i="28" s="1"/>
  <c r="M148" i="28"/>
  <c r="M164" i="28"/>
  <c r="N164" i="28"/>
  <c r="A164" i="28" s="1"/>
  <c r="N166" i="28"/>
  <c r="A166" i="28" s="1"/>
  <c r="M166" i="28"/>
  <c r="N172" i="28"/>
  <c r="A172" i="28" s="1"/>
  <c r="M172" i="28"/>
  <c r="N176" i="28"/>
  <c r="A176" i="28" s="1"/>
  <c r="M176" i="28"/>
  <c r="M177" i="28"/>
  <c r="N177" i="28"/>
  <c r="A177" i="28" s="1"/>
  <c r="N180" i="28"/>
  <c r="A180" i="28" s="1"/>
  <c r="M180" i="28"/>
  <c r="N181" i="28"/>
  <c r="A181" i="28" s="1"/>
  <c r="M181" i="28"/>
  <c r="M182" i="28"/>
  <c r="N182" i="28"/>
  <c r="A182" i="28" s="1"/>
  <c r="M185" i="28"/>
  <c r="N185" i="28"/>
  <c r="A185" i="28" s="1"/>
  <c r="M188" i="28"/>
  <c r="N188" i="28"/>
  <c r="A188" i="28" s="1"/>
  <c r="N189" i="28"/>
  <c r="A189" i="28" s="1"/>
  <c r="M189" i="28"/>
  <c r="N190" i="28"/>
  <c r="A190" i="28" s="1"/>
  <c r="M190" i="28"/>
  <c r="N198" i="28"/>
  <c r="A198" i="28" s="1"/>
  <c r="M198" i="28"/>
  <c r="N203" i="28"/>
  <c r="A203" i="28" s="1"/>
  <c r="M203" i="28"/>
  <c r="N204" i="28"/>
  <c r="A204" i="28" s="1"/>
  <c r="M204" i="28"/>
  <c r="N205" i="28"/>
  <c r="A205" i="28" s="1"/>
  <c r="M205" i="28"/>
  <c r="N211" i="28"/>
  <c r="A211" i="28" s="1"/>
  <c r="M211" i="28"/>
  <c r="M220" i="28"/>
  <c r="N220" i="28"/>
  <c r="A220" i="28" s="1"/>
  <c r="N221" i="28"/>
  <c r="A221" i="28" s="1"/>
  <c r="M221" i="28"/>
  <c r="M225" i="28"/>
  <c r="N225" i="28"/>
  <c r="A225" i="28" s="1"/>
  <c r="M228" i="28"/>
  <c r="N228" i="28"/>
  <c r="A228" i="28" s="1"/>
  <c r="N229" i="28"/>
  <c r="A229" i="28" s="1"/>
  <c r="M229" i="28"/>
  <c r="N230" i="28"/>
  <c r="A230" i="28" s="1"/>
  <c r="M230" i="28"/>
  <c r="N232" i="28"/>
  <c r="A232" i="28" s="1"/>
  <c r="M232" i="28"/>
  <c r="M233" i="28"/>
  <c r="N233" i="28"/>
  <c r="A233" i="28" s="1"/>
  <c r="N236" i="28"/>
  <c r="A236" i="28" s="1"/>
  <c r="M236" i="28"/>
  <c r="N238" i="28"/>
  <c r="A238" i="28" s="1"/>
  <c r="M238" i="28"/>
  <c r="M244" i="28"/>
  <c r="N244" i="28"/>
  <c r="A244" i="28" s="1"/>
  <c r="N245" i="28"/>
  <c r="A245" i="28" s="1"/>
  <c r="M245" i="28"/>
  <c r="M249" i="28"/>
  <c r="N249" i="28"/>
  <c r="A249" i="28" s="1"/>
  <c r="N254" i="28"/>
  <c r="A254" i="28" s="1"/>
  <c r="M254" i="28"/>
  <c r="N255" i="28"/>
  <c r="A255" i="28" s="1"/>
  <c r="M255" i="28"/>
  <c r="M259" i="28"/>
  <c r="N259" i="28"/>
  <c r="A259" i="28" s="1"/>
  <c r="N260" i="28"/>
  <c r="A260" i="28" s="1"/>
  <c r="M260" i="28"/>
  <c r="N264" i="28"/>
  <c r="A264" i="28" s="1"/>
  <c r="M264" i="28"/>
  <c r="N265" i="28"/>
  <c r="A265" i="28" s="1"/>
  <c r="M265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N279" i="28"/>
  <c r="A279" i="28" s="1"/>
  <c r="M279" i="28"/>
  <c r="N281" i="28"/>
  <c r="A281" i="28" s="1"/>
  <c r="M281" i="28"/>
  <c r="M284" i="28"/>
  <c r="N284" i="28"/>
  <c r="A284" i="28" s="1"/>
  <c r="N286" i="28"/>
  <c r="A286" i="28" s="1"/>
  <c r="M286" i="28"/>
  <c r="N291" i="28"/>
  <c r="A291" i="28" s="1"/>
  <c r="M291" i="28"/>
  <c r="N292" i="28"/>
  <c r="A292" i="28" s="1"/>
  <c r="M292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3" i="28"/>
  <c r="A303" i="28" s="1"/>
  <c r="M303" i="28"/>
  <c r="N304" i="28"/>
  <c r="A304" i="28" s="1"/>
  <c r="M304" i="28"/>
  <c r="BE15" i="20"/>
  <c r="BE12" i="20"/>
  <c r="BE13" i="20"/>
  <c r="G20" i="20"/>
  <c r="G28" i="20"/>
  <c r="G10" i="13"/>
  <c r="G10" i="20"/>
  <c r="H10" i="20" s="1"/>
  <c r="G22" i="20"/>
  <c r="H22" i="20" s="1"/>
  <c r="G27" i="20"/>
  <c r="H27" i="20" s="1"/>
  <c r="H15" i="20"/>
  <c r="G24" i="20"/>
  <c r="G21" i="20"/>
  <c r="G29" i="20"/>
  <c r="H29" i="20" s="1"/>
  <c r="G18" i="20"/>
  <c r="H18" i="20" s="1"/>
  <c r="G26" i="20"/>
  <c r="H26" i="20" s="1"/>
  <c r="H13" i="20"/>
  <c r="G25" i="20"/>
  <c r="H25" i="20" s="1"/>
  <c r="G19" i="20"/>
  <c r="H11" i="20"/>
  <c r="G18" i="13"/>
  <c r="G19" i="13"/>
  <c r="H7" i="20"/>
  <c r="H14" i="20"/>
  <c r="G23" i="20"/>
  <c r="M10" i="23"/>
  <c r="A10" i="23" s="1"/>
  <c r="M11" i="23"/>
  <c r="A11" i="23" s="1"/>
  <c r="BE16" i="20"/>
  <c r="BE10" i="20"/>
  <c r="BF11" i="20"/>
  <c r="BE14" i="20"/>
  <c r="BF15" i="20"/>
  <c r="BF16" i="20"/>
  <c r="E14" i="13"/>
  <c r="E12" i="20"/>
  <c r="E8" i="13"/>
  <c r="E15" i="20"/>
  <c r="E17" i="13"/>
  <c r="E14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0" i="20"/>
  <c r="E11" i="20"/>
  <c r="E19" i="13"/>
  <c r="F7" i="20"/>
  <c r="BE11" i="20"/>
  <c r="M10" i="22"/>
  <c r="A10" i="22" s="1"/>
  <c r="Z10" i="20"/>
  <c r="AA10" i="20" s="1"/>
  <c r="Z11" i="20"/>
  <c r="Z27" i="20"/>
  <c r="Z28" i="20"/>
  <c r="Z26" i="20"/>
  <c r="Z25" i="20"/>
  <c r="Z29" i="20"/>
  <c r="Z19" i="20"/>
  <c r="M13" i="22"/>
  <c r="A13" i="22" s="1"/>
  <c r="AA12" i="20"/>
  <c r="AA7" i="20"/>
  <c r="Y22" i="20"/>
  <c r="BA22" i="20" s="1"/>
  <c r="Y14" i="20"/>
  <c r="Y27" i="20"/>
  <c r="X18" i="20"/>
  <c r="Y18" i="20" s="1"/>
  <c r="X19" i="20"/>
  <c r="Y19" i="20" s="1"/>
  <c r="BA19" i="20" s="1"/>
  <c r="Y26" i="20"/>
  <c r="Y6" i="20"/>
  <c r="Y13" i="20"/>
  <c r="X21" i="20"/>
  <c r="Y21" i="20" s="1"/>
  <c r="M10" i="21"/>
  <c r="A10" i="21" s="1"/>
  <c r="Y12" i="20"/>
  <c r="Y20" i="20"/>
  <c r="Y7" i="20"/>
  <c r="Y17" i="20"/>
  <c r="Y23" i="20"/>
  <c r="BA23" i="20" s="1"/>
  <c r="Y28" i="20"/>
  <c r="BA28" i="20" s="1"/>
  <c r="Y8" i="20"/>
  <c r="Y15" i="20"/>
  <c r="Y10" i="20"/>
  <c r="Y25" i="20"/>
  <c r="M17" i="23"/>
  <c r="A17" i="23" s="1"/>
  <c r="AC9" i="20"/>
  <c r="M21" i="23"/>
  <c r="A21" i="23" s="1"/>
  <c r="AC6" i="20"/>
  <c r="AC13" i="20"/>
  <c r="AB21" i="20"/>
  <c r="AB27" i="20"/>
  <c r="AB28" i="20"/>
  <c r="M15" i="23"/>
  <c r="A15" i="23" s="1"/>
  <c r="M19" i="23"/>
  <c r="A19" i="23" s="1"/>
  <c r="AC7" i="20"/>
  <c r="AC8" i="20"/>
  <c r="M9" i="23"/>
  <c r="A9" i="23" s="1"/>
  <c r="M16" i="23"/>
  <c r="A16" i="23" s="1"/>
  <c r="AC15" i="20"/>
  <c r="M20" i="23"/>
  <c r="A20" i="23" s="1"/>
  <c r="AC12" i="20"/>
  <c r="AC17" i="20"/>
  <c r="L7" i="23"/>
  <c r="M7" i="23" s="1"/>
  <c r="A7" i="23" s="1"/>
  <c r="AC16" i="20"/>
  <c r="M55" i="28"/>
  <c r="N165" i="28"/>
  <c r="A165" i="28" s="1"/>
  <c r="M165" i="28"/>
  <c r="N287" i="28"/>
  <c r="A287" i="28" s="1"/>
  <c r="M287" i="28"/>
  <c r="M113" i="28"/>
  <c r="N113" i="28"/>
  <c r="A113" i="28" s="1"/>
  <c r="N163" i="28"/>
  <c r="A163" i="28" s="1"/>
  <c r="M163" i="28"/>
  <c r="N187" i="28"/>
  <c r="A187" i="28" s="1"/>
  <c r="M187" i="28"/>
  <c r="M7" i="28"/>
  <c r="N7" i="28" s="1"/>
  <c r="A7" i="28" s="1"/>
  <c r="N107" i="28"/>
  <c r="A107" i="28" s="1"/>
  <c r="M107" i="28"/>
  <c r="N154" i="28"/>
  <c r="A154" i="28" s="1"/>
  <c r="M154" i="28"/>
  <c r="N276" i="28"/>
  <c r="A276" i="28" s="1"/>
  <c r="M276" i="28"/>
  <c r="M9" i="28"/>
  <c r="N9" i="28" s="1"/>
  <c r="A9" i="28" s="1"/>
  <c r="N36" i="28"/>
  <c r="A36" i="28" s="1"/>
  <c r="N72" i="28"/>
  <c r="A72" i="28" s="1"/>
  <c r="N168" i="28"/>
  <c r="A168" i="28" s="1"/>
  <c r="M168" i="28"/>
  <c r="N212" i="28"/>
  <c r="A212" i="28" s="1"/>
  <c r="M212" i="28"/>
  <c r="M237" i="28"/>
  <c r="N288" i="28"/>
  <c r="A288" i="28" s="1"/>
  <c r="M302" i="28"/>
  <c r="M6" i="28"/>
  <c r="N6" i="28" s="1"/>
  <c r="A6" i="28" s="1"/>
  <c r="M13" i="28"/>
  <c r="N13" i="28" s="1"/>
  <c r="A13" i="28" s="1"/>
  <c r="N19" i="28"/>
  <c r="A19" i="28" s="1"/>
  <c r="N120" i="28"/>
  <c r="A120" i="28" s="1"/>
  <c r="M137" i="28"/>
  <c r="N137" i="28"/>
  <c r="A137" i="28" s="1"/>
  <c r="N214" i="28"/>
  <c r="A214" i="28" s="1"/>
  <c r="N240" i="28"/>
  <c r="A240" i="28" s="1"/>
  <c r="M240" i="28"/>
  <c r="N257" i="28"/>
  <c r="A257" i="28" s="1"/>
  <c r="M257" i="28"/>
  <c r="N46" i="28"/>
  <c r="A46" i="28" s="1"/>
  <c r="AY15" i="20" s="1"/>
  <c r="M46" i="28"/>
  <c r="M10" i="28"/>
  <c r="N10" i="28"/>
  <c r="A10" i="28" s="1"/>
  <c r="N78" i="28"/>
  <c r="A78" i="28" s="1"/>
  <c r="M78" i="28"/>
  <c r="M129" i="28"/>
  <c r="N129" i="28"/>
  <c r="A129" i="28" s="1"/>
  <c r="N158" i="28"/>
  <c r="A158" i="28" s="1"/>
  <c r="M158" i="28"/>
  <c r="N103" i="28"/>
  <c r="A103" i="28" s="1"/>
  <c r="M103" i="28"/>
  <c r="N174" i="28"/>
  <c r="A174" i="28" s="1"/>
  <c r="M201" i="28"/>
  <c r="N201" i="28"/>
  <c r="A201" i="28" s="1"/>
  <c r="M209" i="28"/>
  <c r="N209" i="28"/>
  <c r="A209" i="28" s="1"/>
  <c r="N294" i="28"/>
  <c r="A294" i="28" s="1"/>
  <c r="M294" i="28"/>
  <c r="AY14" i="20"/>
  <c r="M18" i="28"/>
  <c r="N18" i="28" s="1"/>
  <c r="A18" i="28" s="1"/>
  <c r="M134" i="28"/>
  <c r="M161" i="28"/>
  <c r="N161" i="28"/>
  <c r="A161" i="28" s="1"/>
  <c r="N227" i="28"/>
  <c r="A227" i="28" s="1"/>
  <c r="M227" i="28"/>
  <c r="AY16" i="20"/>
  <c r="AX23" i="20" a="1"/>
  <c r="AX23" i="20" s="1"/>
  <c r="AX11" i="20" a="1"/>
  <c r="AX11" i="20" s="1"/>
  <c r="AX22" i="20" a="1"/>
  <c r="AX22" i="20" s="1"/>
  <c r="AX28" i="20" a="1"/>
  <c r="AX28" i="20" s="1"/>
  <c r="AX25" i="20" a="1"/>
  <c r="AX25" i="20" s="1"/>
  <c r="AX29" i="20" a="1"/>
  <c r="AX29" i="20" s="1"/>
  <c r="AX26" i="20" a="1"/>
  <c r="AX26" i="20" s="1"/>
  <c r="AX24" i="20" a="1"/>
  <c r="AX24" i="20" s="1"/>
  <c r="AX20" i="20" a="1"/>
  <c r="AX20" i="20" s="1"/>
  <c r="M67" i="28"/>
  <c r="N67" i="28" s="1"/>
  <c r="A67" i="28" s="1"/>
  <c r="N101" i="28"/>
  <c r="A101" i="28" s="1"/>
  <c r="M101" i="28"/>
  <c r="AX18" i="20" a="1"/>
  <c r="AX18" i="20" s="1"/>
  <c r="M17" i="28"/>
  <c r="N17" i="28"/>
  <c r="A17" i="28" s="1"/>
  <c r="M39" i="28"/>
  <c r="N39" i="28" s="1"/>
  <c r="A39" i="28" s="1"/>
  <c r="M72" i="28"/>
  <c r="M79" i="28"/>
  <c r="N95" i="28"/>
  <c r="A95" i="28" s="1"/>
  <c r="M95" i="28"/>
  <c r="N117" i="28"/>
  <c r="A117" i="28" s="1"/>
  <c r="M117" i="28"/>
  <c r="N133" i="28"/>
  <c r="A133" i="28" s="1"/>
  <c r="M133" i="28"/>
  <c r="N159" i="28"/>
  <c r="A159" i="28" s="1"/>
  <c r="M197" i="28"/>
  <c r="N280" i="28"/>
  <c r="A280" i="28" s="1"/>
  <c r="M280" i="28"/>
  <c r="N295" i="28"/>
  <c r="A295" i="28" s="1"/>
  <c r="M23" i="28"/>
  <c r="N23" i="28" s="1"/>
  <c r="A23" i="28" s="1"/>
  <c r="M47" i="28"/>
  <c r="N47" i="28" s="1"/>
  <c r="A47" i="28" s="1"/>
  <c r="N86" i="28"/>
  <c r="A86" i="28" s="1"/>
  <c r="M86" i="28"/>
  <c r="M156" i="28"/>
  <c r="M8" i="28"/>
  <c r="N8" i="28" s="1"/>
  <c r="A8" i="28" s="1"/>
  <c r="M29" i="28"/>
  <c r="N29" i="28" s="1"/>
  <c r="A29" i="28" s="1"/>
  <c r="M35" i="28"/>
  <c r="N35" i="28" s="1"/>
  <c r="A35" i="28" s="1"/>
  <c r="M57" i="28"/>
  <c r="N57" i="28" s="1"/>
  <c r="A57" i="28" s="1"/>
  <c r="M97" i="28"/>
  <c r="N97" i="28"/>
  <c r="A97" i="28" s="1"/>
  <c r="M99" i="28"/>
  <c r="N140" i="28"/>
  <c r="A140" i="28" s="1"/>
  <c r="M140" i="28"/>
  <c r="N150" i="28"/>
  <c r="A150" i="28" s="1"/>
  <c r="M169" i="28"/>
  <c r="N169" i="28"/>
  <c r="A169" i="28" s="1"/>
  <c r="N251" i="28"/>
  <c r="A251" i="28" s="1"/>
  <c r="M25" i="28"/>
  <c r="N25" i="28" s="1"/>
  <c r="A25" i="28" s="1"/>
  <c r="M49" i="28"/>
  <c r="N49" i="28" s="1"/>
  <c r="A49" i="28" s="1"/>
  <c r="M52" i="28"/>
  <c r="N52" i="28" s="1"/>
  <c r="A52" i="28" s="1"/>
  <c r="M65" i="28"/>
  <c r="N65" i="28" s="1"/>
  <c r="A65" i="28" s="1"/>
  <c r="N108" i="28"/>
  <c r="A108" i="28" s="1"/>
  <c r="M262" i="28"/>
  <c r="N74" i="28"/>
  <c r="A74" i="28" s="1"/>
  <c r="M196" i="28"/>
  <c r="M278" i="28"/>
  <c r="N173" i="28"/>
  <c r="A173" i="28" s="1"/>
  <c r="N213" i="28"/>
  <c r="A213" i="28" s="1"/>
  <c r="N15" i="28"/>
  <c r="A15" i="28" s="1"/>
  <c r="N20" i="28"/>
  <c r="A20" i="28" s="1"/>
  <c r="AY7" i="20" s="1"/>
  <c r="M22" i="28"/>
  <c r="N22" i="28" s="1"/>
  <c r="A22" i="28" s="1"/>
  <c r="N50" i="28"/>
  <c r="A50" i="28" s="1"/>
  <c r="M68" i="28"/>
  <c r="N68" i="28" s="1"/>
  <c r="A68" i="28" s="1"/>
  <c r="M102" i="28"/>
  <c r="M131" i="28"/>
  <c r="N153" i="28"/>
  <c r="A153" i="28" s="1"/>
  <c r="M155" i="28"/>
  <c r="M162" i="28"/>
  <c r="M206" i="28"/>
  <c r="M222" i="28"/>
  <c r="M246" i="28"/>
  <c r="M252" i="28"/>
  <c r="M256" i="28"/>
  <c r="M263" i="28"/>
  <c r="M283" i="28"/>
  <c r="M289" i="28"/>
  <c r="M11" i="28"/>
  <c r="N11" i="28" s="1"/>
  <c r="A11" i="28" s="1"/>
  <c r="N55" i="28"/>
  <c r="A55" i="28" s="1"/>
  <c r="M73" i="28"/>
  <c r="N73" i="28" s="1"/>
  <c r="A73" i="28" s="1"/>
  <c r="M74" i="28"/>
  <c r="N121" i="28"/>
  <c r="A121" i="28" s="1"/>
  <c r="N193" i="28"/>
  <c r="A193" i="28" s="1"/>
  <c r="M195" i="28"/>
  <c r="N217" i="28"/>
  <c r="A217" i="28" s="1"/>
  <c r="M224" i="28"/>
  <c r="N241" i="28"/>
  <c r="A241" i="28" s="1"/>
  <c r="M248" i="28"/>
  <c r="M270" i="28"/>
  <c r="M10" i="24"/>
  <c r="A10" i="24" s="1"/>
  <c r="AG13" i="20" s="1"/>
  <c r="AG16" i="20"/>
  <c r="AG7" i="20"/>
  <c r="M14" i="24"/>
  <c r="A14" i="24" s="1"/>
  <c r="M18" i="24"/>
  <c r="A18" i="24" s="1"/>
  <c r="AG9" i="20"/>
  <c r="M11" i="24"/>
  <c r="A11" i="24" s="1"/>
  <c r="AG6" i="20"/>
  <c r="AG12" i="20"/>
  <c r="AG8" i="20"/>
  <c r="M15" i="24"/>
  <c r="A15" i="24" s="1"/>
  <c r="AG15" i="20"/>
  <c r="AG14" i="20"/>
  <c r="AG17" i="20"/>
  <c r="M13" i="24"/>
  <c r="A13" i="24" s="1"/>
  <c r="M19" i="24"/>
  <c r="A19" i="24" s="1"/>
  <c r="M14" i="27"/>
  <c r="A14" i="27" s="1"/>
  <c r="M6" i="27"/>
  <c r="A6" i="27" s="1"/>
  <c r="AM7" i="20"/>
  <c r="AM15" i="20"/>
  <c r="AM9" i="20"/>
  <c r="AM12" i="20"/>
  <c r="AM8" i="20"/>
  <c r="AM13" i="20"/>
  <c r="AM14" i="20"/>
  <c r="AM17" i="20"/>
  <c r="AM6" i="20"/>
  <c r="Y11" i="20"/>
  <c r="AI16" i="21"/>
  <c r="Y9" i="20"/>
  <c r="X29" i="20"/>
  <c r="Y29" i="20" s="1"/>
  <c r="BA29" i="20" s="1"/>
  <c r="AA14" i="20"/>
  <c r="AA9" i="20"/>
  <c r="Y24" i="20"/>
  <c r="L8" i="21"/>
  <c r="M8" i="21" s="1"/>
  <c r="A8" i="21" s="1"/>
  <c r="L9" i="21"/>
  <c r="M9" i="21" s="1"/>
  <c r="A9" i="21" s="1"/>
  <c r="L6" i="22"/>
  <c r="M6" i="22" s="1"/>
  <c r="A6" i="22" s="1"/>
  <c r="AA17" i="20" s="1"/>
  <c r="L7" i="22"/>
  <c r="M7" i="22" s="1"/>
  <c r="A7" i="22" s="1"/>
  <c r="L8" i="22"/>
  <c r="M8" i="22" s="1"/>
  <c r="A8" i="22" s="1"/>
  <c r="L9" i="22"/>
  <c r="M9" i="22" s="1"/>
  <c r="A9" i="22" s="1"/>
  <c r="Y16" i="20"/>
  <c r="L6" i="23"/>
  <c r="M6" i="23" s="1"/>
  <c r="A6" i="23" s="1"/>
  <c r="AI16" i="23"/>
  <c r="L8" i="23"/>
  <c r="M8" i="23" s="1"/>
  <c r="A8" i="23" s="1"/>
  <c r="AC14" i="20" s="1"/>
  <c r="L6" i="25"/>
  <c r="L7" i="25"/>
  <c r="N234" i="28"/>
  <c r="A234" i="28" s="1"/>
  <c r="M234" i="28"/>
  <c r="L8" i="24"/>
  <c r="M8" i="24" s="1"/>
  <c r="A8" i="24" s="1"/>
  <c r="L9" i="24"/>
  <c r="M9" i="24" s="1"/>
  <c r="A9" i="24" s="1"/>
  <c r="L6" i="24"/>
  <c r="M6" i="24" s="1"/>
  <c r="A6" i="24" s="1"/>
  <c r="L8" i="25"/>
  <c r="L7" i="24"/>
  <c r="M7" i="24" s="1"/>
  <c r="A7" i="24" s="1"/>
  <c r="M44" i="28"/>
  <c r="N44" i="28" s="1"/>
  <c r="A44" i="28" s="1"/>
  <c r="N91" i="28"/>
  <c r="A91" i="28" s="1"/>
  <c r="M91" i="28"/>
  <c r="N93" i="28"/>
  <c r="A93" i="28" s="1"/>
  <c r="M93" i="28"/>
  <c r="M247" i="28"/>
  <c r="N247" i="28"/>
  <c r="A247" i="28" s="1"/>
  <c r="M28" i="28"/>
  <c r="N28" i="28" s="1"/>
  <c r="A28" i="28" s="1"/>
  <c r="M151" i="28"/>
  <c r="N151" i="28"/>
  <c r="A151" i="28" s="1"/>
  <c r="M175" i="28"/>
  <c r="N175" i="28"/>
  <c r="A175" i="28" s="1"/>
  <c r="N179" i="28"/>
  <c r="A179" i="28" s="1"/>
  <c r="M179" i="28"/>
  <c r="N208" i="28"/>
  <c r="A208" i="28" s="1"/>
  <c r="M208" i="28"/>
  <c r="N64" i="28"/>
  <c r="A64" i="28" s="1"/>
  <c r="M64" i="28"/>
  <c r="N184" i="28"/>
  <c r="A184" i="28" s="1"/>
  <c r="M184" i="28"/>
  <c r="N130" i="28"/>
  <c r="A130" i="28" s="1"/>
  <c r="M130" i="28"/>
  <c r="M167" i="28"/>
  <c r="N167" i="28"/>
  <c r="A167" i="28" s="1"/>
  <c r="N171" i="28"/>
  <c r="A171" i="28" s="1"/>
  <c r="M171" i="28"/>
  <c r="M66" i="28"/>
  <c r="N66" i="28" s="1"/>
  <c r="A66" i="28" s="1"/>
  <c r="N122" i="28"/>
  <c r="A122" i="28" s="1"/>
  <c r="M122" i="28"/>
  <c r="N210" i="28"/>
  <c r="A210" i="28" s="1"/>
  <c r="M210" i="28"/>
  <c r="N219" i="28"/>
  <c r="A219" i="28" s="1"/>
  <c r="M219" i="28"/>
  <c r="M26" i="28"/>
  <c r="N26" i="28" s="1"/>
  <c r="A26" i="28" s="1"/>
  <c r="M37" i="28"/>
  <c r="N37" i="28" s="1"/>
  <c r="A37" i="28" s="1"/>
  <c r="M40" i="28"/>
  <c r="N40" i="28" s="1"/>
  <c r="A40" i="28" s="1"/>
  <c r="M42" i="28"/>
  <c r="N42" i="28" s="1"/>
  <c r="A42" i="28" s="1"/>
  <c r="N109" i="28"/>
  <c r="A109" i="28" s="1"/>
  <c r="M109" i="28"/>
  <c r="M141" i="28"/>
  <c r="N141" i="28"/>
  <c r="A141" i="28" s="1"/>
  <c r="N202" i="28"/>
  <c r="A202" i="28" s="1"/>
  <c r="M202" i="28"/>
  <c r="M34" i="28"/>
  <c r="N34" i="28" s="1"/>
  <c r="A34" i="28" s="1"/>
  <c r="N104" i="28"/>
  <c r="A104" i="28" s="1"/>
  <c r="M104" i="28"/>
  <c r="L6" i="27"/>
  <c r="L7" i="27"/>
  <c r="M7" i="27" s="1"/>
  <c r="A7" i="27" s="1"/>
  <c r="L8" i="27"/>
  <c r="M8" i="27" s="1"/>
  <c r="A8" i="27" s="1"/>
  <c r="AI16" i="27"/>
  <c r="M32" i="28"/>
  <c r="N32" i="28" s="1"/>
  <c r="A32" i="28" s="1"/>
  <c r="M58" i="28"/>
  <c r="N58" i="28" s="1"/>
  <c r="A58" i="28" s="1"/>
  <c r="M60" i="28"/>
  <c r="N60" i="28" s="1"/>
  <c r="A60" i="28" s="1"/>
  <c r="N69" i="28"/>
  <c r="A69" i="28" s="1"/>
  <c r="M69" i="28"/>
  <c r="M75" i="28"/>
  <c r="N75" i="28" s="1"/>
  <c r="A75" i="28" s="1"/>
  <c r="M136" i="28"/>
  <c r="N242" i="28"/>
  <c r="A242" i="28" s="1"/>
  <c r="M242" i="28"/>
  <c r="M132" i="28"/>
  <c r="N132" i="28"/>
  <c r="A132" i="28" s="1"/>
  <c r="N200" i="28"/>
  <c r="A200" i="28" s="1"/>
  <c r="M200" i="28"/>
  <c r="M16" i="28"/>
  <c r="N16" i="28" s="1"/>
  <c r="A16" i="28" s="1"/>
  <c r="M48" i="28"/>
  <c r="N48" i="28" s="1"/>
  <c r="A48" i="28" s="1"/>
  <c r="N82" i="28"/>
  <c r="A82" i="28" s="1"/>
  <c r="M82" i="28"/>
  <c r="N98" i="28"/>
  <c r="A98" i="28" s="1"/>
  <c r="M98" i="28"/>
  <c r="N194" i="28"/>
  <c r="A194" i="28" s="1"/>
  <c r="M194" i="28"/>
  <c r="N298" i="28"/>
  <c r="A298" i="28" s="1"/>
  <c r="M298" i="28"/>
  <c r="N90" i="28"/>
  <c r="A90" i="28" s="1"/>
  <c r="M90" i="28"/>
  <c r="N147" i="28"/>
  <c r="A147" i="28" s="1"/>
  <c r="M147" i="28"/>
  <c r="M183" i="28"/>
  <c r="N183" i="28"/>
  <c r="A183" i="28" s="1"/>
  <c r="N192" i="28"/>
  <c r="A192" i="28" s="1"/>
  <c r="M192" i="28"/>
  <c r="N216" i="28"/>
  <c r="A216" i="28" s="1"/>
  <c r="M216" i="28"/>
  <c r="N258" i="28"/>
  <c r="A258" i="28" s="1"/>
  <c r="M258" i="28"/>
  <c r="M12" i="28"/>
  <c r="N12" i="28" s="1"/>
  <c r="A12" i="28" s="1"/>
  <c r="M24" i="28"/>
  <c r="N24" i="28" s="1"/>
  <c r="A24" i="28" s="1"/>
  <c r="M27" i="28"/>
  <c r="N27" i="28" s="1"/>
  <c r="A27" i="28" s="1"/>
  <c r="M31" i="28"/>
  <c r="N31" i="28" s="1"/>
  <c r="A31" i="28" s="1"/>
  <c r="N33" i="28"/>
  <c r="A33" i="28" s="1"/>
  <c r="M43" i="28"/>
  <c r="N43" i="28" s="1"/>
  <c r="A43" i="28" s="1"/>
  <c r="M56" i="28"/>
  <c r="N56" i="28" s="1"/>
  <c r="A56" i="28" s="1"/>
  <c r="M59" i="28"/>
  <c r="N59" i="28" s="1"/>
  <c r="A59" i="28" s="1"/>
  <c r="M63" i="28"/>
  <c r="N63" i="28" s="1"/>
  <c r="A63" i="28" s="1"/>
  <c r="N76" i="28"/>
  <c r="A76" i="28" s="1"/>
  <c r="AY12" i="20" s="1"/>
  <c r="N116" i="28"/>
  <c r="A116" i="28" s="1"/>
  <c r="M145" i="28"/>
  <c r="N145" i="28"/>
  <c r="A145" i="28" s="1"/>
  <c r="N149" i="28"/>
  <c r="A149" i="28" s="1"/>
  <c r="M149" i="28"/>
  <c r="N290" i="28"/>
  <c r="A290" i="28" s="1"/>
  <c r="M290" i="28"/>
  <c r="N100" i="28"/>
  <c r="A100" i="28" s="1"/>
  <c r="N143" i="28"/>
  <c r="A143" i="28" s="1"/>
  <c r="N250" i="28"/>
  <c r="A250" i="28" s="1"/>
  <c r="M250" i="28"/>
  <c r="N138" i="28"/>
  <c r="A138" i="28" s="1"/>
  <c r="M138" i="28"/>
  <c r="N160" i="28"/>
  <c r="A160" i="28" s="1"/>
  <c r="M160" i="28"/>
  <c r="N186" i="28"/>
  <c r="A186" i="28" s="1"/>
  <c r="M186" i="28"/>
  <c r="M215" i="28"/>
  <c r="N215" i="28"/>
  <c r="A215" i="28" s="1"/>
  <c r="M223" i="28"/>
  <c r="N223" i="28"/>
  <c r="A223" i="28" s="1"/>
  <c r="N282" i="28"/>
  <c r="A282" i="28" s="1"/>
  <c r="M282" i="28"/>
  <c r="AJ16" i="28"/>
  <c r="N77" i="28"/>
  <c r="A77" i="28" s="1"/>
  <c r="M77" i="28"/>
  <c r="N106" i="28"/>
  <c r="A106" i="28" s="1"/>
  <c r="M106" i="28"/>
  <c r="N157" i="28"/>
  <c r="A157" i="28" s="1"/>
  <c r="M157" i="28"/>
  <c r="M231" i="28"/>
  <c r="N231" i="28"/>
  <c r="A231" i="28" s="1"/>
  <c r="N235" i="28"/>
  <c r="A235" i="28" s="1"/>
  <c r="M235" i="28"/>
  <c r="M239" i="28"/>
  <c r="N239" i="28"/>
  <c r="A239" i="28" s="1"/>
  <c r="N243" i="28"/>
  <c r="A243" i="28" s="1"/>
  <c r="M243" i="28"/>
  <c r="N274" i="28"/>
  <c r="A274" i="28" s="1"/>
  <c r="M274" i="28"/>
  <c r="M21" i="28"/>
  <c r="N21" i="28" s="1"/>
  <c r="A21" i="28" s="1"/>
  <c r="N53" i="28"/>
  <c r="A53" i="28" s="1"/>
  <c r="M53" i="28"/>
  <c r="N114" i="28"/>
  <c r="A114" i="28" s="1"/>
  <c r="M114" i="28"/>
  <c r="N125" i="28"/>
  <c r="A125" i="28" s="1"/>
  <c r="M125" i="28"/>
  <c r="M152" i="28"/>
  <c r="N170" i="28"/>
  <c r="A170" i="28" s="1"/>
  <c r="M170" i="28"/>
  <c r="N178" i="28"/>
  <c r="A178" i="28" s="1"/>
  <c r="M178" i="28"/>
  <c r="M207" i="28"/>
  <c r="N207" i="28"/>
  <c r="A207" i="28" s="1"/>
  <c r="N266" i="28"/>
  <c r="A266" i="28" s="1"/>
  <c r="M266" i="28"/>
  <c r="M191" i="28"/>
  <c r="N191" i="28"/>
  <c r="A191" i="28" s="1"/>
  <c r="N218" i="28"/>
  <c r="A218" i="28" s="1"/>
  <c r="M218" i="28"/>
  <c r="N253" i="28"/>
  <c r="A253" i="28" s="1"/>
  <c r="M253" i="28"/>
  <c r="N261" i="28"/>
  <c r="A261" i="28" s="1"/>
  <c r="M261" i="28"/>
  <c r="N269" i="28"/>
  <c r="A269" i="28" s="1"/>
  <c r="M269" i="28"/>
  <c r="N277" i="28"/>
  <c r="A277" i="28" s="1"/>
  <c r="M277" i="28"/>
  <c r="N285" i="28"/>
  <c r="A285" i="28" s="1"/>
  <c r="M285" i="28"/>
  <c r="N293" i="28"/>
  <c r="A293" i="28" s="1"/>
  <c r="M293" i="28"/>
  <c r="N301" i="28"/>
  <c r="A301" i="28" s="1"/>
  <c r="M301" i="28"/>
  <c r="M199" i="28"/>
  <c r="N199" i="28"/>
  <c r="A199" i="28" s="1"/>
  <c r="N226" i="28"/>
  <c r="A226" i="28" s="1"/>
  <c r="M226" i="28"/>
  <c r="N305" i="28"/>
  <c r="A305" i="28" s="1"/>
  <c r="M305" i="28"/>
  <c r="U7" i="13"/>
  <c r="U20" i="13"/>
  <c r="U21" i="13"/>
  <c r="U22" i="13"/>
  <c r="M7" i="13"/>
  <c r="M20" i="13"/>
  <c r="M21" i="13"/>
  <c r="M22" i="13"/>
  <c r="M8" i="14"/>
  <c r="M13" i="14"/>
  <c r="M15" i="14"/>
  <c r="M16" i="14"/>
  <c r="M17" i="14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6" i="15"/>
  <c r="M7" i="18"/>
  <c r="M14" i="18"/>
  <c r="A14" i="18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M7" i="19"/>
  <c r="N7" i="19" s="1"/>
  <c r="A7" i="19" s="1"/>
  <c r="V9" i="20" s="1"/>
  <c r="N9" i="19"/>
  <c r="A9" i="19" s="1"/>
  <c r="N10" i="19"/>
  <c r="A10" i="19" s="1"/>
  <c r="V11" i="20" s="1"/>
  <c r="N11" i="19"/>
  <c r="A11" i="19" s="1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M24" i="19"/>
  <c r="N25" i="19"/>
  <c r="M25" i="19"/>
  <c r="N26" i="19"/>
  <c r="A26" i="19" s="1"/>
  <c r="M26" i="19"/>
  <c r="N27" i="19"/>
  <c r="A27" i="19" s="1"/>
  <c r="M27" i="19"/>
  <c r="N28" i="19"/>
  <c r="M28" i="19"/>
  <c r="N29" i="19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M40" i="19"/>
  <c r="N41" i="19"/>
  <c r="M41" i="19"/>
  <c r="N42" i="19"/>
  <c r="M42" i="19"/>
  <c r="N43" i="19"/>
  <c r="A43" i="19" s="1"/>
  <c r="M43" i="19"/>
  <c r="N44" i="19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A49" i="19" s="1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M62" i="19"/>
  <c r="N63" i="19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M83" i="19"/>
  <c r="N84" i="19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M123" i="19"/>
  <c r="N124" i="19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M155" i="19"/>
  <c r="N156" i="19"/>
  <c r="A156" i="19" s="1"/>
  <c r="M156" i="19"/>
  <c r="N157" i="19"/>
  <c r="A157" i="19" s="1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M162" i="19"/>
  <c r="N163" i="19"/>
  <c r="M163" i="19"/>
  <c r="N164" i="19"/>
  <c r="A164" i="19" s="1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A179" i="19" s="1"/>
  <c r="M179" i="19"/>
  <c r="N180" i="19"/>
  <c r="M180" i="19"/>
  <c r="N181" i="19"/>
  <c r="M181" i="19"/>
  <c r="N182" i="19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M197" i="19"/>
  <c r="N198" i="19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M203" i="19"/>
  <c r="N204" i="19"/>
  <c r="A204" i="19" s="1"/>
  <c r="M204" i="19"/>
  <c r="N205" i="19"/>
  <c r="A205" i="19" s="1"/>
  <c r="M205" i="19"/>
  <c r="N206" i="19"/>
  <c r="M206" i="19"/>
  <c r="N207" i="19"/>
  <c r="M207" i="19"/>
  <c r="N208" i="19"/>
  <c r="A208" i="19" s="1"/>
  <c r="M208" i="19"/>
  <c r="N209" i="19"/>
  <c r="M209" i="19"/>
  <c r="N210" i="19"/>
  <c r="M210" i="19"/>
  <c r="N211" i="19"/>
  <c r="M211" i="19"/>
  <c r="N212" i="19"/>
  <c r="A212" i="19" s="1"/>
  <c r="M212" i="19"/>
  <c r="N213" i="19"/>
  <c r="A213" i="19" s="1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M239" i="19"/>
  <c r="N240" i="19"/>
  <c r="M240" i="19"/>
  <c r="N241" i="19"/>
  <c r="A241" i="19" s="1"/>
  <c r="M241" i="19"/>
  <c r="N242" i="19"/>
  <c r="M242" i="19"/>
  <c r="N243" i="19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M263" i="19"/>
  <c r="N264" i="19"/>
  <c r="M264" i="19"/>
  <c r="N265" i="19"/>
  <c r="A265" i="19" s="1"/>
  <c r="M265" i="19"/>
  <c r="N266" i="19"/>
  <c r="A266" i="19" s="1"/>
  <c r="M266" i="19"/>
  <c r="N267" i="19"/>
  <c r="M267" i="19"/>
  <c r="N268" i="19"/>
  <c r="M268" i="19"/>
  <c r="N269" i="19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M283" i="19"/>
  <c r="N284" i="19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6" i="17"/>
  <c r="A6" i="17" s="1"/>
  <c r="L10" i="20" s="1"/>
  <c r="M11" i="17"/>
  <c r="K12" i="13"/>
  <c r="K7" i="13"/>
  <c r="K20" i="13"/>
  <c r="K21" i="13"/>
  <c r="K22" i="13"/>
  <c r="M13" i="17"/>
  <c r="A13" i="17" s="1"/>
  <c r="L14" i="20" s="1"/>
  <c r="M14" i="17"/>
  <c r="A14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14" i="16"/>
  <c r="M31" i="16"/>
  <c r="A31" i="16" s="1"/>
  <c r="A15" i="16"/>
  <c r="A22" i="16"/>
  <c r="M17" i="16"/>
  <c r="A17" i="16" s="1"/>
  <c r="M25" i="16"/>
  <c r="A25" i="16" s="1"/>
  <c r="A33" i="16"/>
  <c r="M26" i="16"/>
  <c r="A26" i="16" s="1"/>
  <c r="A23" i="16"/>
  <c r="A30" i="16"/>
  <c r="M11" i="16"/>
  <c r="A11" i="16" s="1"/>
  <c r="J15" i="13" s="1"/>
  <c r="M19" i="16"/>
  <c r="A19" i="16" s="1"/>
  <c r="M35" i="16"/>
  <c r="A35" i="16" s="1"/>
  <c r="A16" i="16"/>
  <c r="A27" i="16"/>
  <c r="M12" i="16"/>
  <c r="A12" i="16" s="1"/>
  <c r="J16" i="13" s="1"/>
  <c r="M28" i="16"/>
  <c r="A28" i="16" s="1"/>
  <c r="M36" i="16"/>
  <c r="A36" i="16" s="1"/>
  <c r="M32" i="16"/>
  <c r="A32" i="16" s="1"/>
  <c r="A20" i="16"/>
  <c r="A24" i="16"/>
  <c r="M13" i="16"/>
  <c r="A13" i="16" s="1"/>
  <c r="M21" i="16"/>
  <c r="A21" i="16" s="1"/>
  <c r="M29" i="16"/>
  <c r="A29" i="16" s="1"/>
  <c r="M37" i="16"/>
  <c r="A37" i="16" s="1"/>
  <c r="J22" i="13"/>
  <c r="J10" i="13"/>
  <c r="J11" i="13"/>
  <c r="A10" i="18"/>
  <c r="A19" i="18"/>
  <c r="A26" i="18"/>
  <c r="A27" i="18"/>
  <c r="A34" i="18"/>
  <c r="A28" i="17"/>
  <c r="A36" i="17"/>
  <c r="A20" i="17"/>
  <c r="A34" i="16"/>
  <c r="A18" i="16"/>
  <c r="M11" i="15"/>
  <c r="A11" i="15" s="1"/>
  <c r="A18" i="15"/>
  <c r="G16" i="13"/>
  <c r="M28" i="15"/>
  <c r="A28" i="15" s="1"/>
  <c r="A34" i="15"/>
  <c r="G12" i="13"/>
  <c r="M21" i="15"/>
  <c r="A21" i="15" s="1"/>
  <c r="M37" i="15"/>
  <c r="A37" i="15" s="1"/>
  <c r="A13" i="15"/>
  <c r="H16" i="20" s="1"/>
  <c r="A19" i="15"/>
  <c r="A26" i="15"/>
  <c r="G7" i="13"/>
  <c r="M22" i="15"/>
  <c r="A22" i="15" s="1"/>
  <c r="M30" i="15"/>
  <c r="A30" i="15" s="1"/>
  <c r="A29" i="15"/>
  <c r="A35" i="15"/>
  <c r="G20" i="13"/>
  <c r="M15" i="15"/>
  <c r="A15" i="15" s="1"/>
  <c r="H8" i="20" s="1"/>
  <c r="M31" i="15"/>
  <c r="A31" i="15" s="1"/>
  <c r="A14" i="15"/>
  <c r="A23" i="15"/>
  <c r="G21" i="13"/>
  <c r="M16" i="15"/>
  <c r="A16" i="15" s="1"/>
  <c r="M24" i="15"/>
  <c r="A24" i="15" s="1"/>
  <c r="M32" i="15"/>
  <c r="A32" i="15" s="1"/>
  <c r="A27" i="15"/>
  <c r="M17" i="15"/>
  <c r="A17" i="15" s="1"/>
  <c r="M25" i="15"/>
  <c r="A25" i="15" s="1"/>
  <c r="M33" i="15"/>
  <c r="A33" i="15" s="1"/>
  <c r="H13" i="13"/>
  <c r="A20" i="15"/>
  <c r="A36" i="15"/>
  <c r="A26" i="14"/>
  <c r="A34" i="14"/>
  <c r="A11" i="18"/>
  <c r="A13" i="18"/>
  <c r="A12" i="15"/>
  <c r="H15" i="13" s="1"/>
  <c r="L9" i="13"/>
  <c r="A12" i="18"/>
  <c r="A10" i="15"/>
  <c r="A9" i="15"/>
  <c r="A9" i="16"/>
  <c r="J18" i="13" s="1"/>
  <c r="A9" i="18"/>
  <c r="A186" i="19"/>
  <c r="A166" i="19"/>
  <c r="A128" i="19"/>
  <c r="A196" i="19"/>
  <c r="A90" i="19"/>
  <c r="A79" i="19"/>
  <c r="A174" i="19"/>
  <c r="A180" i="19"/>
  <c r="A192" i="19"/>
  <c r="A222" i="19"/>
  <c r="A92" i="19"/>
  <c r="A134" i="19"/>
  <c r="A123" i="19"/>
  <c r="A260" i="19"/>
  <c r="A24" i="19"/>
  <c r="A93" i="19"/>
  <c r="A124" i="19"/>
  <c r="A25" i="19"/>
  <c r="A83" i="19"/>
  <c r="U46" i="14"/>
  <c r="A132" i="19"/>
  <c r="A214" i="19"/>
  <c r="A44" i="19"/>
  <c r="A97" i="19"/>
  <c r="A202" i="19"/>
  <c r="A140" i="19"/>
  <c r="A172" i="19"/>
  <c r="A216" i="19"/>
  <c r="A154" i="19"/>
  <c r="A278" i="19"/>
  <c r="A42" i="19"/>
  <c r="A136" i="19"/>
  <c r="L8" i="15"/>
  <c r="V10" i="13"/>
  <c r="A21" i="19"/>
  <c r="A50" i="19"/>
  <c r="A62" i="19"/>
  <c r="A84" i="19"/>
  <c r="A110" i="19"/>
  <c r="A226" i="19"/>
  <c r="A252" i="19"/>
  <c r="A240" i="19"/>
  <c r="A65" i="19"/>
  <c r="A162" i="19"/>
  <c r="L6" i="16"/>
  <c r="L7" i="16"/>
  <c r="M7" i="16" s="1"/>
  <c r="A114" i="19"/>
  <c r="A276" i="19"/>
  <c r="E21" i="13"/>
  <c r="E7" i="13"/>
  <c r="E16" i="13"/>
  <c r="E22" i="13"/>
  <c r="E20" i="13"/>
  <c r="E12" i="13"/>
  <c r="A264" i="19"/>
  <c r="A282" i="19"/>
  <c r="A246" i="19"/>
  <c r="L6" i="14"/>
  <c r="L7" i="15"/>
  <c r="M7" i="15" s="1"/>
  <c r="A284" i="19"/>
  <c r="A33" i="19"/>
  <c r="A242" i="19"/>
  <c r="A248" i="19"/>
  <c r="A254" i="19"/>
  <c r="A198" i="19"/>
  <c r="A210" i="19"/>
  <c r="A150" i="19"/>
  <c r="A6" i="15"/>
  <c r="L7" i="14"/>
  <c r="F11" i="13"/>
  <c r="A8" i="16"/>
  <c r="J8" i="13" s="1"/>
  <c r="AI16" i="17"/>
  <c r="A274" i="19"/>
  <c r="L8" i="17"/>
  <c r="L7" i="17"/>
  <c r="A7" i="18"/>
  <c r="L6" i="18"/>
  <c r="L8" i="18"/>
  <c r="A34" i="19"/>
  <c r="V9" i="13"/>
  <c r="A63" i="19"/>
  <c r="L6" i="19"/>
  <c r="L8" i="19"/>
  <c r="A36" i="19"/>
  <c r="A41" i="19"/>
  <c r="A238" i="19"/>
  <c r="A262" i="19"/>
  <c r="A28" i="19"/>
  <c r="A144" i="19"/>
  <c r="A158" i="19"/>
  <c r="A194" i="19"/>
  <c r="A230" i="19"/>
  <c r="A271" i="19"/>
  <c r="A283" i="19"/>
  <c r="A302" i="19"/>
  <c r="A244" i="19"/>
  <c r="A177" i="19"/>
  <c r="A280" i="19"/>
  <c r="A298" i="19"/>
  <c r="A29" i="19"/>
  <c r="A170" i="19"/>
  <c r="A206" i="19"/>
  <c r="A268" i="19"/>
  <c r="A250" i="19"/>
  <c r="A294" i="19"/>
  <c r="A55" i="19"/>
  <c r="A142" i="19"/>
  <c r="A40" i="19"/>
  <c r="A290" i="19"/>
  <c r="A182" i="19"/>
  <c r="A218" i="19"/>
  <c r="A256" i="19"/>
  <c r="A56" i="19"/>
  <c r="A163" i="19"/>
  <c r="A175" i="19"/>
  <c r="A211" i="19"/>
  <c r="A291" i="19"/>
  <c r="A295" i="19"/>
  <c r="A149" i="19"/>
  <c r="A197" i="19"/>
  <c r="A209" i="19"/>
  <c r="A239" i="19"/>
  <c r="A263" i="19"/>
  <c r="A269" i="19"/>
  <c r="A159" i="19"/>
  <c r="A207" i="19"/>
  <c r="A219" i="19"/>
  <c r="A288" i="19"/>
  <c r="A292" i="19"/>
  <c r="A296" i="19"/>
  <c r="A300" i="19"/>
  <c r="A304" i="19"/>
  <c r="A169" i="19"/>
  <c r="A181" i="19"/>
  <c r="A217" i="19"/>
  <c r="A243" i="19"/>
  <c r="A249" i="19"/>
  <c r="A267" i="19"/>
  <c r="A293" i="19"/>
  <c r="A155" i="19"/>
  <c r="A203" i="19"/>
  <c r="A215" i="19"/>
  <c r="BA21" i="20" l="1"/>
  <c r="BG7" i="20"/>
  <c r="BA24" i="20"/>
  <c r="BA25" i="20"/>
  <c r="BA20" i="20"/>
  <c r="BA18" i="20"/>
  <c r="BA26" i="20"/>
  <c r="BA27" i="20"/>
  <c r="T9" i="20"/>
  <c r="T9" i="13"/>
  <c r="BC7" i="20"/>
  <c r="V8" i="20"/>
  <c r="V10" i="20"/>
  <c r="V13" i="20"/>
  <c r="V7" i="20"/>
  <c r="AM20" i="20"/>
  <c r="BG20" i="20" s="1"/>
  <c r="AM16" i="20"/>
  <c r="BG6" i="20"/>
  <c r="BD6" i="20"/>
  <c r="BC6" i="20"/>
  <c r="BA6" i="20"/>
  <c r="AA13" i="20"/>
  <c r="AA16" i="20"/>
  <c r="AA6" i="20"/>
  <c r="BB7" i="20" s="1"/>
  <c r="AA8" i="20"/>
  <c r="AA15" i="20"/>
  <c r="L11" i="20"/>
  <c r="L13" i="20"/>
  <c r="L18" i="13"/>
  <c r="A11" i="17"/>
  <c r="BA9" i="20"/>
  <c r="BA10" i="20"/>
  <c r="BA7" i="20"/>
  <c r="BA17" i="20"/>
  <c r="BA8" i="20"/>
  <c r="BD7" i="20"/>
  <c r="BA16" i="20"/>
  <c r="BA15" i="20"/>
  <c r="J9" i="13"/>
  <c r="J9" i="20"/>
  <c r="J15" i="20"/>
  <c r="J25" i="20"/>
  <c r="J28" i="20"/>
  <c r="J23" i="20"/>
  <c r="J26" i="20"/>
  <c r="J16" i="20"/>
  <c r="J21" i="20"/>
  <c r="J24" i="20"/>
  <c r="J29" i="20"/>
  <c r="J8" i="20"/>
  <c r="J19" i="20"/>
  <c r="J22" i="20"/>
  <c r="J17" i="20"/>
  <c r="BA12" i="20"/>
  <c r="BA13" i="20"/>
  <c r="H19" i="20"/>
  <c r="H21" i="20"/>
  <c r="H23" i="20"/>
  <c r="H9" i="20"/>
  <c r="H28" i="20"/>
  <c r="H17" i="20"/>
  <c r="H24" i="20"/>
  <c r="H20" i="20"/>
  <c r="BA14" i="20"/>
  <c r="F6" i="20"/>
  <c r="F8" i="20"/>
  <c r="F16" i="20"/>
  <c r="F9" i="20"/>
  <c r="F13" i="20"/>
  <c r="F17" i="20"/>
  <c r="F11" i="20"/>
  <c r="F10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14" i="20"/>
  <c r="L14" i="13"/>
  <c r="L12" i="20"/>
  <c r="H14" i="13"/>
  <c r="H12" i="20"/>
  <c r="BA11" i="20"/>
  <c r="AA27" i="20"/>
  <c r="BB27" i="20" s="1"/>
  <c r="AA22" i="20"/>
  <c r="BB22" i="20" s="1"/>
  <c r="AA18" i="20"/>
  <c r="AA21" i="20"/>
  <c r="AA23" i="20"/>
  <c r="BB23" i="20" s="1"/>
  <c r="AA24" i="20"/>
  <c r="BB24" i="20" s="1"/>
  <c r="AA20" i="20"/>
  <c r="BB20" i="20" s="1"/>
  <c r="AA29" i="20"/>
  <c r="AA25" i="20"/>
  <c r="BB25" i="20" s="1"/>
  <c r="AA19" i="20"/>
  <c r="BB19" i="20" s="1"/>
  <c r="AA26" i="20"/>
  <c r="BB26" i="20" s="1"/>
  <c r="AA11" i="20"/>
  <c r="AA28" i="20"/>
  <c r="BB28" i="20" s="1"/>
  <c r="AC25" i="20"/>
  <c r="BC25" i="20" s="1"/>
  <c r="AC11" i="20"/>
  <c r="AC24" i="20"/>
  <c r="BC24" i="20" s="1"/>
  <c r="AC23" i="20"/>
  <c r="BC23" i="20" s="1"/>
  <c r="AC26" i="20"/>
  <c r="BC26" i="20" s="1"/>
  <c r="AC29" i="20"/>
  <c r="BC29" i="20" s="1"/>
  <c r="AC18" i="20"/>
  <c r="AC19" i="20"/>
  <c r="AC10" i="20"/>
  <c r="BC17" i="20" s="1"/>
  <c r="AC20" i="20"/>
  <c r="AC22" i="20"/>
  <c r="BC22" i="20" s="1"/>
  <c r="AC28" i="20"/>
  <c r="BC28" i="20" s="1"/>
  <c r="AC27" i="20"/>
  <c r="BC27" i="20" s="1"/>
  <c r="AC21" i="20"/>
  <c r="BC21" i="20" s="1"/>
  <c r="AY19" i="20"/>
  <c r="AY21" i="20"/>
  <c r="AY27" i="20"/>
  <c r="AY10" i="20"/>
  <c r="AY17" i="20"/>
  <c r="AY8" i="20"/>
  <c r="AY18" i="20"/>
  <c r="AY29" i="20"/>
  <c r="AY9" i="20"/>
  <c r="AY25" i="20"/>
  <c r="AY20" i="20"/>
  <c r="AY28" i="20"/>
  <c r="AY22" i="20"/>
  <c r="AY23" i="20"/>
  <c r="AY24" i="20"/>
  <c r="AY26" i="20"/>
  <c r="AY6" i="20"/>
  <c r="AY13" i="20"/>
  <c r="AY11" i="20"/>
  <c r="AG21" i="20"/>
  <c r="AG28" i="20"/>
  <c r="BD28" i="20" s="1"/>
  <c r="AG29" i="20"/>
  <c r="BD29" i="20" s="1"/>
  <c r="AG22" i="20"/>
  <c r="BD22" i="20" s="1"/>
  <c r="AG18" i="20"/>
  <c r="BD18" i="20" s="1"/>
  <c r="AG19" i="20"/>
  <c r="AG20" i="20"/>
  <c r="AG25" i="20"/>
  <c r="AG11" i="20"/>
  <c r="BD13" i="20" s="1"/>
  <c r="AG27" i="20"/>
  <c r="BD27" i="20" s="1"/>
  <c r="AG24" i="20"/>
  <c r="BD24" i="20" s="1"/>
  <c r="AG23" i="20"/>
  <c r="BD23" i="20" s="1"/>
  <c r="AG10" i="20"/>
  <c r="BD17" i="20" s="1"/>
  <c r="AG26" i="20"/>
  <c r="BD26" i="20" s="1"/>
  <c r="AM22" i="20"/>
  <c r="BG22" i="20" s="1"/>
  <c r="AM10" i="20"/>
  <c r="AM19" i="20"/>
  <c r="AM27" i="20"/>
  <c r="BG27" i="20" s="1"/>
  <c r="AM25" i="20"/>
  <c r="BG25" i="20" s="1"/>
  <c r="AM26" i="20"/>
  <c r="BG26" i="20" s="1"/>
  <c r="AM24" i="20"/>
  <c r="BG24" i="20" s="1"/>
  <c r="AM21" i="20"/>
  <c r="AM11" i="20"/>
  <c r="AM23" i="20"/>
  <c r="BG23" i="20" s="1"/>
  <c r="AM29" i="20"/>
  <c r="BG29" i="20" s="1"/>
  <c r="AM18" i="20"/>
  <c r="AM28" i="20"/>
  <c r="BG28" i="20" s="1"/>
  <c r="V11" i="13"/>
  <c r="V13" i="13"/>
  <c r="V7" i="13"/>
  <c r="J17" i="13"/>
  <c r="J12" i="13"/>
  <c r="J7" i="13"/>
  <c r="J20" i="13"/>
  <c r="J21" i="13"/>
  <c r="J13" i="13"/>
  <c r="M8" i="19"/>
  <c r="N8" i="19" s="1"/>
  <c r="M6" i="19"/>
  <c r="N6" i="19" s="1"/>
  <c r="A6" i="19" s="1"/>
  <c r="M8" i="18"/>
  <c r="A8" i="18" s="1"/>
  <c r="M6" i="18"/>
  <c r="A6" i="18" s="1"/>
  <c r="M7" i="14"/>
  <c r="F15" i="20" s="1"/>
  <c r="M6" i="14"/>
  <c r="A6" i="14" s="1"/>
  <c r="M7" i="17"/>
  <c r="A7" i="17" s="1"/>
  <c r="L7" i="20" s="1"/>
  <c r="M8" i="17"/>
  <c r="A8" i="17" s="1"/>
  <c r="L6" i="20" s="1"/>
  <c r="L11" i="13"/>
  <c r="L15" i="13"/>
  <c r="L13" i="13"/>
  <c r="L19" i="13"/>
  <c r="L17" i="13"/>
  <c r="L16" i="13"/>
  <c r="L22" i="13"/>
  <c r="L21" i="13"/>
  <c r="L20" i="13"/>
  <c r="L7" i="13"/>
  <c r="L12" i="13"/>
  <c r="A7" i="16"/>
  <c r="J19" i="13"/>
  <c r="M6" i="16"/>
  <c r="A6" i="16" s="1"/>
  <c r="A7" i="15"/>
  <c r="H6" i="20" s="1"/>
  <c r="H7" i="13"/>
  <c r="M8" i="15"/>
  <c r="A8" i="15" s="1"/>
  <c r="H21" i="13"/>
  <c r="H12" i="13"/>
  <c r="H9" i="13"/>
  <c r="H19" i="13"/>
  <c r="H22" i="13"/>
  <c r="H16" i="13"/>
  <c r="H10" i="13"/>
  <c r="H8" i="13"/>
  <c r="H20" i="13"/>
  <c r="H17" i="13"/>
  <c r="H11" i="13"/>
  <c r="H18" i="13"/>
  <c r="F9" i="13"/>
  <c r="F21" i="13"/>
  <c r="F20" i="13"/>
  <c r="F22" i="13"/>
  <c r="F19" i="13"/>
  <c r="F16" i="13"/>
  <c r="F7" i="13"/>
  <c r="F6" i="13"/>
  <c r="F13" i="13"/>
  <c r="F15" i="13"/>
  <c r="F12" i="13"/>
  <c r="F17" i="13"/>
  <c r="F10" i="13"/>
  <c r="F18" i="13"/>
  <c r="F8" i="13"/>
  <c r="BB18" i="20" l="1"/>
  <c r="BG19" i="20"/>
  <c r="BD21" i="20"/>
  <c r="BC16" i="20"/>
  <c r="BG17" i="20"/>
  <c r="BD25" i="20"/>
  <c r="BB14" i="20"/>
  <c r="BG16" i="20"/>
  <c r="BD20" i="20"/>
  <c r="BC19" i="20"/>
  <c r="BB15" i="20"/>
  <c r="BG18" i="20"/>
  <c r="BB29" i="20"/>
  <c r="BC20" i="20"/>
  <c r="BB17" i="20"/>
  <c r="BG21" i="20"/>
  <c r="BD19" i="20"/>
  <c r="BC18" i="20"/>
  <c r="BB10" i="20"/>
  <c r="BB21" i="20"/>
  <c r="BC12" i="20"/>
  <c r="BB6" i="20"/>
  <c r="V8" i="13"/>
  <c r="A8" i="19"/>
  <c r="N20" i="20"/>
  <c r="N15" i="20"/>
  <c r="N9" i="20"/>
  <c r="D9" i="20" s="1"/>
  <c r="N27" i="20"/>
  <c r="N7" i="20"/>
  <c r="D7" i="20" s="1"/>
  <c r="N10" i="20"/>
  <c r="D10" i="20" s="1"/>
  <c r="N11" i="20"/>
  <c r="D11" i="20" s="1"/>
  <c r="N6" i="20"/>
  <c r="N13" i="20"/>
  <c r="D13" i="20" s="1"/>
  <c r="N8" i="20"/>
  <c r="D8" i="20" s="1"/>
  <c r="N24" i="20"/>
  <c r="N17" i="20"/>
  <c r="N28" i="20"/>
  <c r="N22" i="20"/>
  <c r="N18" i="20"/>
  <c r="N10" i="13"/>
  <c r="N14" i="20"/>
  <c r="N23" i="20"/>
  <c r="N26" i="20"/>
  <c r="N21" i="20"/>
  <c r="N29" i="20"/>
  <c r="N19" i="20"/>
  <c r="N16" i="20"/>
  <c r="N25" i="20"/>
  <c r="BB11" i="20"/>
  <c r="BC11" i="20"/>
  <c r="BC9" i="20"/>
  <c r="BD10" i="20"/>
  <c r="BC8" i="20"/>
  <c r="BC10" i="20"/>
  <c r="BG8" i="20"/>
  <c r="BG10" i="20"/>
  <c r="BD8" i="20"/>
  <c r="BD9" i="20"/>
  <c r="BD11" i="20"/>
  <c r="BG9" i="20"/>
  <c r="BG11" i="20"/>
  <c r="BB13" i="20"/>
  <c r="BB16" i="20"/>
  <c r="BB9" i="20"/>
  <c r="BB8" i="20"/>
  <c r="BG12" i="20"/>
  <c r="BB12" i="20"/>
  <c r="BD12" i="20"/>
  <c r="BG15" i="20"/>
  <c r="BC15" i="20"/>
  <c r="BG13" i="20"/>
  <c r="BD15" i="20"/>
  <c r="J14" i="13"/>
  <c r="J12" i="20"/>
  <c r="BC13" i="20"/>
  <c r="H6" i="13"/>
  <c r="BD16" i="20"/>
  <c r="BD14" i="20"/>
  <c r="BG14" i="20"/>
  <c r="BC14" i="20"/>
  <c r="V6" i="13"/>
  <c r="V6" i="20"/>
  <c r="N14" i="13"/>
  <c r="N12" i="20"/>
  <c r="J6" i="13"/>
  <c r="J6" i="20"/>
  <c r="F14" i="13"/>
  <c r="F12" i="20"/>
  <c r="L6" i="13"/>
  <c r="L10" i="13"/>
  <c r="N6" i="13"/>
  <c r="N11" i="13"/>
  <c r="D11" i="13" s="1"/>
  <c r="N18" i="13"/>
  <c r="N15" i="13"/>
  <c r="N13" i="13"/>
  <c r="D13" i="13" s="1"/>
  <c r="N8" i="13"/>
  <c r="D8" i="13" s="1"/>
  <c r="N19" i="13"/>
  <c r="N12" i="13"/>
  <c r="N17" i="13"/>
  <c r="N9" i="13"/>
  <c r="D9" i="13" s="1"/>
  <c r="N16" i="13"/>
  <c r="N22" i="13"/>
  <c r="N21" i="13"/>
  <c r="N20" i="13"/>
  <c r="N7" i="13"/>
  <c r="D7" i="13" s="1"/>
  <c r="D6" i="20" l="1"/>
  <c r="V20" i="20"/>
  <c r="D20" i="20" s="1"/>
  <c r="V25" i="20"/>
  <c r="D25" i="20" s="1"/>
  <c r="V18" i="13"/>
  <c r="D18" i="13" s="1"/>
  <c r="V12" i="20"/>
  <c r="D12" i="20" s="1"/>
  <c r="V17" i="20"/>
  <c r="D17" i="20" s="1"/>
  <c r="V22" i="20"/>
  <c r="D22" i="20" s="1"/>
  <c r="V28" i="20"/>
  <c r="D28" i="20" s="1"/>
  <c r="V15" i="20"/>
  <c r="D15" i="20" s="1"/>
  <c r="V21" i="13"/>
  <c r="D21" i="13" s="1"/>
  <c r="V20" i="13"/>
  <c r="D20" i="13" s="1"/>
  <c r="V23" i="20"/>
  <c r="D23" i="20" s="1"/>
  <c r="V19" i="13"/>
  <c r="D19" i="13" s="1"/>
  <c r="V24" i="20"/>
  <c r="D24" i="20" s="1"/>
  <c r="V15" i="13"/>
  <c r="D15" i="13" s="1"/>
  <c r="V18" i="20"/>
  <c r="D18" i="20" s="1"/>
  <c r="V19" i="20"/>
  <c r="D19" i="20" s="1"/>
  <c r="V21" i="20"/>
  <c r="D21" i="20" s="1"/>
  <c r="V27" i="20"/>
  <c r="D27" i="20" s="1"/>
  <c r="V17" i="13"/>
  <c r="D17" i="13" s="1"/>
  <c r="V16" i="13"/>
  <c r="D16" i="13" s="1"/>
  <c r="V29" i="20"/>
  <c r="D29" i="20" s="1"/>
  <c r="V12" i="13"/>
  <c r="D12" i="13" s="1"/>
  <c r="V26" i="20"/>
  <c r="D26" i="20" s="1"/>
  <c r="V16" i="20"/>
  <c r="D16" i="20" s="1"/>
  <c r="V14" i="13"/>
  <c r="D14" i="13" s="1"/>
  <c r="V22" i="13"/>
  <c r="D22" i="13" s="1"/>
  <c r="V14" i="20"/>
  <c r="D14" i="20" s="1"/>
  <c r="D10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<sst xmlns="http://schemas.openxmlformats.org/spreadsheetml/2006/main" count="2678" uniqueCount="234">
  <si>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</si>
  <si>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</si>
  <si>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</si>
  <si>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</si>
  <si>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</si>
  <si>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</si>
  <si>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</si>
  <si>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</si>
  <si>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</si>
  <si>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</si>
  <si>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</si>
  <si>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</si>
  <si>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</si>
  <si>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</si>
  <si>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</si>
  <si>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</si>
  <si>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</si>
  <si>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</si>
  <si>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</si>
  <si>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KROCHMALSKI Jakub</t>
  </si>
  <si>
    <t>KOSIŃSKI Łukasz</t>
  </si>
  <si>
    <t>GRACZYK Bogdan</t>
  </si>
  <si>
    <t>SZYMAŃSKI Adam</t>
  </si>
  <si>
    <t>KOŁUCKI Michał</t>
  </si>
  <si>
    <t>FRYDRYCH Aleksander</t>
  </si>
  <si>
    <t>MARASEK Tomasz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</si>
  <si>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</si>
  <si>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</si>
  <si>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</si>
  <si>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</si>
  <si>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</si>
  <si>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</si>
  <si>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</si>
  <si>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</si>
  <si>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</si>
  <si>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</si>
  <si>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</si>
  <si>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</si>
  <si>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</si>
  <si>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</si>
  <si>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</si>
  <si>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</si>
  <si>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</si>
  <si>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</si>
  <si>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</si>
  <si>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</si>
  <si>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DRAGON ŁÓDŹ</t>
  </si>
  <si>
    <t>POL</t>
  </si>
  <si>
    <t>AZS AWF POZNAŃ</t>
  </si>
  <si>
    <t>ZAWROTNIAK Przemysław</t>
  </si>
  <si>
    <t>KS CRACOVIA 1906.</t>
  </si>
  <si>
    <t>GANSZCZYK Marcin</t>
  </si>
  <si>
    <t>KOLEJARZ 24 KATOWICE</t>
  </si>
  <si>
    <t>x</t>
  </si>
  <si>
    <t>KU AZS-UAM POZNAŃ.</t>
  </si>
  <si>
    <t>N</t>
  </si>
  <si>
    <t>MUKS VICTOR WARSZAWA</t>
  </si>
  <si>
    <t>MP</t>
  </si>
  <si>
    <t>MP-1</t>
  </si>
  <si>
    <t>log(x)</t>
  </si>
  <si>
    <t>1k0</t>
  </si>
  <si>
    <t>MP - (MP-1)*LOG(x)/LOG(N)</t>
  </si>
  <si>
    <t>points</t>
  </si>
  <si>
    <t>TORUŃ</t>
  </si>
  <si>
    <t>05.03.2023</t>
  </si>
  <si>
    <t>Log(N)</t>
  </si>
  <si>
    <t>NIEPOŁOMICE</t>
  </si>
  <si>
    <t>18.06.2023</t>
  </si>
  <si>
    <t>SZEPIETOWSKI Rafał (kat 0)</t>
  </si>
  <si>
    <t>3k0</t>
  </si>
  <si>
    <t>AZS Cracovia</t>
  </si>
  <si>
    <t>OPOLE</t>
  </si>
  <si>
    <t>23-24.10.2023</t>
  </si>
  <si>
    <t xml:space="preserve"> POL</t>
  </si>
  <si>
    <t> </t>
  </si>
  <si>
    <t>GDAŃSK</t>
  </si>
  <si>
    <t>28.10.2023</t>
  </si>
  <si>
    <t>BONUS ZA PUCHAR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</si>
  <si>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</si>
  <si>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</si>
  <si>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</si>
  <si>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</si>
  <si>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</si>
  <si>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</si>
  <si>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</si>
  <si>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</si>
  <si>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</si>
  <si>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</si>
  <si>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18-19.11.2023</t>
  </si>
  <si>
    <t> POL</t>
  </si>
  <si>
    <t>KROCHMALSKI (1) Jakub</t>
  </si>
  <si>
    <t>SZEPIETOWSKI (0) Rafał</t>
  </si>
  <si>
    <t>SPAŁA</t>
  </si>
  <si>
    <t>28.01.2024</t>
  </si>
  <si>
    <t>NAZWISKO</t>
  </si>
  <si>
    <t>BONUS</t>
  </si>
  <si>
    <t>KU AZS-UAM POZNAŃ</t>
  </si>
  <si>
    <t>KOSIŃSKI (1) Łukasz</t>
  </si>
  <si>
    <t>KIEROŃSKI (0) Tomasz</t>
  </si>
  <si>
    <t>6/23/2024</t>
  </si>
  <si>
    <t>TECŁAW Robert</t>
  </si>
  <si>
    <t>KKSZ KONIN</t>
  </si>
  <si>
    <t>Podium</t>
  </si>
  <si>
    <t>Współczynnik MPW</t>
  </si>
  <si>
    <t>WARSZAWA</t>
  </si>
  <si>
    <t>2-3.03.2024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</si>
  <si>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</si>
  <si>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</si>
  <si>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</si>
  <si>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Kat.1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</si>
  <si>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</si>
  <si>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</si>
  <si>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</si>
  <si>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</si>
  <si>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</si>
  <si>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</si>
  <si>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</si>
  <si>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</si>
  <si>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</si>
  <si>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</si>
  <si>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</si>
  <si>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</si>
  <si>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</si>
  <si>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</si>
  <si>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</si>
  <si>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</si>
  <si>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</si>
  <si>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Faches-Thumesnil</t>
  </si>
  <si>
    <t>21-22.01.2023</t>
  </si>
  <si>
    <t>Terni</t>
  </si>
  <si>
    <t>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</si>
  <si>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</si>
  <si>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</si>
  <si>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</si>
  <si>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</si>
  <si>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</si>
  <si>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</si>
  <si>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</si>
  <si>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</si>
  <si>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</si>
  <si>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</si>
  <si>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</si>
  <si>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</si>
  <si>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</si>
  <si>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</si>
  <si>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</si>
  <si>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</si>
  <si>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TURLIER </t>
  </si>
  <si>
    <t xml:space="preserve"> CHRISTOPHE </t>
  </si>
  <si>
    <t xml:space="preserve">  FRA  </t>
  </si>
  <si>
    <t xml:space="preserve">  </t>
  </si>
  <si>
    <t xml:space="preserve"> NAGY </t>
  </si>
  <si>
    <t xml:space="preserve"> LASZLO </t>
  </si>
  <si>
    <t xml:space="preserve">  HUN  </t>
  </si>
  <si>
    <t xml:space="preserve"> HERM </t>
  </si>
  <si>
    <t xml:space="preserve"> MICHAEL </t>
  </si>
  <si>
    <t xml:space="preserve">  GER  </t>
  </si>
  <si>
    <t xml:space="preserve"> HIEN </t>
  </si>
  <si>
    <t xml:space="preserve"> JOSEF </t>
  </si>
  <si>
    <t xml:space="preserve">  SWE  </t>
  </si>
  <si>
    <t xml:space="preserve"> SCHULEMANN </t>
  </si>
  <si>
    <t xml:space="preserve"> SVEN </t>
  </si>
  <si>
    <t xml:space="preserve"> GAY </t>
  </si>
  <si>
    <t xml:space="preserve"> PAOLO </t>
  </si>
  <si>
    <t xml:space="preserve">  ITA  </t>
  </si>
  <si>
    <t xml:space="preserve"> ANDREU DEDEU </t>
  </si>
  <si>
    <t xml:space="preserve"> MARC </t>
  </si>
  <si>
    <t xml:space="preserve">  ESP  </t>
  </si>
  <si>
    <t xml:space="preserve"> GOIKHMAN </t>
  </si>
  <si>
    <t xml:space="preserve"> IGOR </t>
  </si>
  <si>
    <t xml:space="preserve"> WEBER </t>
  </si>
  <si>
    <t xml:space="preserve"> ALEXANDER </t>
  </si>
  <si>
    <t xml:space="preserve"> BODAY </t>
  </si>
  <si>
    <t xml:space="preserve"> DANIEL </t>
  </si>
  <si>
    <t xml:space="preserve"> FREMONT </t>
  </si>
  <si>
    <t xml:space="preserve"> ERIC </t>
  </si>
  <si>
    <t xml:space="preserve"> MARCIN </t>
  </si>
  <si>
    <t xml:space="preserve">  POL  </t>
  </si>
  <si>
    <t xml:space="preserve"> PARISE </t>
  </si>
  <si>
    <t xml:space="preserve"> ALESSANDRO </t>
  </si>
  <si>
    <t xml:space="preserve"> HUGO </t>
  </si>
  <si>
    <t xml:space="preserve"> NICOLAS </t>
  </si>
  <si>
    <t xml:space="preserve"> LUKASZ </t>
  </si>
  <si>
    <t xml:space="preserve"> REY HERMIDA </t>
  </si>
  <si>
    <t xml:space="preserve"> JUAN </t>
  </si>
  <si>
    <t xml:space="preserve"> TYPL </t>
  </si>
  <si>
    <t xml:space="preserve"> PAVEL </t>
  </si>
  <si>
    <t xml:space="preserve"> ZANELLATO </t>
  </si>
  <si>
    <t xml:space="preserve"> LORENZO </t>
  </si>
  <si>
    <t xml:space="preserve"> WRIGHT </t>
  </si>
  <si>
    <t xml:space="preserve"> PETER </t>
  </si>
  <si>
    <t xml:space="preserve">  GBR  </t>
  </si>
  <si>
    <t xml:space="preserve"> NASH </t>
  </si>
  <si>
    <t xml:space="preserve"> RUBIN </t>
  </si>
  <si>
    <t xml:space="preserve"> MATHIS </t>
  </si>
  <si>
    <t xml:space="preserve"> FRANCOIS </t>
  </si>
  <si>
    <t xml:space="preserve">  BEL  </t>
  </si>
  <si>
    <t xml:space="preserve"> BELLET </t>
  </si>
  <si>
    <t xml:space="preserve"> CYRILLE </t>
  </si>
  <si>
    <t xml:space="preserve"> BLATZ </t>
  </si>
  <si>
    <t xml:space="preserve"> JEAN </t>
  </si>
  <si>
    <t xml:space="preserve"> BROCK </t>
  </si>
  <si>
    <t xml:space="preserve"> CHRISTIAN </t>
  </si>
  <si>
    <t xml:space="preserve"> MAHLAMAKI </t>
  </si>
  <si>
    <t xml:space="preserve"> OLLI </t>
  </si>
  <si>
    <t xml:space="preserve">  FIN  </t>
  </si>
  <si>
    <t xml:space="preserve"> CSALLO </t>
  </si>
  <si>
    <t xml:space="preserve"> ZOLTAN </t>
  </si>
  <si>
    <t xml:space="preserve"> MATHIEU </t>
  </si>
  <si>
    <t xml:space="preserve"> JAKUB </t>
  </si>
  <si>
    <t xml:space="preserve"> SENATORE </t>
  </si>
  <si>
    <t xml:space="preserve"> GIULIO </t>
  </si>
  <si>
    <t xml:space="preserve"> RUSAK </t>
  </si>
  <si>
    <t xml:space="preserve"> ALEKSANDER </t>
  </si>
  <si>
    <t xml:space="preserve">  SLO  </t>
  </si>
  <si>
    <t xml:space="preserve"> CASADESUS SOLE </t>
  </si>
  <si>
    <t xml:space="preserve"> XAVIER </t>
  </si>
  <si>
    <t xml:space="preserve"> MOULINIER </t>
  </si>
  <si>
    <t xml:space="preserve"> PETRONE </t>
  </si>
  <si>
    <t xml:space="preserve"> DAVIDE </t>
  </si>
  <si>
    <t xml:space="preserve"> ANTONIS </t>
  </si>
  <si>
    <t xml:space="preserve"> OLIVIER </t>
  </si>
  <si>
    <t xml:space="preserve"> MCDOUGALL </t>
  </si>
  <si>
    <t xml:space="preserve"> DAVID </t>
  </si>
  <si>
    <t xml:space="preserve"> SMOLEJ </t>
  </si>
  <si>
    <t xml:space="preserve"> RUDI </t>
  </si>
  <si>
    <t xml:space="preserve"> DIOP </t>
  </si>
  <si>
    <t xml:space="preserve"> ABDOULAYE </t>
  </si>
  <si>
    <t xml:space="preserve"> BARTH </t>
  </si>
  <si>
    <t xml:space="preserve"> SZABO </t>
  </si>
  <si>
    <t xml:space="preserve"> GABOR TAMAS </t>
  </si>
  <si>
    <t xml:space="preserve"> CHITISHVILI </t>
  </si>
  <si>
    <t xml:space="preserve"> ALEKSANDRE </t>
  </si>
  <si>
    <t xml:space="preserve">  GEO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</si>
</sst>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9"/>
      <color theme="1"/>
      <name val="Calibri"/>
      <family val="2"/>
      <scheme val="minor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i/>
      <sz val="9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13" borderId="0" applyNumberFormat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17">
    <xf numFmtId="0" fontId="0" fillId="0" borderId="0" xfId="0"/>
    <xf numFmtId="0" fontId="8" fillId="3" borderId="0" xfId="1" applyAlignment="1">
      <alignment horizontal="center" vertical="center" wrapText="1"/>
    </xf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2" fillId="5" borderId="0" xfId="0" applyFont="1" applyFill="1"/>
    <xf numFmtId="0" fontId="14" fillId="5" borderId="0" xfId="0" applyFont="1" applyFill="1"/>
    <xf numFmtId="0" fontId="13" fillId="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5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4" fillId="0" borderId="0" xfId="2" applyFont="1"/>
    <xf numFmtId="0" fontId="26" fillId="7" borderId="18" xfId="0" applyFont="1" applyFill="1" applyBorder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25" fillId="7" borderId="14" xfId="0" applyFont="1" applyFill="1" applyBorder="1" applyAlignment="1">
      <alignment horizontal="left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9" fillId="5" borderId="0" xfId="0" applyFont="1" applyFill="1"/>
    <xf numFmtId="0" fontId="30" fillId="2" borderId="1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3" xfId="0" applyNumberFormat="1" applyFont="1" applyFill="1" applyBorder="1" applyAlignment="1">
      <alignment horizontal="center" vertical="center"/>
    </xf>
    <xf numFmtId="2" fontId="31" fillId="7" borderId="11" xfId="0" applyNumberFormat="1" applyFont="1" applyFill="1" applyBorder="1" applyAlignment="1">
      <alignment horizontal="center" vertical="center"/>
    </xf>
    <xf numFmtId="2" fontId="31" fillId="7" borderId="16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3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33" fillId="6" borderId="0" xfId="0" applyFont="1" applyFill="1" applyAlignment="1">
      <alignment vertical="center" wrapText="1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12" borderId="0" xfId="0" applyFill="1" applyAlignment="1">
      <alignment horizontal="left"/>
    </xf>
    <xf numFmtId="0" fontId="2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3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9" applyFill="1" applyAlignment="1">
      <alignment horizontal="left"/>
    </xf>
    <xf numFmtId="0" fontId="2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3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1" fontId="3" fillId="13" borderId="0" xfId="3" applyNumberFormat="1" applyAlignment="1">
      <alignment horizontal="center" vertical="center"/>
    </xf>
    <xf numFmtId="0" fontId="3" fillId="13" borderId="0" xfId="3" applyAlignment="1">
      <alignment vertical="center" wrapText="1"/>
    </xf>
    <xf numFmtId="0" fontId="3" fillId="13" borderId="14" xfId="3" applyBorder="1" applyAlignment="1">
      <alignment horizontal="left"/>
    </xf>
    <xf numFmtId="0" fontId="34" fillId="12" borderId="0" xfId="0" applyFont="1" applyFill="1"/>
    <xf numFmtId="0" fontId="34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35" fillId="12" borderId="0" xfId="0" applyFont="1" applyFill="1"/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vertical="center"/>
    </xf>
    <xf numFmtId="0" fontId="36" fillId="12" borderId="0" xfId="0" applyFont="1" applyFill="1" applyAlignment="1">
      <alignment horizontal="center" vertical="center"/>
    </xf>
    <xf numFmtId="17" fontId="34" fillId="12" borderId="0" xfId="0" applyNumberFormat="1" applyFont="1" applyFill="1" applyAlignment="1">
      <alignment horizontal="center" vertical="center"/>
    </xf>
    <xf numFmtId="0" fontId="1" fillId="8" borderId="0" xfId="8" applyFill="1"/>
    <xf numFmtId="0" fontId="17" fillId="8" borderId="0" xfId="8" applyFont="1" applyFill="1" applyAlignment="1">
      <alignment horizontal="right" vertical="center"/>
    </xf>
    <xf numFmtId="0" fontId="17" fillId="8" borderId="0" xfId="8" applyFont="1" applyFill="1" applyAlignment="1">
      <alignment horizontal="center" vertical="center"/>
    </xf>
    <xf numFmtId="1" fontId="18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0" fillId="9" borderId="0" xfId="8" applyFont="1" applyFill="1" applyAlignment="1">
      <alignment horizontal="center" vertical="center"/>
    </xf>
    <xf numFmtId="0" fontId="10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20" fillId="10" borderId="0" xfId="8" applyFont="1" applyFill="1" applyAlignment="1">
      <alignment horizontal="center" vertical="center"/>
    </xf>
    <xf numFmtId="0" fontId="20" fillId="10" borderId="0" xfId="8" applyFont="1" applyFill="1" applyAlignment="1">
      <alignment horizontal="center" vertical="center" wrapText="1"/>
    </xf>
    <xf numFmtId="1" fontId="20" fillId="10" borderId="0" xfId="8" applyNumberFormat="1" applyFont="1" applyFill="1" applyAlignment="1">
      <alignment horizontal="center" vertical="center" wrapText="1"/>
    </xf>
    <xf numFmtId="0" fontId="22" fillId="8" borderId="0" xfId="8" applyFont="1" applyFill="1" applyAlignment="1">
      <alignment horizontal="center" vertical="center"/>
    </xf>
    <xf numFmtId="2" fontId="22" fillId="8" borderId="0" xfId="8" applyNumberFormat="1" applyFont="1" applyFill="1" applyAlignment="1">
      <alignment horizontal="center" vertical="center"/>
    </xf>
    <xf numFmtId="164" fontId="22" fillId="8" borderId="0" xfId="8" applyNumberFormat="1" applyFont="1" applyFill="1" applyAlignment="1">
      <alignment horizontal="center" vertical="center"/>
    </xf>
    <xf numFmtId="0" fontId="22" fillId="11" borderId="0" xfId="8" applyFont="1" applyFill="1" applyAlignment="1">
      <alignment horizontal="center" vertical="center"/>
    </xf>
    <xf numFmtId="2" fontId="22" fillId="11" borderId="0" xfId="8" applyNumberFormat="1" applyFont="1" applyFill="1" applyAlignment="1">
      <alignment horizontal="center" vertical="center"/>
    </xf>
    <xf numFmtId="164" fontId="22" fillId="11" borderId="0" xfId="8" applyNumberFormat="1" applyFont="1" applyFill="1" applyAlignment="1">
      <alignment horizontal="center" vertical="center"/>
    </xf>
    <xf numFmtId="0" fontId="11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0" fillId="7" borderId="0" xfId="8" applyFont="1" applyFill="1"/>
    <xf numFmtId="0" fontId="23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0" fillId="8" borderId="0" xfId="8" applyFont="1" applyFill="1"/>
    <xf numFmtId="164" fontId="10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1" fillId="13" borderId="18" xfId="3" applyFont="1" applyBorder="1" applyAlignment="1">
      <alignment horizontal="center" vertical="center"/>
    </xf>
    <xf numFmtId="0" fontId="9" fillId="8" borderId="0" xfId="9" applyFill="1"/>
    <xf numFmtId="164" fontId="2" fillId="8" borderId="0" xfId="5" applyNumberFormat="1" applyFill="1" applyAlignment="1">
      <alignment horizontal="center" vertical="center"/>
    </xf>
    <xf numFmtId="0" fontId="37" fillId="8" borderId="0" xfId="5" applyFont="1" applyFill="1" applyAlignment="1">
      <alignment horizontal="left"/>
    </xf>
    <xf numFmtId="0" fontId="37" fillId="8" borderId="0" xfId="5" applyFont="1" applyFill="1" applyAlignment="1">
      <alignment horizontal="left" vertical="center"/>
    </xf>
    <xf numFmtId="0" fontId="10" fillId="8" borderId="0" xfId="5" applyFont="1" applyFill="1" applyAlignment="1">
      <alignment horizontal="center" vertical="center"/>
    </xf>
    <xf numFmtId="0" fontId="10" fillId="11" borderId="0" xfId="5" applyFont="1" applyFill="1" applyAlignment="1">
      <alignment horizontal="center" vertical="center"/>
    </xf>
    <xf numFmtId="0" fontId="7" fillId="7" borderId="0" xfId="0" applyFont="1" applyFill="1" applyAlignment="1">
      <alignment horizontal="left"/>
    </xf>
    <xf numFmtId="0" fontId="0" fillId="15" borderId="0" xfId="0" applyFill="1" applyAlignment="1">
      <alignment wrapText="1"/>
    </xf>
    <xf numFmtId="0" fontId="0" fillId="14" borderId="0" xfId="0" applyFill="1" applyAlignment="1">
      <alignment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5" fillId="12" borderId="0" xfId="0" applyFont="1" applyFill="1" applyAlignment="1">
      <alignment horizontal="center" vertical="center"/>
    </xf>
    <xf numFmtId="0" fontId="9" fillId="12" borderId="0" xfId="10" applyFill="1" applyBorder="1" applyAlignment="1"/>
    <xf numFmtId="0" fontId="0" fillId="12" borderId="0" xfId="0" applyFill="1"/>
    <xf numFmtId="0" fontId="11" fillId="13" borderId="27" xfId="3" applyFont="1" applyBorder="1" applyAlignment="1">
      <alignment horizontal="center" vertical="center"/>
    </xf>
    <xf numFmtId="0" fontId="11" fillId="13" borderId="28" xfId="3" applyFont="1" applyBorder="1" applyAlignment="1">
      <alignment horizontal="center" vertical="center"/>
    </xf>
    <xf numFmtId="0" fontId="28" fillId="5" borderId="0" xfId="0" applyFont="1" applyFill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25" xfId="0" applyFill="1" applyBorder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4" fontId="9" fillId="8" borderId="0" xfId="9" applyNumberFormat="1" applyFill="1" applyAlignment="1">
      <alignment horizontal="left"/>
    </xf>
    <xf numFmtId="0" fontId="9" fillId="12" borderId="0" xfId="9" applyFill="1" applyBorder="1" applyAlignment="1"/>
    <xf numFmtId="0" fontId="0" fillId="12" borderId="0" xfId="0" applyFill="1" applyAlignment="1">
      <alignment horizontal="left"/>
    </xf>
    <xf numFmtId="0" fontId="7" fillId="7" borderId="0" xfId="0" applyFont="1" applyFill="1" applyBorder="1" applyAlignment="1">
      <alignment horizontal="left"/>
    </xf>
  </cellXfs>
  <cellStyles count="11">
    <cellStyle name="20% - Accent1 2" xfId="7" xr:uid="{FCD3030B-B0E4-43DF-9AC9-6BA664912DDF}"/>
    <cellStyle name="20% — akcent 1" xfId="3" builtinId="30"/>
    <cellStyle name="Akcent 1" xfId="1" builtinId="29"/>
    <cellStyle name="Hiperłącze" xfId="9" builtinId="8"/>
    <cellStyle name="Hyperlink" xfId="10" xr:uid="{00000000-000B-0000-0000-000008000000}"/>
    <cellStyle name="Normal 2" xfId="2" xr:uid="{41C01C9B-5976-4EE3-8AEE-05945B733B3A}"/>
    <cellStyle name="Normal 2 2" xfId="5" xr:uid="{138F00C8-AAB3-48B3-B7B7-61F2C5FBEB5F}"/>
    <cellStyle name="Normal 2 2 2" xfId="4" xr:uid="{279E7BDA-ECB0-43AC-9914-E019A4FCD38A}"/>
    <cellStyle name="Normal 2 2 2 2" xfId="6" xr:uid="{BA60D92D-A771-4602-93DB-12A6ADA71EF3}"/>
    <cellStyle name="Normal 2 2 2 3" xfId="8" xr:uid="{15EB295B-7F07-477B-81CF-BD199B1290A8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80F602982164EB9AE4607F6639973E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BE9EB0882B44510BC2D01DC754E0A7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ableaus/scores/FB01CDD473D548A19FE8F4B57002C8D9/33A3776D98A145B09084E6E83347958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392BE14FFE748F8863E582EEFCCC7E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238873A8A3C442448DDB954D2EFD971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31555C21023245118EDAD028E32F8E86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125EBF1B137C44CC838B496DEF9DF59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F4F0BB4EA2A844EF905768F67D64E029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hv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sm_1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M&amp;c=6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A409DA64082E4073A18D8C800B6B485D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sabr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AA3B-7B87-478E-8D0E-DD2B07FDC631}">
  <dimension ref="A1:AA38"/>
  <sheetViews>
    <sheetView tabSelected="1" workbookViewId="0">
      <selection activeCell="B20" sqref="B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8.875" bestFit="1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2.75" customWidth="1"/>
  </cols>
  <sheetData>
    <row r="1" spans="1:27" ht="14.3" thickBot="1" x14ac:dyDescent="0.3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4.3" customHeight="1" thickTop="1" x14ac:dyDescent="0.25">
      <c r="A2" s="4"/>
      <c r="B2" s="2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X2" s="280" t="s">
        <v>2</v>
      </c>
      <c r="Y2" s="281"/>
      <c r="Z2" s="281"/>
      <c r="AA2" s="282"/>
    </row>
    <row r="3" spans="1:27" ht="13.6" x14ac:dyDescent="0.25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83"/>
      <c r="Y3" s="284"/>
      <c r="Z3" s="284"/>
      <c r="AA3" s="285"/>
    </row>
    <row r="4" spans="1:27" ht="24.8" customHeight="1" thickBot="1" x14ac:dyDescent="0.25">
      <c r="A4" s="275" t="s">
        <v>4</v>
      </c>
      <c r="B4" s="277" t="s">
        <v>5</v>
      </c>
      <c r="C4" s="277" t="s">
        <v>6</v>
      </c>
      <c r="D4" s="277" t="s">
        <v>7</v>
      </c>
      <c r="E4" s="273" t="s">
        <v>8</v>
      </c>
      <c r="F4" s="274"/>
      <c r="G4" s="273" t="s">
        <v>9</v>
      </c>
      <c r="H4" s="274"/>
      <c r="I4" s="273" t="s">
        <v>10</v>
      </c>
      <c r="J4" s="274"/>
      <c r="K4" s="273" t="s">
        <v>11</v>
      </c>
      <c r="L4" s="274"/>
      <c r="M4" s="273" t="s">
        <v>12</v>
      </c>
      <c r="N4" s="274"/>
      <c r="O4" s="273" t="s">
        <v>13</v>
      </c>
      <c r="P4" s="274"/>
      <c r="Q4" s="273" t="s">
        <v>14</v>
      </c>
      <c r="R4" s="274"/>
      <c r="S4" s="273" t="s">
        <v>15</v>
      </c>
      <c r="T4" s="274"/>
      <c r="U4" s="273" t="s">
        <v>16</v>
      </c>
      <c r="V4" s="274"/>
      <c r="X4" s="286"/>
      <c r="Y4" s="287"/>
      <c r="Z4" s="287"/>
      <c r="AA4" s="288"/>
    </row>
    <row r="5" spans="1:27" ht="18" customHeight="1" thickTop="1" x14ac:dyDescent="0.2">
      <c r="A5" s="276"/>
      <c r="B5" s="278"/>
      <c r="C5" s="278"/>
      <c r="D5" s="279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8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3" t="s">
        <v>17</v>
      </c>
      <c r="V5" s="8" t="s">
        <v>18</v>
      </c>
    </row>
    <row r="6" spans="1:27" ht="14.8" customHeight="1" x14ac:dyDescent="0.25">
      <c r="A6" s="9">
        <f>ROW()-5</f>
        <v>1</v>
      </c>
      <c r="B6" s="10" t="s">
        <v>19</v>
      </c>
      <c r="C6" s="137"/>
      <c r="D6" s="82">
        <f>SUM(F6,H6,J6,L6,N6,P6,R6,T6,V6)-SUM(SMALL((F6,H6,J6,L6,N6,P6,R6,T6),1),SMALL((F6,H6,J6,L6,N6,P6,R6,T6),2))</f>
        <v>400.03737267648711</v>
      </c>
      <c r="E6" s="11">
        <f>_xlfn.XLOOKUP($B6,'GP1'!$C$6:$C$101,'GP1'!$B$6:$B$101,"")</f>
        <v>1</v>
      </c>
      <c r="F6" s="83">
        <f>_xlfn.XLOOKUP(E6,'GP1'!$B$6:$B$55,'GP1'!$A$6:$A$55,0)</f>
        <v>97.216380644951499</v>
      </c>
      <c r="G6" s="11">
        <f>_xlfn.XLOOKUP($B6,'GP2'!$C$6:$C$101,'GP2'!$B$6:$B$101,"")</f>
        <v>3</v>
      </c>
      <c r="H6" s="83">
        <f>_xlfn.XLOOKUP(G6,'GP2'!$B$6:$B$55,'GP2'!$A$6:$A$55,0)</f>
        <v>35.407149332988958</v>
      </c>
      <c r="I6" s="11" t="str">
        <f>_xlfn.XLOOKUP($B6,'GP3'!$C$6:$C$101,'GP3'!$B$6:$B$101,"")</f>
        <v/>
      </c>
      <c r="J6" s="83">
        <f>_xlfn.XLOOKUP(I6,'GP3'!$B$6:$B$55,'GP3'!$A$6:$A$55,0)</f>
        <v>0</v>
      </c>
      <c r="K6" s="11">
        <f>_xlfn.XLOOKUP($B6,'GP4'!$C$6:$C$101,'GP4'!$B$6:$B$101,"")</f>
        <v>3</v>
      </c>
      <c r="L6" s="83">
        <f>_xlfn.XLOOKUP(K6,'GP4'!$B$6:$B$55,'GP4'!$A$6:$A$55,0)</f>
        <v>15.930621888236271</v>
      </c>
      <c r="M6" s="11" t="str">
        <f>_xlfn.XLOOKUP($B6,'GP5'!$C$6:$C$101,'GP5'!$B$6:$B$101,"")</f>
        <v/>
      </c>
      <c r="N6" s="84">
        <f>_xlfn.XLOOKUP(M6,'GP5'!$B$6:$B$55,'GP5'!$A$6:$A$55,0)</f>
        <v>0</v>
      </c>
      <c r="O6" s="11">
        <f>_xlfn.XLOOKUP($B6,'GP6'!$C$6:$C$101,'GP6'!$B$6:$B$101,"")</f>
        <v>1</v>
      </c>
      <c r="P6" s="84">
        <f>_xlfn.XLOOKUP(O6,'GP6'!$B$6:$B$55,'GP6'!$A$6:$A$55,0)</f>
        <v>69</v>
      </c>
      <c r="Q6" s="11">
        <f>_xlfn.XLOOKUP($B6,'GP7'!$C$6:$C$101,'GP7'!$B$6:$B$101,"")</f>
        <v>1</v>
      </c>
      <c r="R6" s="84">
        <f>_xlfn.XLOOKUP(Q6,'GP7'!$B$6:$B$55,'GP7'!$A$6:$A$55,0)</f>
        <v>81.339289449053865</v>
      </c>
      <c r="S6" s="11" t="str">
        <f>_xlfn.XLOOKUP($B6,'GP8'!$C$6:$C$101,'GP8'!$B$6:$B$101,"")</f>
        <v/>
      </c>
      <c r="T6" s="84">
        <f>_xlfn.XLOOKUP(S6,'GP8'!$B$6:$B$55,'GP8'!$A$6:$A$55,0)</f>
        <v>0</v>
      </c>
      <c r="U6" s="11">
        <f>_xlfn.XLOOKUP(B6,MPW!C$6:C$101,MPW!B$6:B$101,"")</f>
        <v>1</v>
      </c>
      <c r="V6" s="84">
        <f>_xlfn.XLOOKUP(U6,MPW!B$6:B$55,MPW!A$6:A$55,0)</f>
        <v>101.14393136125655</v>
      </c>
    </row>
    <row r="7" spans="1:27" ht="14.8" customHeight="1" x14ac:dyDescent="0.25">
      <c r="A7" s="9">
        <f>ROW()-5</f>
        <v>2</v>
      </c>
      <c r="B7" s="217" t="s">
        <v>20</v>
      </c>
      <c r="C7" s="13"/>
      <c r="D7" s="82">
        <f>SUM(F7,H7,J7,L7,N7,P7,R7,T7,V7)-SUM(SMALL((F7,H7,J7,L7,N7,P7,R7,T7),1),SMALL((F7,H7,J7,L7,N7,P7,R7,T7),2))</f>
        <v>305.02513514339273</v>
      </c>
      <c r="E7" s="14">
        <f>_xlfn.XLOOKUP($B7,'GP1'!$C$6:$C$101,'GP1'!$B$6:$B$101,"")</f>
        <v>2</v>
      </c>
      <c r="F7" s="133">
        <f>_xlfn.XLOOKUP(E7,'GP1'!$B$6:$B$55,'GP1'!$A$6:$A$55,0)</f>
        <v>64.023434928341246</v>
      </c>
      <c r="G7" s="14">
        <f>_xlfn.XLOOKUP($B7,'GP2'!$C$6:$C$101,'GP2'!$B$6:$B$101,"")</f>
        <v>2</v>
      </c>
      <c r="H7" s="133">
        <f>_xlfn.XLOOKUP(G7,'GP2'!$B$6:$B$55,'GP2'!$A$6:$A$55,0)</f>
        <v>61.946936002500301</v>
      </c>
      <c r="I7" s="14">
        <f>_xlfn.XLOOKUP($B7,'GP3'!$C$6:$C$101,'GP3'!$B$6:$B$101,"")</f>
        <v>1</v>
      </c>
      <c r="J7" s="83">
        <f>_xlfn.XLOOKUP(I7,'GP3'!$B$6:$B$55,'GP3'!$A$6:$A$55,0)</f>
        <v>96.354085335489259</v>
      </c>
      <c r="K7" s="14">
        <f>_xlfn.XLOOKUP($B7,'GP4'!$C$6:$C$101,'GP4'!$B$6:$B$101,"")</f>
        <v>2</v>
      </c>
      <c r="L7" s="133">
        <f>_xlfn.XLOOKUP(K7,'GP4'!$B$6:$B$55,'GP4'!$A$6:$A$55,0)</f>
        <v>45.024406311809194</v>
      </c>
      <c r="M7" s="14" t="str">
        <f>_xlfn.XLOOKUP($B7,'GP5'!$C$6:$C$101,'GP5'!$B$6:$B$101,"")</f>
        <v/>
      </c>
      <c r="N7" s="134">
        <f>_xlfn.XLOOKUP(M7,'GP5'!$B$6:$B$55,'GP5'!$A$6:$A$55,0)</f>
        <v>0</v>
      </c>
      <c r="O7" s="14" t="str">
        <f>_xlfn.XLOOKUP($B7,'GP6'!$C$6:$C$101,'GP6'!$B$6:$B$101,"")</f>
        <v/>
      </c>
      <c r="P7" s="134">
        <f>_xlfn.XLOOKUP(O7,'GP6'!$B$6:$B$55,'GP6'!$A$6:$A$55,0)</f>
        <v>0</v>
      </c>
      <c r="Q7" s="14">
        <f>_xlfn.XLOOKUP($B7,'GP7'!$C$6:$C$101,'GP7'!$B$6:$B$101,"")</f>
        <v>2</v>
      </c>
      <c r="R7" s="134">
        <f>_xlfn.XLOOKUP(Q7,'GP7'!$B$6:$B$55,'GP7'!$A$6:$A$55,0)</f>
        <v>18.559526299369239</v>
      </c>
      <c r="S7" s="14" t="str">
        <f>_xlfn.XLOOKUP($B7,'GP8'!$C$6:$C$101,'GP8'!$B$6:$B$101,"")</f>
        <v/>
      </c>
      <c r="T7" s="134">
        <f>_xlfn.XLOOKUP(S7,'GP8'!$B$6:$B$55,'GP8'!$A$6:$A$55,0)</f>
        <v>0</v>
      </c>
      <c r="U7" s="14">
        <f>_xlfn.XLOOKUP(B7,MPW!C$6:C$101,MPW!B$6:B$101,"")</f>
        <v>3</v>
      </c>
      <c r="V7" s="134">
        <f>_xlfn.XLOOKUP(U7,MPW!B$6:B$55,MPW!A$6:A$55,0)</f>
        <v>19.116746265883524</v>
      </c>
    </row>
    <row r="8" spans="1:27" ht="15.8" customHeight="1" x14ac:dyDescent="0.25">
      <c r="A8" s="9">
        <f>ROW()-5</f>
        <v>3</v>
      </c>
      <c r="B8" s="217" t="s">
        <v>21</v>
      </c>
      <c r="C8" s="13"/>
      <c r="D8" s="82">
        <f>SUM(F8,H8,J8,L8,N8,P8,R8,T8,V8)-SUM(SMALL((F8,H8,J8,L8,N8,P8,R8,T8),1),SMALL((F8,H8,J8,L8,N8,P8,R8,T8),2))</f>
        <v>215.94148080124486</v>
      </c>
      <c r="E8" s="14" t="str">
        <f>_xlfn.XLOOKUP($B8,'GP1'!$C$6:$C$101,'GP1'!$B$6:$B$101,"")</f>
        <v>1k0</v>
      </c>
      <c r="F8" s="133">
        <f>_xlfn.XLOOKUP(E8,'GP1'!$B$6:$B$55,'GP1'!$A$6:$A$55,0)</f>
        <v>96.354085335489259</v>
      </c>
      <c r="G8" s="14" t="str">
        <f>_xlfn.XLOOKUP($B8,'GP2'!$C$6:$C$101,'GP2'!$B$6:$B$101,"")</f>
        <v/>
      </c>
      <c r="H8" s="133">
        <f>_xlfn.XLOOKUP(G8,'GP2'!$B$6:$B$55,'GP2'!$A$6:$A$55,0)</f>
        <v>0</v>
      </c>
      <c r="I8" s="14" t="str">
        <f>_xlfn.XLOOKUP($B8,'GP3'!$C$6:$C$101,'GP3'!$B$6:$B$101,"")</f>
        <v>3k0</v>
      </c>
      <c r="J8" s="83">
        <f>_xlfn.XLOOKUP(I8,'GP3'!$B$6:$B$55,'GP3'!$A$6:$A$55,0)</f>
        <v>35.407149332988958</v>
      </c>
      <c r="K8" s="14" t="str">
        <f>_xlfn.XLOOKUP($B8,'GP4'!$C$6:$C$101,'GP4'!$B$6:$B$101,"")</f>
        <v/>
      </c>
      <c r="L8" s="133">
        <f>_xlfn.XLOOKUP(K8,'GP4'!$B$6:$B$55,'GP4'!$A$6:$A$55,0)</f>
        <v>0</v>
      </c>
      <c r="M8" s="14" t="str">
        <f>_xlfn.XLOOKUP($B8,'GP5'!$C$6:$C$101,'GP5'!$B$6:$B$101,"")</f>
        <v/>
      </c>
      <c r="N8" s="134">
        <f>_xlfn.XLOOKUP(M8,'GP5'!$B$6:$B$55,'GP5'!$A$6:$A$55,0)</f>
        <v>0</v>
      </c>
      <c r="O8" s="14" t="str">
        <f>_xlfn.XLOOKUP($B8,'GP6'!$C$6:$C$101,'GP6'!$B$6:$B$101,"")</f>
        <v/>
      </c>
      <c r="P8" s="134">
        <f>_xlfn.XLOOKUP(O8,'GP6'!$B$6:$B$55,'GP6'!$A$6:$A$55,0)</f>
        <v>0</v>
      </c>
      <c r="Q8" s="14" t="str">
        <f>_xlfn.XLOOKUP($B8,'GP7'!$C$6:$C$101,'GP7'!$B$6:$B$101,"")</f>
        <v/>
      </c>
      <c r="R8" s="134">
        <f>_xlfn.XLOOKUP(Q8,'GP7'!$B$6:$B$55,'GP7'!$A$6:$A$55,0)</f>
        <v>0</v>
      </c>
      <c r="S8" s="14">
        <f>_xlfn.XLOOKUP($B8,'GP8'!$C$6:$C$101,'GP8'!$B$6:$B$101,"")</f>
        <v>1</v>
      </c>
      <c r="T8" s="134">
        <f>_xlfn.XLOOKUP(S8,'GP8'!$B$6:$B$55,'GP8'!$A$6:$A$55,0)</f>
        <v>82.980246132766666</v>
      </c>
      <c r="U8" s="14">
        <f>_xlfn.XLOOKUP(B8,MPW!C$6:C$101,MPW!B$6:B$101,"")</f>
        <v>4</v>
      </c>
      <c r="V8" s="134">
        <f>_xlfn.XLOOKUP(U8,MPW!B$6:B$55,MPW!A$6:A$55,0)</f>
        <v>1.2</v>
      </c>
    </row>
    <row r="9" spans="1:27" ht="14.8" customHeight="1" x14ac:dyDescent="0.25">
      <c r="A9" s="9">
        <f>ROW()-5</f>
        <v>4</v>
      </c>
      <c r="B9" s="12" t="s">
        <v>22</v>
      </c>
      <c r="C9" s="13"/>
      <c r="D9" s="82">
        <f>SUM(F9,H9,J9,L9,N9,P9,R9,T9,V9)-SUM(SMALL((F9,H9,J9,L9,N9,P9,R9,T9),1),SMALL((F9,H9,J9,L9,N9,P9,R9,T9),2))</f>
        <v>125.72334744161807</v>
      </c>
      <c r="E9" s="14">
        <f>_xlfn.XLOOKUP($B9,'GP1'!$C$6:$C$101,'GP1'!$B$6:$B$101,"")</f>
        <v>6</v>
      </c>
      <c r="F9" s="133">
        <f>_xlfn.XLOOKUP(E9,'GP1'!$B$6:$B$55,'GP1'!$A$6:$A$55,0)</f>
        <v>4.8816711630815135</v>
      </c>
      <c r="G9" s="14">
        <f>_xlfn.XLOOKUP($B9,'GP2'!$C$6:$C$101,'GP2'!$B$6:$B$101,"")</f>
        <v>4</v>
      </c>
      <c r="H9" s="133">
        <f>_xlfn.XLOOKUP(G9,'GP2'!$B$6:$B$55,'GP2'!$A$6:$A$55,0)</f>
        <v>22.088424891014924</v>
      </c>
      <c r="I9" s="14">
        <f>_xlfn.XLOOKUP($B9,'GP3'!$C$6:$C$101,'GP3'!$B$6:$B$101,"")</f>
        <v>5</v>
      </c>
      <c r="J9" s="83">
        <f>_xlfn.XLOOKUP(I9,'GP3'!$B$6:$B$55,'GP3'!$A$6:$A$55,0)</f>
        <v>5.9860243165075602</v>
      </c>
      <c r="K9" s="14">
        <f>_xlfn.XLOOKUP($B9,'GP4'!$C$6:$C$101,'GP4'!$B$6:$B$101,"")</f>
        <v>4</v>
      </c>
      <c r="L9" s="133">
        <f>_xlfn.XLOOKUP(K9,'GP4'!$B$6:$B$55,'GP4'!$A$6:$A$55,0)</f>
        <v>1</v>
      </c>
      <c r="M9" s="14" t="str">
        <f>_xlfn.XLOOKUP($B9,'GP5'!$C$6:$C$101,'GP5'!$B$6:$B$101,"")</f>
        <v/>
      </c>
      <c r="N9" s="134">
        <f>_xlfn.XLOOKUP(M9,'GP5'!$B$6:$B$55,'GP5'!$A$6:$A$55,0)</f>
        <v>0</v>
      </c>
      <c r="O9" s="14" t="str">
        <f>_xlfn.XLOOKUP($B9,'GP6'!$C$6:$C$101,'GP6'!$B$6:$B$101,"")</f>
        <v/>
      </c>
      <c r="P9" s="134">
        <f>_xlfn.XLOOKUP(O9,'GP6'!$B$6:$B$55,'GP6'!$A$6:$A$55,0)</f>
        <v>0</v>
      </c>
      <c r="Q9" s="14" t="str">
        <f>_xlfn.XLOOKUP($B9,'GP7'!$C$6:$C$101,'GP7'!$B$6:$B$101,"")</f>
        <v/>
      </c>
      <c r="R9" s="134">
        <f>_xlfn.XLOOKUP(Q9,'GP7'!$B$6:$B$55,'GP7'!$A$6:$A$55,0)</f>
        <v>0</v>
      </c>
      <c r="S9" s="14">
        <f>_xlfn.XLOOKUP($B9,'GP8'!$C$6:$C$101,'GP8'!$B$6:$B$101,"")</f>
        <v>2</v>
      </c>
      <c r="T9" s="134">
        <f>_xlfn.XLOOKUP(S9,'GP8'!$B$6:$B$55,'GP8'!$A$6:$A$55,0)</f>
        <v>37.73793949684304</v>
      </c>
      <c r="U9" s="14">
        <f>_xlfn.XLOOKUP(B9,MPW!C$6:C$101,MPW!B$6:B$101,"")</f>
        <v>2</v>
      </c>
      <c r="V9" s="134">
        <f>_xlfn.XLOOKUP(U9,MPW!B$6:B$55,MPW!A$6:A$55,0)</f>
        <v>54.029287574171029</v>
      </c>
    </row>
    <row r="10" spans="1:27" ht="14.8" customHeight="1" x14ac:dyDescent="0.25">
      <c r="A10" s="9">
        <f>ROW()-5</f>
        <v>5</v>
      </c>
      <c r="B10" s="270" t="s">
        <v>23</v>
      </c>
      <c r="C10" s="13"/>
      <c r="D10" s="82">
        <f>SUM(F10,H10,J10,L10,N10,P10,R10,T10,V10)-SUM(SMALL((F10,H10,J10,L10,N10,P10,R10,T10),1),SMALL((F10,H10,J10,L10,N10,P10,R10,T10),2))</f>
        <v>85.286609467713788</v>
      </c>
      <c r="E10" s="14" t="str">
        <f>_xlfn.XLOOKUP($B10,'GP1'!$C$6:$C$101,'GP1'!$B$6:$B$101,"")</f>
        <v/>
      </c>
      <c r="F10" s="133">
        <f>_xlfn.XLOOKUP(E10,'GP1'!$B$6:$B$55,'GP1'!$A$6:$A$55,0)</f>
        <v>0</v>
      </c>
      <c r="G10" s="14" t="str">
        <f>_xlfn.XLOOKUP($B10,'GP2'!$C$6:$C$101,'GP2'!$B$6:$B$101,"")</f>
        <v/>
      </c>
      <c r="H10" s="133">
        <f>_xlfn.XLOOKUP(G10,'GP2'!$B$6:$B$55,'GP2'!$A$6:$A$55,0)</f>
        <v>0</v>
      </c>
      <c r="I10" s="14">
        <f>_xlfn.XLOOKUP($B10,'GP3'!$C$6:$C$101,'GP3'!$B$6:$B$101,"")</f>
        <v>6</v>
      </c>
      <c r="J10" s="83">
        <f>_xlfn.XLOOKUP(I10,'GP3'!$B$6:$B$55,'GP3'!$A$6:$A$55,0)</f>
        <v>1</v>
      </c>
      <c r="K10" s="14">
        <f>_xlfn.XLOOKUP($B10,'GP4'!$C$6:$C$101,'GP4'!$B$6:$B$101,"")</f>
        <v>1</v>
      </c>
      <c r="L10" s="133">
        <f>_xlfn.XLOOKUP(K10,'GP4'!$B$6:$B$55,'GP4'!$A$6:$A$55,0)</f>
        <v>84.286609467713788</v>
      </c>
      <c r="M10" s="14" t="str">
        <f>_xlfn.XLOOKUP($B10,'GP5'!$C$6:$C$101,'GP5'!$B$6:$B$101,"")</f>
        <v/>
      </c>
      <c r="N10" s="134">
        <f>_xlfn.XLOOKUP(M10,'GP5'!$B$6:$B$55,'GP5'!$A$6:$A$55,0)</f>
        <v>0</v>
      </c>
      <c r="O10" s="14" t="str">
        <f>_xlfn.XLOOKUP($B10,'GP6'!$C$6:$C$101,'GP6'!$B$6:$B$101,"")</f>
        <v/>
      </c>
      <c r="P10" s="134">
        <f>_xlfn.XLOOKUP(O10,'GP6'!$B$6:$B$55,'GP6'!$A$6:$A$55,0)</f>
        <v>0</v>
      </c>
      <c r="Q10" s="14" t="str">
        <f>_xlfn.XLOOKUP($B10,'GP7'!$C$6:$C$101,'GP7'!$B$6:$B$101,"")</f>
        <v/>
      </c>
      <c r="R10" s="134">
        <f>_xlfn.XLOOKUP(Q10,'GP7'!$B$6:$B$55,'GP7'!$A$6:$A$55,0)</f>
        <v>0</v>
      </c>
      <c r="S10" s="14" t="str">
        <f>_xlfn.XLOOKUP($B10,'GP8'!$C$6:$C$101,'GP8'!$B$6:$B$101,"")</f>
        <v/>
      </c>
      <c r="T10" s="134">
        <f>_xlfn.XLOOKUP(S10,'GP8'!$B$6:$B$55,'GP8'!$A$6:$A$55,0)</f>
        <v>0</v>
      </c>
      <c r="U10" s="14" t="str">
        <f>_xlfn.XLOOKUP(B10,MPW!C$6:C$101,MPW!B$6:B$101,"")</f>
        <v/>
      </c>
      <c r="V10" s="134">
        <f>_xlfn.XLOOKUP(U10,MPW!B$6:B$55,MPW!A$6:A$55,0)</f>
        <v>0</v>
      </c>
    </row>
    <row r="11" spans="1:27" ht="14.8" customHeight="1" x14ac:dyDescent="0.25">
      <c r="A11" s="9">
        <f>ROW()-5</f>
        <v>6</v>
      </c>
      <c r="B11" s="12" t="s">
        <v>24</v>
      </c>
      <c r="C11" s="13"/>
      <c r="D11" s="82">
        <f>SUM(F11,H11,J11,L11,N11,P11,R11,T11,V11)-SUM(SMALL((F11,H11,J11,L11,N11,P11,R11,T11),1),SMALL((F11,H11,J11,L11,N11,P11,R11,T11),2))</f>
        <v>15.458738024508669</v>
      </c>
      <c r="E11" s="14">
        <f>_xlfn.XLOOKUP($B11,'GP1'!$C$6:$C$101,'GP1'!$B$6:$B$101,"")</f>
        <v>5</v>
      </c>
      <c r="F11" s="133">
        <f>_xlfn.XLOOKUP(E11,'GP1'!$B$6:$B$55,'GP1'!$A$6:$A$55,0)</f>
        <v>9.472713708001109</v>
      </c>
      <c r="G11" s="14">
        <f>_xlfn.XLOOKUP($B11,'GP2'!$C$6:$C$101,'GP2'!$B$6:$B$101,"")</f>
        <v>5</v>
      </c>
      <c r="H11" s="133">
        <f>_xlfn.XLOOKUP(G11,'GP2'!$B$6:$B$55,'GP2'!$A$6:$A$55,0)</f>
        <v>5.9860243165075602</v>
      </c>
      <c r="I11" s="14" t="str">
        <f>_xlfn.XLOOKUP($B11,'GP3'!$C$6:$C$101,'GP3'!$B$6:$B$101,"")</f>
        <v/>
      </c>
      <c r="J11" s="83">
        <f>_xlfn.XLOOKUP(I11,'GP3'!$B$6:$B$55,'GP3'!$A$6:$A$55,0)</f>
        <v>0</v>
      </c>
      <c r="K11" s="14" t="str">
        <f>_xlfn.XLOOKUP($B11,'GP4'!$C$6:$C$101,'GP4'!$B$6:$B$101,"")</f>
        <v/>
      </c>
      <c r="L11" s="133">
        <f>_xlfn.XLOOKUP(K11,'GP4'!$B$6:$B$55,'GP4'!$A$6:$A$55,0)</f>
        <v>0</v>
      </c>
      <c r="M11" s="14" t="str">
        <f>_xlfn.XLOOKUP($B11,'GP5'!$C$6:$C$101,'GP5'!$B$6:$B$101,"")</f>
        <v/>
      </c>
      <c r="N11" s="134">
        <f>_xlfn.XLOOKUP(M11,'GP5'!$B$6:$B$55,'GP5'!$A$6:$A$55,0)</f>
        <v>0</v>
      </c>
      <c r="O11" s="14" t="str">
        <f>_xlfn.XLOOKUP($B11,'GP6'!$C$6:$C$101,'GP6'!$B$6:$B$101,"")</f>
        <v/>
      </c>
      <c r="P11" s="134">
        <f>_xlfn.XLOOKUP(O11,'GP6'!$B$6:$B$55,'GP6'!$A$6:$A$55,0)</f>
        <v>0</v>
      </c>
      <c r="Q11" s="14" t="str">
        <f>_xlfn.XLOOKUP($B11,'GP7'!$C$6:$C$101,'GP7'!$B$6:$B$101,"")</f>
        <v/>
      </c>
      <c r="R11" s="134">
        <f>_xlfn.XLOOKUP(Q11,'GP7'!$B$6:$B$55,'GP7'!$A$6:$A$55,0)</f>
        <v>0</v>
      </c>
      <c r="S11" s="14" t="str">
        <f>_xlfn.XLOOKUP($B11,'GP8'!$C$6:$C$101,'GP8'!$B$6:$B$101,"")</f>
        <v/>
      </c>
      <c r="T11" s="134">
        <f>_xlfn.XLOOKUP(S11,'GP8'!$B$6:$B$55,'GP8'!$A$6:$A$55,0)</f>
        <v>0</v>
      </c>
      <c r="U11" s="14" t="str">
        <f>_xlfn.XLOOKUP(B11,MPW!C$6:C$101,MPW!B$6:B$101,"")</f>
        <v/>
      </c>
      <c r="V11" s="134">
        <f>_xlfn.XLOOKUP(U11,MPW!B$6:B$55,MPW!A$6:A$55,0)</f>
        <v>0</v>
      </c>
    </row>
    <row r="12" spans="1:27" ht="14.8" customHeight="1" x14ac:dyDescent="0.25">
      <c r="A12" s="9">
        <f>ROW()-5</f>
        <v>7</v>
      </c>
      <c r="B12" s="12" t="s">
        <v>100</v>
      </c>
      <c r="C12" s="13"/>
      <c r="D12" s="82">
        <f>SUM(F12,H12,J12,L12,N12,P12,R12,T12,V12)-SUM(SMALL((F12,H12,J12,L12,N12,P12,R12,T12),1),SMALL((F12,H12,J12,L12,N12,P12,R12,T12),2))</f>
        <v>5.3267487109222245</v>
      </c>
      <c r="E12" s="14" t="str">
        <f>_xlfn.XLOOKUP($B12,'GP1'!$C$6:$C$101,'GP1'!$B$6:$B$101,"")</f>
        <v/>
      </c>
      <c r="F12" s="133">
        <f>_xlfn.XLOOKUP(E12,'GP1'!$B$6:$B$55,'GP1'!$A$6:$A$55,0)</f>
        <v>0</v>
      </c>
      <c r="G12" s="14" t="str">
        <f>_xlfn.XLOOKUP($B12,'GP2'!$C$6:$C$101,'GP2'!$B$6:$B$101,"")</f>
        <v/>
      </c>
      <c r="H12" s="133">
        <f>_xlfn.XLOOKUP(G12,'GP2'!$B$6:$B$55,'GP2'!$A$6:$A$55,0)</f>
        <v>0</v>
      </c>
      <c r="I12" s="14" t="str">
        <f>_xlfn.XLOOKUP($B12,'GP3'!$C$6:$C$101,'GP3'!$B$6:$B$101,"")</f>
        <v/>
      </c>
      <c r="J12" s="83">
        <f>_xlfn.XLOOKUP(I12,'GP3'!$B$6:$B$55,'GP3'!$A$6:$A$55,0)</f>
        <v>0</v>
      </c>
      <c r="K12" s="14" t="str">
        <f>_xlfn.XLOOKUP($B12,'GP4'!$C$6:$C$101,'GP4'!$B$6:$B$101,"")</f>
        <v/>
      </c>
      <c r="L12" s="133">
        <f>_xlfn.XLOOKUP(K12,'GP4'!$B$6:$B$55,'GP4'!$A$6:$A$55,0)</f>
        <v>0</v>
      </c>
      <c r="M12" s="14" t="str">
        <f>_xlfn.XLOOKUP($B12,'GP5'!$C$6:$C$101,'GP5'!$B$6:$B$101,"")</f>
        <v/>
      </c>
      <c r="N12" s="134">
        <f>_xlfn.XLOOKUP(M12,'GP5'!$B$6:$B$55,'GP5'!$A$6:$A$55,0)</f>
        <v>0</v>
      </c>
      <c r="O12" s="14" t="str">
        <f>_xlfn.XLOOKUP($B12,'GP6'!$C$6:$C$101,'GP6'!$B$6:$B$101,"")</f>
        <v/>
      </c>
      <c r="P12" s="134">
        <f>_xlfn.XLOOKUP(O12,'GP6'!$B$6:$B$55,'GP6'!$A$6:$A$55,0)</f>
        <v>0</v>
      </c>
      <c r="Q12" s="14" t="str">
        <f>_xlfn.XLOOKUP($B12,'GP7'!$C$6:$C$101,'GP7'!$B$6:$B$101,"")</f>
        <v/>
      </c>
      <c r="R12" s="134">
        <f>_xlfn.XLOOKUP(Q12,'GP7'!$B$6:$B$55,'GP7'!$A$6:$A$55,0)</f>
        <v>0</v>
      </c>
      <c r="S12" s="14">
        <f>_xlfn.XLOOKUP($B12,'GP8'!$C$6:$C$101,'GP8'!$B$6:$B$101,"")</f>
        <v>3</v>
      </c>
      <c r="T12" s="134">
        <f>_xlfn.XLOOKUP(S12,'GP8'!$B$6:$B$55,'GP8'!$A$6:$A$55,0)</f>
        <v>5.3267487109222245</v>
      </c>
      <c r="U12" s="14" t="str">
        <f>_xlfn.XLOOKUP(B12,MPW!C$6:C$101,MPW!B$6:B$101,"")</f>
        <v/>
      </c>
      <c r="V12" s="134">
        <f>_xlfn.XLOOKUP(U12,MPW!B$6:B$55,MPW!A$6:A$55,0)</f>
        <v>0</v>
      </c>
    </row>
    <row r="13" spans="1:27" ht="14.8" customHeight="1" x14ac:dyDescent="0.25">
      <c r="A13" s="9">
        <f>ROW()-5</f>
        <v>8</v>
      </c>
      <c r="B13" s="10" t="s">
        <v>25</v>
      </c>
      <c r="C13" s="13"/>
      <c r="D13" s="82">
        <f>SUM(F13,H13,J13,L13,N13,P13,R13,T13,V13)-SUM(SMALL((F13,H13,J13,L13,N13,P13,R13,T13),1),SMALL((F13,H13,J13,L13,N13,P13,R13,T13),2))</f>
        <v>2</v>
      </c>
      <c r="E13" s="14">
        <f>_xlfn.XLOOKUP($B13,'GP1'!$C$6:$C$101,'GP1'!$B$6:$B$101,"")</f>
        <v>7</v>
      </c>
      <c r="F13" s="133">
        <f>_xlfn.XLOOKUP(E13,'GP1'!$B$6:$B$55,'GP1'!$A$6:$A$55,0)</f>
        <v>1</v>
      </c>
      <c r="G13" s="14">
        <f>_xlfn.XLOOKUP($B13,'GP2'!$C$6:$C$101,'GP2'!$B$6:$B$101,"")</f>
        <v>6</v>
      </c>
      <c r="H13" s="133">
        <f>_xlfn.XLOOKUP(G13,'GP2'!$B$6:$B$55,'GP2'!$A$6:$A$55,0)</f>
        <v>1</v>
      </c>
      <c r="I13" s="14" t="str">
        <f>_xlfn.XLOOKUP($B13,'GP3'!$C$6:$C$101,'GP3'!$B$6:$B$101,"")</f>
        <v/>
      </c>
      <c r="J13" s="83">
        <f>_xlfn.XLOOKUP(I13,'GP3'!$B$6:$B$55,'GP3'!$A$6:$A$55,0)</f>
        <v>0</v>
      </c>
      <c r="K13" s="14" t="str">
        <f>_xlfn.XLOOKUP($B13,'GP4'!$C$6:$C$101,'GP4'!$B$6:$B$101,"")</f>
        <v/>
      </c>
      <c r="L13" s="133">
        <f>_xlfn.XLOOKUP(K13,'GP4'!$B$6:$B$55,'GP4'!$A$6:$A$55,0)</f>
        <v>0</v>
      </c>
      <c r="M13" s="14" t="str">
        <f>_xlfn.XLOOKUP($B13,'GP5'!$C$6:$C$101,'GP5'!$B$6:$B$101,"")</f>
        <v/>
      </c>
      <c r="N13" s="134">
        <f>_xlfn.XLOOKUP(M13,'GP5'!$B$6:$B$55,'GP5'!$A$6:$A$55,0)</f>
        <v>0</v>
      </c>
      <c r="O13" s="14" t="str">
        <f>_xlfn.XLOOKUP($B13,'GP6'!$C$6:$C$101,'GP6'!$B$6:$B$101,"")</f>
        <v/>
      </c>
      <c r="P13" s="134">
        <f>_xlfn.XLOOKUP(O13,'GP6'!$B$6:$B$55,'GP6'!$A$6:$A$55,0)</f>
        <v>0</v>
      </c>
      <c r="Q13" s="14" t="str">
        <f>_xlfn.XLOOKUP($B13,'GP7'!$C$6:$C$101,'GP7'!$B$6:$B$101,"")</f>
        <v/>
      </c>
      <c r="R13" s="134">
        <f>_xlfn.XLOOKUP(Q13,'GP7'!$B$6:$B$55,'GP7'!$A$6:$A$55,0)</f>
        <v>0</v>
      </c>
      <c r="S13" s="14" t="str">
        <f>_xlfn.XLOOKUP($B13,'GP8'!$C$6:$C$101,'GP8'!$B$6:$B$101,"")</f>
        <v/>
      </c>
      <c r="T13" s="134">
        <f>_xlfn.XLOOKUP(S13,'GP8'!$B$6:$B$55,'GP8'!$A$6:$A$55,0)</f>
        <v>0</v>
      </c>
      <c r="U13" s="14" t="str">
        <f>_xlfn.XLOOKUP(B13,MPW!C$6:C$101,MPW!B$6:B$101,"")</f>
        <v/>
      </c>
      <c r="V13" s="134">
        <f>_xlfn.XLOOKUP(U13,MPW!B$6:B$55,MPW!A$6:A$55,0)</f>
        <v>0</v>
      </c>
    </row>
    <row r="14" spans="1:27" ht="14.8" customHeight="1" x14ac:dyDescent="0.25">
      <c r="A14" s="9">
        <f>ROW()-5</f>
        <v>9</v>
      </c>
      <c r="B14" s="12"/>
      <c r="C14" s="138"/>
      <c r="D14" s="82">
        <f>SUM(F14,H14,J14,L14,N14,P14,R14,T14,V14)-SUM(SMALL((F14,H14,J14,L14,N14,P14,R14,T14),1),SMALL((F14,H14,J14,L14,N14,P14,R14,T14),2))</f>
        <v>0</v>
      </c>
      <c r="E14" s="14" t="str">
        <f>_xlfn.XLOOKUP($B14,'GP1'!$C$6:$C$101,'GP1'!$B$6:$B$101,"")</f>
        <v/>
      </c>
      <c r="F14" s="133">
        <f>_xlfn.XLOOKUP(E14,'GP1'!$B$6:$B$55,'GP1'!$A$6:$A$55,0)</f>
        <v>0</v>
      </c>
      <c r="G14" s="14">
        <f>_xlfn.XLOOKUP($B14,'GP2'!$C$6:$C$101,'GP2'!$B$6:$B$101,"")</f>
        <v>0</v>
      </c>
      <c r="H14" s="133">
        <f>_xlfn.XLOOKUP(G14,'GP2'!$B$6:$B$55,'GP2'!$A$6:$A$55,0)</f>
        <v>0</v>
      </c>
      <c r="I14" s="14" t="str">
        <f>_xlfn.XLOOKUP($B14,'GP3'!$C$6:$C$101,'GP3'!$B$6:$B$101,"")</f>
        <v/>
      </c>
      <c r="J14" s="83">
        <f>_xlfn.XLOOKUP(I14,'GP3'!$B$6:$B$55,'GP3'!$A$6:$A$55,0)</f>
        <v>0</v>
      </c>
      <c r="K14" s="14" t="str">
        <f>_xlfn.XLOOKUP($B14,'GP4'!$C$6:$C$101,'GP4'!$B$6:$B$101,"")</f>
        <v/>
      </c>
      <c r="L14" s="133">
        <f>_xlfn.XLOOKUP(K14,'GP4'!$B$6:$B$55,'GP4'!$A$6:$A$55,0)</f>
        <v>0</v>
      </c>
      <c r="M14" s="14">
        <f>_xlfn.XLOOKUP($B14,'GP5'!$C$6:$C$101,'GP5'!$B$6:$B$101,"")</f>
        <v>0</v>
      </c>
      <c r="N14" s="134">
        <f>_xlfn.XLOOKUP(M14,'GP5'!$B$6:$B$55,'GP5'!$A$6:$A$55,0)</f>
        <v>0</v>
      </c>
      <c r="O14" s="14">
        <f>_xlfn.XLOOKUP($B14,'GP6'!$C$6:$C$101,'GP6'!$B$6:$B$101,"")</f>
        <v>0</v>
      </c>
      <c r="P14" s="134">
        <f>_xlfn.XLOOKUP(O14,'GP6'!$B$6:$B$55,'GP6'!$A$6:$A$55,0)</f>
        <v>0</v>
      </c>
      <c r="Q14" s="14" t="str">
        <f>_xlfn.XLOOKUP($B14,'GP7'!$C$6:$C$101,'GP7'!$B$6:$B$101,"")</f>
        <v/>
      </c>
      <c r="R14" s="134">
        <f>_xlfn.XLOOKUP(Q14,'GP7'!$B$6:$B$55,'GP7'!$A$6:$A$55,0)</f>
        <v>0</v>
      </c>
      <c r="S14" s="14" t="str">
        <f>_xlfn.XLOOKUP($B14,'GP8'!$C$6:$C$101,'GP8'!$B$6:$B$101,"")</f>
        <v/>
      </c>
      <c r="T14" s="134">
        <f>_xlfn.XLOOKUP(S14,'GP8'!$B$6:$B$55,'GP8'!$A$6:$A$55,0)</f>
        <v>0</v>
      </c>
      <c r="U14" s="14" t="str">
        <f>_xlfn.XLOOKUP(B14,MPW!C$6:C$101,MPW!B$6:B$101,"")</f>
        <v/>
      </c>
      <c r="V14" s="134">
        <f>_xlfn.XLOOKUP(U14,MPW!B$6:B$55,MPW!A$6:A$55,0)</f>
        <v>0</v>
      </c>
    </row>
    <row r="15" spans="1:27" ht="14.8" customHeight="1" x14ac:dyDescent="0.25">
      <c r="A15" s="9">
        <f>ROW()-5</f>
        <v>10</v>
      </c>
      <c r="B15" s="12"/>
      <c r="C15" s="13"/>
      <c r="D15" s="82">
        <f>SUM(F15,H15,J15,L15,N15,P15,R15,T15,V15)-SUM(SMALL((F15,H15,J15,L15,N15,P15,R15,T15),1),SMALL((F15,H15,J15,L15,N15,P15,R15,T15),2))</f>
        <v>0</v>
      </c>
      <c r="E15" s="14" t="str">
        <f>_xlfn.XLOOKUP($B15,'GP1'!$C$6:$C$101,'GP1'!$B$6:$B$101,"")</f>
        <v/>
      </c>
      <c r="F15" s="133">
        <f>_xlfn.XLOOKUP(E15,'GP1'!$B$6:$B$55,'GP1'!$A$6:$A$55,0)</f>
        <v>0</v>
      </c>
      <c r="G15" s="14">
        <f>_xlfn.XLOOKUP($B15,'GP2'!$C$6:$C$101,'GP2'!$B$6:$B$101,"")</f>
        <v>0</v>
      </c>
      <c r="H15" s="133">
        <f>_xlfn.XLOOKUP(G15,'GP2'!$B$6:$B$55,'GP2'!$A$6:$A$55,0)</f>
        <v>0</v>
      </c>
      <c r="I15" s="14" t="str">
        <f>_xlfn.XLOOKUP($B15,'GP3'!$C$6:$C$101,'GP3'!$B$6:$B$101,"")</f>
        <v/>
      </c>
      <c r="J15" s="83">
        <f>_xlfn.XLOOKUP(I15,'GP3'!$B$6:$B$55,'GP3'!$A$6:$A$55,0)</f>
        <v>0</v>
      </c>
      <c r="K15" s="14" t="str">
        <f>_xlfn.XLOOKUP($B15,'GP4'!$C$6:$C$101,'GP4'!$B$6:$B$101,"")</f>
        <v/>
      </c>
      <c r="L15" s="133">
        <f>_xlfn.XLOOKUP(K15,'GP4'!$B$6:$B$55,'GP4'!$A$6:$A$55,0)</f>
        <v>0</v>
      </c>
      <c r="M15" s="14">
        <f>_xlfn.XLOOKUP($B15,'GP5'!$C$6:$C$101,'GP5'!$B$6:$B$101,"")</f>
        <v>0</v>
      </c>
      <c r="N15" s="134">
        <f>_xlfn.XLOOKUP(M15,'GP5'!$B$6:$B$55,'GP5'!$A$6:$A$55,0)</f>
        <v>0</v>
      </c>
      <c r="O15" s="14">
        <f>_xlfn.XLOOKUP($B15,'GP6'!$C$6:$C$101,'GP6'!$B$6:$B$101,"")</f>
        <v>0</v>
      </c>
      <c r="P15" s="134">
        <f>_xlfn.XLOOKUP(O15,'GP6'!$B$6:$B$55,'GP6'!$A$6:$A$55,0)</f>
        <v>0</v>
      </c>
      <c r="Q15" s="14" t="str">
        <f>_xlfn.XLOOKUP($B15,'GP7'!$C$6:$C$101,'GP7'!$B$6:$B$101,"")</f>
        <v/>
      </c>
      <c r="R15" s="134">
        <f>_xlfn.XLOOKUP(Q15,'GP7'!$B$6:$B$55,'GP7'!$A$6:$A$55,0)</f>
        <v>0</v>
      </c>
      <c r="S15" s="14" t="str">
        <f>_xlfn.XLOOKUP($B15,'GP8'!$C$6:$C$101,'GP8'!$B$6:$B$101,"")</f>
        <v/>
      </c>
      <c r="T15" s="134">
        <f>_xlfn.XLOOKUP(S15,'GP8'!$B$6:$B$55,'GP8'!$A$6:$A$55,0)</f>
        <v>0</v>
      </c>
      <c r="U15" s="14" t="str">
        <f>_xlfn.XLOOKUP(B15,MPW!C$6:C$101,MPW!B$6:B$101,"")</f>
        <v/>
      </c>
      <c r="V15" s="134">
        <f>_xlfn.XLOOKUP(U15,MPW!B$6:B$55,MPW!A$6:A$55,0)</f>
        <v>0</v>
      </c>
    </row>
    <row r="16" spans="1:27" ht="14.8" customHeight="1" x14ac:dyDescent="0.25">
      <c r="A16" s="9">
        <f>ROW()-5</f>
        <v>11</v>
      </c>
      <c r="B16" s="12"/>
      <c r="C16" s="13"/>
      <c r="D16" s="82">
        <f>SUM(F16,H16,J16,L16,N16,P16,R16,T16,V16)-SUM(SMALL((F16,H16,J16,L16,N16,P16,R16,T16),1),SMALL((F16,H16,J16,L16,N16,P16,R16,T16),2))</f>
        <v>0</v>
      </c>
      <c r="E16" s="14" t="str">
        <f>_xlfn.XLOOKUP($B16,'GP1'!$C$6:$C$101,'GP1'!$B$6:$B$101,"")</f>
        <v/>
      </c>
      <c r="F16" s="133">
        <f>_xlfn.XLOOKUP(E16,'GP1'!$B$6:$B$55,'GP1'!$A$6:$A$55,0)</f>
        <v>0</v>
      </c>
      <c r="G16" s="14">
        <f>_xlfn.XLOOKUP($B16,'GP2'!$C$6:$C$101,'GP2'!$B$6:$B$101,"")</f>
        <v>0</v>
      </c>
      <c r="H16" s="133">
        <f>_xlfn.XLOOKUP(G16,'GP2'!$B$6:$B$55,'GP2'!$A$6:$A$55,0)</f>
        <v>0</v>
      </c>
      <c r="I16" s="14" t="str">
        <f>_xlfn.XLOOKUP($B16,'GP3'!$C$6:$C$101,'GP3'!$B$6:$B$101,"")</f>
        <v/>
      </c>
      <c r="J16" s="83">
        <f>_xlfn.XLOOKUP(I16,'GP3'!$B$6:$B$55,'GP3'!$A$6:$A$55,0)</f>
        <v>0</v>
      </c>
      <c r="K16" s="14" t="str">
        <f>_xlfn.XLOOKUP($B16,'GP4'!$C$6:$C$101,'GP4'!$B$6:$B$101,"")</f>
        <v/>
      </c>
      <c r="L16" s="133">
        <f>_xlfn.XLOOKUP(K16,'GP4'!$B$6:$B$55,'GP4'!$A$6:$A$55,0)</f>
        <v>0</v>
      </c>
      <c r="M16" s="14">
        <f>_xlfn.XLOOKUP($B16,'GP5'!$C$6:$C$101,'GP5'!$B$6:$B$101,"")</f>
        <v>0</v>
      </c>
      <c r="N16" s="134">
        <f>_xlfn.XLOOKUP(M16,'GP5'!$B$6:$B$55,'GP5'!$A$6:$A$55,0)</f>
        <v>0</v>
      </c>
      <c r="O16" s="14">
        <f>_xlfn.XLOOKUP($B16,'GP6'!$C$6:$C$101,'GP6'!$B$6:$B$101,"")</f>
        <v>0</v>
      </c>
      <c r="P16" s="134">
        <f>_xlfn.XLOOKUP(O16,'GP6'!$B$6:$B$55,'GP6'!$A$6:$A$55,0)</f>
        <v>0</v>
      </c>
      <c r="Q16" s="14" t="str">
        <f>_xlfn.XLOOKUP($B16,'GP7'!$C$6:$C$101,'GP7'!$B$6:$B$101,"")</f>
        <v/>
      </c>
      <c r="R16" s="134">
        <f>_xlfn.XLOOKUP(Q16,'GP7'!$B$6:$B$55,'GP7'!$A$6:$A$55,0)</f>
        <v>0</v>
      </c>
      <c r="S16" s="14" t="str">
        <f>_xlfn.XLOOKUP($B16,'GP8'!$C$6:$C$101,'GP8'!$B$6:$B$101,"")</f>
        <v/>
      </c>
      <c r="T16" s="134">
        <f>_xlfn.XLOOKUP(S16,'GP8'!$B$6:$B$55,'GP8'!$A$6:$A$55,0)</f>
        <v>0</v>
      </c>
      <c r="U16" s="14" t="str">
        <f>_xlfn.XLOOKUP(B16,MPW!C$6:C$101,MPW!B$6:B$101,"")</f>
        <v/>
      </c>
      <c r="V16" s="134">
        <f>_xlfn.XLOOKUP(U16,MPW!B$6:B$55,MPW!A$6:A$55,0)</f>
        <v>0</v>
      </c>
    </row>
    <row r="17" spans="1:22" ht="14.8" customHeight="1" x14ac:dyDescent="0.25">
      <c r="A17" s="9">
        <f>ROW()-5</f>
        <v>12</v>
      </c>
      <c r="B17" s="12"/>
      <c r="C17" s="13"/>
      <c r="D17" s="82">
        <f>SUM(F17,H17,J17,L17,N17,P17,R17,T17,V17)-SUM(SMALL((F17,H17,J17,L17,N17,P17,R17,T17),1),SMALL((F17,H17,J17,L17,N17,P17,R17,T17),2))</f>
        <v>0</v>
      </c>
      <c r="E17" s="14" t="str">
        <f>_xlfn.XLOOKUP($B17,'GP1'!$C$6:$C$101,'GP1'!$B$6:$B$101,"")</f>
        <v/>
      </c>
      <c r="F17" s="133">
        <f>_xlfn.XLOOKUP(E17,'GP1'!$B$6:$B$55,'GP1'!$A$6:$A$55,0)</f>
        <v>0</v>
      </c>
      <c r="G17" s="14">
        <f>_xlfn.XLOOKUP($B17,'GP2'!$C$6:$C$101,'GP2'!$B$6:$B$101,"")</f>
        <v>0</v>
      </c>
      <c r="H17" s="133">
        <f>_xlfn.XLOOKUP(G17,'GP2'!$B$6:$B$55,'GP2'!$A$6:$A$55,0)</f>
        <v>0</v>
      </c>
      <c r="I17" s="14" t="str">
        <f>_xlfn.XLOOKUP($B17,'GP3'!$C$6:$C$101,'GP3'!$B$6:$B$101,"")</f>
        <v/>
      </c>
      <c r="J17" s="83">
        <f>_xlfn.XLOOKUP(I17,'GP3'!$B$6:$B$55,'GP3'!$A$6:$A$55,0)</f>
        <v>0</v>
      </c>
      <c r="K17" s="14" t="str">
        <f>_xlfn.XLOOKUP($B17,'GP4'!$C$6:$C$101,'GP4'!$B$6:$B$101,"")</f>
        <v/>
      </c>
      <c r="L17" s="133">
        <f>_xlfn.XLOOKUP(K17,'GP4'!$B$6:$B$55,'GP4'!$A$6:$A$55,0)</f>
        <v>0</v>
      </c>
      <c r="M17" s="14">
        <f>_xlfn.XLOOKUP($B17,'GP5'!$C$6:$C$101,'GP5'!$B$6:$B$101,"")</f>
        <v>0</v>
      </c>
      <c r="N17" s="134">
        <f>_xlfn.XLOOKUP(M17,'GP5'!$B$6:$B$55,'GP5'!$A$6:$A$55,0)</f>
        <v>0</v>
      </c>
      <c r="O17" s="14">
        <f>_xlfn.XLOOKUP($B17,'GP6'!$C$6:$C$101,'GP6'!$B$6:$B$101,"")</f>
        <v>0</v>
      </c>
      <c r="P17" s="134">
        <f>_xlfn.XLOOKUP(O17,'GP6'!$B$6:$B$55,'GP6'!$A$6:$A$55,0)</f>
        <v>0</v>
      </c>
      <c r="Q17" s="14" t="str">
        <f>_xlfn.XLOOKUP($B17,'GP7'!$C$6:$C$101,'GP7'!$B$6:$B$101,"")</f>
        <v/>
      </c>
      <c r="R17" s="134">
        <f>_xlfn.XLOOKUP(Q17,'GP7'!$B$6:$B$55,'GP7'!$A$6:$A$55,0)</f>
        <v>0</v>
      </c>
      <c r="S17" s="14" t="str">
        <f>_xlfn.XLOOKUP($B17,'GP8'!$C$6:$C$101,'GP8'!$B$6:$B$101,"")</f>
        <v/>
      </c>
      <c r="T17" s="134">
        <f>_xlfn.XLOOKUP(S17,'GP8'!$B$6:$B$55,'GP8'!$A$6:$A$55,0)</f>
        <v>0</v>
      </c>
      <c r="U17" s="14" t="str">
        <f>_xlfn.XLOOKUP(B17,MPW!C$6:C$101,MPW!B$6:B$101,"")</f>
        <v/>
      </c>
      <c r="V17" s="134">
        <f>_xlfn.XLOOKUP(U17,MPW!B$6:B$55,MPW!A$6:A$55,0)</f>
        <v>0</v>
      </c>
    </row>
    <row r="18" spans="1:22" ht="14.8" customHeight="1" x14ac:dyDescent="0.25">
      <c r="A18" s="9">
        <f>ROW()-5</f>
        <v>13</v>
      </c>
      <c r="B18" s="74"/>
      <c r="C18" s="13"/>
      <c r="D18" s="82">
        <f>SUM(F18,H18,J18,L18,N18,P18,R18,T18,V18)-SUM(SMALL((F18,H18,J18,L18,N18,P18,R18,T18),1),SMALL((F18,H18,J18,L18,N18,P18,R18,T18),2))</f>
        <v>0</v>
      </c>
      <c r="E18" s="14" t="str">
        <f>_xlfn.XLOOKUP($B18,'GP1'!$C$6:$C$101,'GP1'!$B$6:$B$101,"")</f>
        <v/>
      </c>
      <c r="F18" s="133">
        <f>_xlfn.XLOOKUP(E18,'GP1'!$B$6:$B$55,'GP1'!$A$6:$A$55,0)</f>
        <v>0</v>
      </c>
      <c r="G18" s="14">
        <f>_xlfn.XLOOKUP($B18,'GP2'!$C$6:$C$101,'GP2'!$B$6:$B$101,"")</f>
        <v>0</v>
      </c>
      <c r="H18" s="133">
        <f>_xlfn.XLOOKUP(G18,'GP2'!$B$6:$B$55,'GP2'!$A$6:$A$55,0)</f>
        <v>0</v>
      </c>
      <c r="I18" s="14" t="str">
        <f>_xlfn.XLOOKUP($B18,'GP3'!$C$6:$C$101,'GP3'!$B$6:$B$101,"")</f>
        <v/>
      </c>
      <c r="J18" s="83">
        <f>_xlfn.XLOOKUP(I18,'GP3'!$B$6:$B$55,'GP3'!$A$6:$A$55,0)</f>
        <v>0</v>
      </c>
      <c r="K18" s="14" t="str">
        <f>_xlfn.XLOOKUP($B18,'GP4'!$C$6:$C$101,'GP4'!$B$6:$B$101,"")</f>
        <v/>
      </c>
      <c r="L18" s="133">
        <f>_xlfn.XLOOKUP(K18,'GP4'!$B$6:$B$55,'GP4'!$A$6:$A$55,0)</f>
        <v>0</v>
      </c>
      <c r="M18" s="14">
        <f>_xlfn.XLOOKUP($B18,'GP5'!$C$6:$C$101,'GP5'!$B$6:$B$101,"")</f>
        <v>0</v>
      </c>
      <c r="N18" s="134">
        <f>_xlfn.XLOOKUP(M18,'GP5'!$B$6:$B$55,'GP5'!$A$6:$A$55,0)</f>
        <v>0</v>
      </c>
      <c r="O18" s="14">
        <f>_xlfn.XLOOKUP($B18,'GP6'!$C$6:$C$101,'GP6'!$B$6:$B$101,"")</f>
        <v>0</v>
      </c>
      <c r="P18" s="134">
        <f>_xlfn.XLOOKUP(O18,'GP6'!$B$6:$B$55,'GP6'!$A$6:$A$55,0)</f>
        <v>0</v>
      </c>
      <c r="Q18" s="14" t="str">
        <f>_xlfn.XLOOKUP($B18,'GP7'!$C$6:$C$101,'GP7'!$B$6:$B$101,"")</f>
        <v/>
      </c>
      <c r="R18" s="134">
        <f>_xlfn.XLOOKUP(Q18,'GP7'!$B$6:$B$55,'GP7'!$A$6:$A$55,0)</f>
        <v>0</v>
      </c>
      <c r="S18" s="14" t="str">
        <f>_xlfn.XLOOKUP($B18,'GP8'!$C$6:$C$101,'GP8'!$B$6:$B$101,"")</f>
        <v/>
      </c>
      <c r="T18" s="134">
        <f>_xlfn.XLOOKUP(S18,'GP8'!$B$6:$B$55,'GP8'!$A$6:$A$55,0)</f>
        <v>0</v>
      </c>
      <c r="U18" s="14" t="str">
        <f>_xlfn.XLOOKUP(B18,MPW!C$6:C$101,MPW!B$6:B$101,"")</f>
        <v/>
      </c>
      <c r="V18" s="134">
        <f>_xlfn.XLOOKUP(U18,MPW!B$6:B$55,MPW!A$6:A$55,0)</f>
        <v>0</v>
      </c>
    </row>
    <row r="19" spans="1:22" ht="14.8" customHeight="1" x14ac:dyDescent="0.25">
      <c r="A19" s="9">
        <f>ROW()-5</f>
        <v>14</v>
      </c>
      <c r="B19" s="10"/>
      <c r="C19" s="13"/>
      <c r="D19" s="82">
        <f>SUM(F19,H19,J19,L19,N19,P19,R19,T19,V19)-SUM(SMALL((F19,H19,J19,L19,N19,P19,R19,T19),1),SMALL((F19,H19,J19,L19,N19,P19,R19,T19),2))</f>
        <v>0</v>
      </c>
      <c r="E19" s="14" t="str">
        <f>_xlfn.XLOOKUP($B19,'GP1'!$C$6:$C$101,'GP1'!$B$6:$B$101,"")</f>
        <v/>
      </c>
      <c r="F19" s="133">
        <f>_xlfn.XLOOKUP(E19,'GP1'!$B$6:$B$55,'GP1'!$A$6:$A$55,0)</f>
        <v>0</v>
      </c>
      <c r="G19" s="14">
        <f>_xlfn.XLOOKUP($B19,'GP2'!$C$6:$C$101,'GP2'!$B$6:$B$101,"")</f>
        <v>0</v>
      </c>
      <c r="H19" s="133">
        <f>_xlfn.XLOOKUP(G19,'GP2'!$B$6:$B$55,'GP2'!$A$6:$A$55,0)</f>
        <v>0</v>
      </c>
      <c r="I19" s="14" t="str">
        <f>_xlfn.XLOOKUP($B19,'GP3'!$C$6:$C$101,'GP3'!$B$6:$B$101,"")</f>
        <v/>
      </c>
      <c r="J19" s="83">
        <f>_xlfn.XLOOKUP(I19,'GP3'!$B$6:$B$55,'GP3'!$A$6:$A$55,0)</f>
        <v>0</v>
      </c>
      <c r="K19" s="14" t="str">
        <f>_xlfn.XLOOKUP($B19,'GP4'!$C$6:$C$101,'GP4'!$B$6:$B$101,"")</f>
        <v/>
      </c>
      <c r="L19" s="133">
        <f>_xlfn.XLOOKUP(K19,'GP4'!$B$6:$B$55,'GP4'!$A$6:$A$55,0)</f>
        <v>0</v>
      </c>
      <c r="M19" s="14">
        <f>_xlfn.XLOOKUP($B19,'GP5'!$C$6:$C$101,'GP5'!$B$6:$B$101,"")</f>
        <v>0</v>
      </c>
      <c r="N19" s="134">
        <f>_xlfn.XLOOKUP(M19,'GP5'!$B$6:$B$55,'GP5'!$A$6:$A$55,0)</f>
        <v>0</v>
      </c>
      <c r="O19" s="14">
        <f>_xlfn.XLOOKUP($B19,'GP6'!$C$6:$C$101,'GP6'!$B$6:$B$101,"")</f>
        <v>0</v>
      </c>
      <c r="P19" s="134">
        <f>_xlfn.XLOOKUP(O19,'GP6'!$B$6:$B$55,'GP6'!$A$6:$A$55,0)</f>
        <v>0</v>
      </c>
      <c r="Q19" s="14" t="str">
        <f>_xlfn.XLOOKUP($B19,'GP7'!$C$6:$C$101,'GP7'!$B$6:$B$101,"")</f>
        <v/>
      </c>
      <c r="R19" s="134">
        <f>_xlfn.XLOOKUP(Q19,'GP7'!$B$6:$B$55,'GP7'!$A$6:$A$55,0)</f>
        <v>0</v>
      </c>
      <c r="S19" s="14" t="str">
        <f>_xlfn.XLOOKUP($B19,'GP8'!$C$6:$C$101,'GP8'!$B$6:$B$101,"")</f>
        <v/>
      </c>
      <c r="T19" s="134">
        <f>_xlfn.XLOOKUP(S19,'GP8'!$B$6:$B$55,'GP8'!$A$6:$A$55,0)</f>
        <v>0</v>
      </c>
      <c r="U19" s="14" t="str">
        <f>_xlfn.XLOOKUP(B19,MPW!C$6:C$101,MPW!B$6:B$101,"")</f>
        <v/>
      </c>
      <c r="V19" s="134">
        <f>_xlfn.XLOOKUP(U19,MPW!B$6:B$55,MPW!A$6:A$55,0)</f>
        <v>0</v>
      </c>
    </row>
    <row r="20" spans="1:22" ht="14.8" customHeight="1" x14ac:dyDescent="0.25">
      <c r="A20" s="9">
        <f>ROW()-5</f>
        <v>15</v>
      </c>
      <c r="B20" s="12"/>
      <c r="C20" s="13"/>
      <c r="D20" s="82">
        <f>SUM(F20,H20,J20,L20,N20,P20,R20,T20,V20)-SUM(SMALL((F20,H20,J20,L20,N20,P20,R20,T20),1),SMALL((F20,H20,J20,L20,N20,P20,R20,T20),2))</f>
        <v>0</v>
      </c>
      <c r="E20" s="14" t="str">
        <f>_xlfn.XLOOKUP($B20,'GP1'!$C$6:$C$101,'GP1'!$B$6:$B$101,"")</f>
        <v/>
      </c>
      <c r="F20" s="133">
        <f>_xlfn.XLOOKUP(E20,'GP1'!$B$6:$B$55,'GP1'!$A$6:$A$55,0)</f>
        <v>0</v>
      </c>
      <c r="G20" s="14">
        <f>_xlfn.XLOOKUP($B20,'GP2'!$C$6:$C$101,'GP2'!$B$6:$B$101,"")</f>
        <v>0</v>
      </c>
      <c r="H20" s="133">
        <f>_xlfn.XLOOKUP(G20,'GP2'!$B$6:$B$55,'GP2'!$A$6:$A$55,0)</f>
        <v>0</v>
      </c>
      <c r="I20" s="14" t="str">
        <f>_xlfn.XLOOKUP($B20,'GP3'!$C$6:$C$101,'GP3'!$B$6:$B$101,"")</f>
        <v/>
      </c>
      <c r="J20" s="83">
        <f>_xlfn.XLOOKUP(I20,'GP3'!$B$6:$B$55,'GP3'!$A$6:$A$55,0)</f>
        <v>0</v>
      </c>
      <c r="K20" s="14" t="str">
        <f>_xlfn.XLOOKUP($B20,'GP4'!$C$6:$C$101,'GP4'!$B$6:$B$101,"")</f>
        <v/>
      </c>
      <c r="L20" s="133">
        <f>_xlfn.XLOOKUP(K20,'GP4'!$B$6:$B$55,'GP4'!$A$6:$A$55,0)</f>
        <v>0</v>
      </c>
      <c r="M20" s="14">
        <f>_xlfn.XLOOKUP($B20,'GP5'!$C$6:$C$101,'GP5'!$B$6:$B$101,"")</f>
        <v>0</v>
      </c>
      <c r="N20" s="134">
        <f>_xlfn.XLOOKUP(M20,'GP5'!$B$6:$B$55,'GP5'!$A$6:$A$55,0)</f>
        <v>0</v>
      </c>
      <c r="O20" s="14">
        <f>_xlfn.XLOOKUP($B20,'GP6'!$C$6:$C$101,'GP6'!$B$6:$B$101,"")</f>
        <v>0</v>
      </c>
      <c r="P20" s="134">
        <f>_xlfn.XLOOKUP(O20,'GP6'!$B$6:$B$55,'GP6'!$A$6:$A$55,0)</f>
        <v>0</v>
      </c>
      <c r="Q20" s="14" t="str">
        <f>_xlfn.XLOOKUP($B20,'GP7'!$C$6:$C$101,'GP7'!$B$6:$B$101,"")</f>
        <v/>
      </c>
      <c r="R20" s="134">
        <f>_xlfn.XLOOKUP(Q20,'GP7'!$B$6:$B$55,'GP7'!$A$6:$A$55,0)</f>
        <v>0</v>
      </c>
      <c r="S20" s="14" t="str">
        <f>_xlfn.XLOOKUP($B20,'GP8'!$C$6:$C$101,'GP8'!$B$6:$B$101,"")</f>
        <v/>
      </c>
      <c r="T20" s="134">
        <f>_xlfn.XLOOKUP(S20,'GP8'!$B$6:$B$55,'GP8'!$A$6:$A$55,0)</f>
        <v>0</v>
      </c>
      <c r="U20" s="14" t="str">
        <f>_xlfn.XLOOKUP(B20,MPW!C$6:C$101,MPW!B$6:B$101,"")</f>
        <v/>
      </c>
      <c r="V20" s="134">
        <f>_xlfn.XLOOKUP(U20,MPW!B$6:B$55,MPW!A$6:A$55,0)</f>
        <v>0</v>
      </c>
    </row>
    <row r="21" spans="1:22" ht="14.8" customHeight="1" x14ac:dyDescent="0.25">
      <c r="A21" s="9">
        <f>ROW()-5</f>
        <v>16</v>
      </c>
      <c r="B21" s="12"/>
      <c r="C21" s="13"/>
      <c r="D21" s="82">
        <f>SUM(F21,H21,J21,L21,N21,P21,R21,T21,V21)-SUM(SMALL((F21,H21,J21,L21,N21,P21,R21,T21),1),SMALL((F21,H21,J21,L21,N21,P21,R21,T21),2))</f>
        <v>0</v>
      </c>
      <c r="E21" s="14" t="str">
        <f>_xlfn.XLOOKUP($B21,'GP1'!$C$6:$C$101,'GP1'!$B$6:$B$101,"")</f>
        <v/>
      </c>
      <c r="F21" s="133">
        <f>_xlfn.XLOOKUP(E21,'GP1'!$B$6:$B$55,'GP1'!$A$6:$A$55,0)</f>
        <v>0</v>
      </c>
      <c r="G21" s="14">
        <f>_xlfn.XLOOKUP($B21,'GP2'!$C$6:$C$101,'GP2'!$B$6:$B$101,"")</f>
        <v>0</v>
      </c>
      <c r="H21" s="133">
        <f>_xlfn.XLOOKUP(G21,'GP2'!$B$6:$B$55,'GP2'!$A$6:$A$55,0)</f>
        <v>0</v>
      </c>
      <c r="I21" s="14" t="str">
        <f>_xlfn.XLOOKUP($B21,'GP3'!$C$6:$C$101,'GP3'!$B$6:$B$101,"")</f>
        <v/>
      </c>
      <c r="J21" s="83">
        <f>_xlfn.XLOOKUP(I21,'GP3'!$B$6:$B$55,'GP3'!$A$6:$A$55,0)</f>
        <v>0</v>
      </c>
      <c r="K21" s="14" t="str">
        <f>_xlfn.XLOOKUP($B21,'GP4'!$C$6:$C$101,'GP4'!$B$6:$B$101,"")</f>
        <v/>
      </c>
      <c r="L21" s="133">
        <f>_xlfn.XLOOKUP(K21,'GP4'!$B$6:$B$55,'GP4'!$A$6:$A$55,0)</f>
        <v>0</v>
      </c>
      <c r="M21" s="14">
        <f>_xlfn.XLOOKUP($B21,'GP5'!$C$6:$C$101,'GP5'!$B$6:$B$101,"")</f>
        <v>0</v>
      </c>
      <c r="N21" s="134">
        <f>_xlfn.XLOOKUP(M21,'GP5'!$B$6:$B$55,'GP5'!$A$6:$A$55,0)</f>
        <v>0</v>
      </c>
      <c r="O21" s="14">
        <f>_xlfn.XLOOKUP($B21,'GP6'!$C$6:$C$101,'GP6'!$B$6:$B$101,"")</f>
        <v>0</v>
      </c>
      <c r="P21" s="134">
        <f>_xlfn.XLOOKUP(O21,'GP6'!$B$6:$B$55,'GP6'!$A$6:$A$55,0)</f>
        <v>0</v>
      </c>
      <c r="Q21" s="14" t="str">
        <f>_xlfn.XLOOKUP($B21,'GP7'!$C$6:$C$101,'GP7'!$B$6:$B$101,"")</f>
        <v/>
      </c>
      <c r="R21" s="134">
        <f>_xlfn.XLOOKUP(Q21,'GP7'!$B$6:$B$55,'GP7'!$A$6:$A$55,0)</f>
        <v>0</v>
      </c>
      <c r="S21" s="14" t="str">
        <f>_xlfn.XLOOKUP($B21,'GP8'!$C$6:$C$101,'GP8'!$B$6:$B$101,"")</f>
        <v/>
      </c>
      <c r="T21" s="134">
        <f>_xlfn.XLOOKUP(S21,'GP8'!$B$6:$B$55,'GP8'!$A$6:$A$55,0)</f>
        <v>0</v>
      </c>
      <c r="U21" s="14" t="str">
        <f>_xlfn.XLOOKUP(B21,MPW!C$6:C$101,MPW!B$6:B$101,"")</f>
        <v/>
      </c>
      <c r="V21" s="134">
        <f>_xlfn.XLOOKUP(U21,MPW!B$6:B$55,MPW!A$6:A$55,0)</f>
        <v>0</v>
      </c>
    </row>
    <row r="22" spans="1:22" ht="14.8" customHeight="1" x14ac:dyDescent="0.25">
      <c r="A22" s="9">
        <f>ROW()-5</f>
        <v>17</v>
      </c>
      <c r="B22" s="12"/>
      <c r="C22" s="13"/>
      <c r="D22" s="82">
        <f>SUM(F22,H22,J22,L22,N22,P22,R22,T22,V22)-SUM(SMALL((F22,H22,J22,L22,N22,P22,R22,T22),1),SMALL((F22,H22,J22,L22,N22,P22,R22,T22),2))</f>
        <v>0</v>
      </c>
      <c r="E22" s="14" t="str">
        <f>_xlfn.XLOOKUP($B22,'GP1'!$C$6:$C$101,'GP1'!$B$6:$B$101,"")</f>
        <v/>
      </c>
      <c r="F22" s="133">
        <f>_xlfn.XLOOKUP(E22,'GP1'!$B$6:$B$55,'GP1'!$A$6:$A$55,0)</f>
        <v>0</v>
      </c>
      <c r="G22" s="14">
        <f>_xlfn.XLOOKUP($B22,'GP2'!$C$6:$C$101,'GP2'!$B$6:$B$101,"")</f>
        <v>0</v>
      </c>
      <c r="H22" s="133">
        <f>_xlfn.XLOOKUP(G22,'GP2'!$B$6:$B$55,'GP2'!$A$6:$A$55,0)</f>
        <v>0</v>
      </c>
      <c r="I22" s="14" t="str">
        <f>_xlfn.XLOOKUP($B22,'GP3'!$C$6:$C$101,'GP3'!$B$6:$B$101,"")</f>
        <v/>
      </c>
      <c r="J22" s="83">
        <f>_xlfn.XLOOKUP(I22,'GP3'!$B$6:$B$55,'GP3'!$A$6:$A$55,0)</f>
        <v>0</v>
      </c>
      <c r="K22" s="14" t="str">
        <f>_xlfn.XLOOKUP($B22,'GP4'!$C$6:$C$101,'GP4'!$B$6:$B$101,"")</f>
        <v/>
      </c>
      <c r="L22" s="133">
        <f>_xlfn.XLOOKUP(K22,'GP4'!$B$6:$B$55,'GP4'!$A$6:$A$55,0)</f>
        <v>0</v>
      </c>
      <c r="M22" s="14">
        <f>_xlfn.XLOOKUP($B22,'GP5'!$C$6:$C$101,'GP5'!$B$6:$B$101,"")</f>
        <v>0</v>
      </c>
      <c r="N22" s="134">
        <f>_xlfn.XLOOKUP(M22,'GP5'!$B$6:$B$55,'GP5'!$A$6:$A$55,0)</f>
        <v>0</v>
      </c>
      <c r="O22" s="14">
        <f>_xlfn.XLOOKUP($B22,'GP6'!$C$6:$C$101,'GP6'!$B$6:$B$101,"")</f>
        <v>0</v>
      </c>
      <c r="P22" s="134">
        <f>_xlfn.XLOOKUP(O22,'GP6'!$B$6:$B$55,'GP6'!$A$6:$A$55,0)</f>
        <v>0</v>
      </c>
      <c r="Q22" s="14" t="str">
        <f>_xlfn.XLOOKUP($B22,'GP7'!$C$6:$C$101,'GP7'!$B$6:$B$101,"")</f>
        <v/>
      </c>
      <c r="R22" s="134">
        <f>_xlfn.XLOOKUP(Q22,'GP7'!$B$6:$B$55,'GP7'!$A$6:$A$55,0)</f>
        <v>0</v>
      </c>
      <c r="S22" s="14" t="str">
        <f>_xlfn.XLOOKUP($B22,'GP8'!$C$6:$C$101,'GP8'!$B$6:$B$101,"")</f>
        <v/>
      </c>
      <c r="T22" s="134">
        <f>_xlfn.XLOOKUP(S22,'GP8'!$B$6:$B$55,'GP8'!$A$6:$A$55,0)</f>
        <v>0</v>
      </c>
      <c r="U22" s="14" t="str">
        <f>_xlfn.XLOOKUP(B22,MPW!C$6:C$101,MPW!B$6:B$101,"")</f>
        <v/>
      </c>
      <c r="V22" s="134">
        <f>_xlfn.XLOOKUP(U22,MPW!B$6:B$55,MPW!A$6:A$55,0)</f>
        <v>0</v>
      </c>
    </row>
    <row r="23" spans="1:22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65.400000000000006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sheetProtection selectLockedCells="1" selectUnlockedCells="1"/>
  <autoFilter ref="A5:V5" xr:uid="{6498AA3B-7B87-478E-8D0E-DD2B07FDC631}">
    <sortState xmlns:xlrd2="http://schemas.microsoft.com/office/spreadsheetml/2017/richdata2" ref="A7:V22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2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2">
    <cfRule type="cellIs" dxfId="34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764-F0FE-4E51-9B46-E45A4958766F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29</v>
      </c>
      <c r="L1" s="20"/>
      <c r="M1" s="20"/>
    </row>
    <row r="2" spans="1:36" ht="14.3" customHeight="1" x14ac:dyDescent="0.25">
      <c r="A2" s="16"/>
      <c r="B2" s="22" t="s">
        <v>30</v>
      </c>
      <c r="C2" s="289" t="s">
        <v>31</v>
      </c>
      <c r="D2" s="289"/>
      <c r="E2" s="23"/>
      <c r="F2" s="23"/>
      <c r="G2" s="23"/>
      <c r="H2" s="24">
        <v>7</v>
      </c>
      <c r="I2" s="25">
        <v>50</v>
      </c>
      <c r="J2" s="25">
        <v>10</v>
      </c>
      <c r="K2" s="68">
        <f>3*H2^(1/3)</f>
        <v>5.738793548317167</v>
      </c>
      <c r="L2" s="20"/>
      <c r="M2" s="20"/>
    </row>
    <row r="3" spans="1:36" ht="14.3" customHeight="1" x14ac:dyDescent="0.25">
      <c r="A3" s="16"/>
      <c r="B3" s="27" t="s">
        <v>32</v>
      </c>
      <c r="C3" s="290" t="s">
        <v>33</v>
      </c>
      <c r="D3" s="290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</row>
    <row r="6" spans="1:36" ht="14.45" customHeight="1" x14ac:dyDescent="0.25">
      <c r="A6" s="35">
        <f>M6</f>
        <v>97.216380644951499</v>
      </c>
      <c r="B6" s="36">
        <f t="shared" ref="B6:B16" si="0">IF(H6&gt;$H$2,"",(ROW()-5))</f>
        <v>1</v>
      </c>
      <c r="C6" s="37" t="s">
        <v>19</v>
      </c>
      <c r="D6" s="37" t="s">
        <v>46</v>
      </c>
      <c r="E6" s="37"/>
      <c r="F6" s="37" t="s">
        <v>47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3</v>
      </c>
      <c r="K6" s="38">
        <f t="shared" ref="K6:K69" si="1">J6*$J$2</f>
        <v>30</v>
      </c>
      <c r="L6" s="40">
        <f>3*K2</f>
        <v>17.216380644951499</v>
      </c>
      <c r="M6" s="40">
        <f t="shared" ref="M6:M69" si="2">IF(I6&lt;&gt;"",K6+I6+L6,0)</f>
        <v>97.216380644951499</v>
      </c>
    </row>
    <row r="7" spans="1:36" ht="14.45" customHeight="1" x14ac:dyDescent="0.25">
      <c r="A7" s="41">
        <f t="shared" ref="A7:A17" si="3">M7</f>
        <v>64.023434928341246</v>
      </c>
      <c r="B7" s="42">
        <f t="shared" si="0"/>
        <v>2</v>
      </c>
      <c r="C7" s="43" t="s">
        <v>20</v>
      </c>
      <c r="D7" s="43" t="s">
        <v>48</v>
      </c>
      <c r="E7" s="43"/>
      <c r="F7" s="43" t="s">
        <v>47</v>
      </c>
      <c r="G7" s="30"/>
      <c r="H7" s="44">
        <v>2</v>
      </c>
      <c r="I7" s="45">
        <f t="shared" ref="I7:I69" si="4">IF(H7&lt;$H$2+1,($I$2-($I$2-1)*(LOG(H7)/LOG($H$2))),"")</f>
        <v>32.545847831706908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si="1"/>
        <v>20</v>
      </c>
      <c r="L7" s="46">
        <f>2*K2</f>
        <v>11.477587096634334</v>
      </c>
      <c r="M7" s="46">
        <f t="shared" si="2"/>
        <v>64.023434928341246</v>
      </c>
    </row>
    <row r="8" spans="1:36" ht="14.45" customHeight="1" x14ac:dyDescent="0.25">
      <c r="A8" s="35">
        <f t="shared" si="3"/>
        <v>38.074616879691767</v>
      </c>
      <c r="B8" s="36">
        <f t="shared" si="0"/>
        <v>3</v>
      </c>
      <c r="C8" s="37" t="s">
        <v>49</v>
      </c>
      <c r="D8" s="37" t="s">
        <v>50</v>
      </c>
      <c r="E8" s="37"/>
      <c r="F8" s="37" t="s">
        <v>47</v>
      </c>
      <c r="G8" s="30"/>
      <c r="H8" s="38">
        <v>3</v>
      </c>
      <c r="I8" s="39">
        <f t="shared" si="4"/>
        <v>22.335823331374595</v>
      </c>
      <c r="J8" s="38">
        <f t="shared" si="5"/>
        <v>1</v>
      </c>
      <c r="K8" s="38">
        <f t="shared" si="1"/>
        <v>10</v>
      </c>
      <c r="L8" s="40">
        <f>K2</f>
        <v>5.738793548317167</v>
      </c>
      <c r="M8" s="40">
        <f t="shared" si="2"/>
        <v>38.074616879691767</v>
      </c>
    </row>
    <row r="9" spans="1:36" ht="14.45" customHeight="1" x14ac:dyDescent="0.25">
      <c r="A9" s="41">
        <f t="shared" si="3"/>
        <v>25.091695663413823</v>
      </c>
      <c r="B9" s="42">
        <f t="shared" si="0"/>
        <v>4</v>
      </c>
      <c r="C9" s="43" t="s">
        <v>51</v>
      </c>
      <c r="D9" s="43" t="s">
        <v>52</v>
      </c>
      <c r="E9" s="43"/>
      <c r="F9" s="43" t="s">
        <v>47</v>
      </c>
      <c r="G9" s="30"/>
      <c r="H9" s="44">
        <v>4</v>
      </c>
      <c r="I9" s="45">
        <f t="shared" si="4"/>
        <v>15.091695663413823</v>
      </c>
      <c r="J9" s="44">
        <f t="shared" si="5"/>
        <v>1</v>
      </c>
      <c r="K9" s="44">
        <f t="shared" si="1"/>
        <v>10</v>
      </c>
      <c r="L9" s="46"/>
      <c r="M9" s="45">
        <f t="shared" si="2"/>
        <v>25.091695663413823</v>
      </c>
      <c r="V9" s="47"/>
      <c r="Z9" s="48"/>
      <c r="AA9" s="48"/>
      <c r="AG9" s="49"/>
      <c r="AH9" s="21" t="s">
        <v>53</v>
      </c>
      <c r="AI9" s="21">
        <v>23</v>
      </c>
    </row>
    <row r="10" spans="1:36" ht="14.45" customHeight="1" x14ac:dyDescent="0.25">
      <c r="A10" s="35">
        <f t="shared" si="3"/>
        <v>9.472713708001109</v>
      </c>
      <c r="B10" s="36">
        <f t="shared" si="0"/>
        <v>5</v>
      </c>
      <c r="C10" s="37" t="s">
        <v>24</v>
      </c>
      <c r="D10" s="37" t="s">
        <v>54</v>
      </c>
      <c r="E10" s="37"/>
      <c r="F10" s="37" t="s">
        <v>47</v>
      </c>
      <c r="G10" s="30"/>
      <c r="H10" s="38">
        <v>5</v>
      </c>
      <c r="I10" s="39">
        <f t="shared" si="4"/>
        <v>9.472713708001109</v>
      </c>
      <c r="J10" s="38">
        <f t="shared" si="5"/>
        <v>0</v>
      </c>
      <c r="K10" s="38">
        <f t="shared" si="1"/>
        <v>0</v>
      </c>
      <c r="L10" s="38"/>
      <c r="M10" s="40">
        <f t="shared" si="2"/>
        <v>9.472713708001109</v>
      </c>
      <c r="V10" s="47"/>
      <c r="Z10" s="48"/>
      <c r="AA10" s="48"/>
      <c r="AG10" s="49"/>
      <c r="AH10" s="21" t="s">
        <v>55</v>
      </c>
      <c r="AI10" s="21">
        <v>45</v>
      </c>
    </row>
    <row r="11" spans="1:36" ht="14.45" customHeight="1" x14ac:dyDescent="0.25">
      <c r="A11" s="41">
        <f t="shared" si="3"/>
        <v>4.8816711630815135</v>
      </c>
      <c r="B11" s="42">
        <f t="shared" si="0"/>
        <v>6</v>
      </c>
      <c r="C11" s="43" t="s">
        <v>22</v>
      </c>
      <c r="D11" s="43" t="s">
        <v>56</v>
      </c>
      <c r="E11" s="43"/>
      <c r="F11" s="43" t="s">
        <v>47</v>
      </c>
      <c r="G11" s="30"/>
      <c r="H11" s="44">
        <v>6</v>
      </c>
      <c r="I11" s="45">
        <f t="shared" si="4"/>
        <v>4.8816711630815135</v>
      </c>
      <c r="J11" s="44">
        <f t="shared" si="5"/>
        <v>0</v>
      </c>
      <c r="K11" s="44">
        <f t="shared" si="1"/>
        <v>0</v>
      </c>
      <c r="L11" s="44"/>
      <c r="M11" s="46">
        <f t="shared" si="2"/>
        <v>4.8816711630815135</v>
      </c>
      <c r="V11" s="50"/>
      <c r="Z11" s="48"/>
      <c r="AA11" s="48"/>
      <c r="AG11" s="49"/>
      <c r="AH11" s="21" t="s">
        <v>57</v>
      </c>
      <c r="AI11" s="21">
        <v>50</v>
      </c>
    </row>
    <row r="12" spans="1:36" ht="14.45" customHeight="1" x14ac:dyDescent="0.25">
      <c r="A12" s="35">
        <f t="shared" si="3"/>
        <v>1</v>
      </c>
      <c r="B12" s="36">
        <f t="shared" si="0"/>
        <v>7</v>
      </c>
      <c r="C12" s="37" t="s">
        <v>25</v>
      </c>
      <c r="D12" s="37" t="s">
        <v>46</v>
      </c>
      <c r="E12" s="37"/>
      <c r="F12" s="37"/>
      <c r="G12" s="30"/>
      <c r="H12" s="38">
        <v>7</v>
      </c>
      <c r="I12" s="39">
        <f t="shared" si="4"/>
        <v>1</v>
      </c>
      <c r="J12" s="38">
        <f t="shared" si="5"/>
        <v>0</v>
      </c>
      <c r="K12" s="38">
        <f t="shared" si="1"/>
        <v>0</v>
      </c>
      <c r="L12" s="38"/>
      <c r="M12" s="40">
        <f t="shared" si="2"/>
        <v>1</v>
      </c>
      <c r="Z12" s="48"/>
      <c r="AA12" s="48"/>
      <c r="AG12" s="49"/>
      <c r="AH12" s="21" t="s">
        <v>58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0</v>
      </c>
      <c r="K13" s="44">
        <f t="shared" si="1"/>
        <v>0</v>
      </c>
      <c r="L13" s="44"/>
      <c r="M13" s="46">
        <f t="shared" si="2"/>
        <v>0</v>
      </c>
      <c r="X13" s="47"/>
      <c r="AG13" s="49"/>
      <c r="AH13" s="21" t="s">
        <v>59</v>
      </c>
      <c r="AI13" s="21">
        <f>LOG(AI9)</f>
        <v>1.3617278360175928</v>
      </c>
    </row>
    <row r="14" spans="1:36" ht="14.45" customHeight="1" x14ac:dyDescent="0.25">
      <c r="A14" s="215">
        <v>96.354085335489259</v>
      </c>
      <c r="B14" s="263" t="s">
        <v>60</v>
      </c>
      <c r="C14" s="216" t="s">
        <v>21</v>
      </c>
      <c r="D14" s="216" t="s">
        <v>50</v>
      </c>
      <c r="E14" s="216"/>
      <c r="F14" s="216" t="s">
        <v>47</v>
      </c>
      <c r="G14" s="30"/>
      <c r="H14" s="38">
        <v>9</v>
      </c>
      <c r="I14" s="39" t="str">
        <f t="shared" ref="I14" si="6">IF(H14&lt;$H$2+1,($I$2-($I$2-1)*(LOG(H14)/LOG($H$2))),"")</f>
        <v/>
      </c>
      <c r="J14" s="38">
        <f t="shared" ref="J14" si="7">INT(LOG($H$2,2))-ROUNDUP(LOG(H14,2),0)+IF(OR($H$2=1,$H$2=2,$H$2=4,$H$2=8,$H$2=16,$H$2=32,$H$2=64,$H$2=128,$H$2=256),0,1)</f>
        <v>-1</v>
      </c>
      <c r="K14" s="38">
        <f t="shared" ref="K14" si="8">J14*$J$2</f>
        <v>-10</v>
      </c>
      <c r="L14" s="38"/>
      <c r="M14" s="40">
        <f t="shared" ref="M14" si="9">IF(I14&lt;&gt;"",K14+I14+L14,0)</f>
        <v>0</v>
      </c>
      <c r="Z14" s="48"/>
      <c r="AA14" s="48"/>
      <c r="AG14" s="49"/>
      <c r="AH14" s="21" t="s">
        <v>58</v>
      </c>
      <c r="AI14" s="21">
        <f>AI13-1</f>
        <v>0.36172783601759284</v>
      </c>
    </row>
    <row r="15" spans="1:36" x14ac:dyDescent="0.25">
      <c r="A15" s="51">
        <f t="shared" si="3"/>
        <v>0</v>
      </c>
      <c r="B15" s="42" t="str">
        <f t="shared" si="0"/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-1</v>
      </c>
      <c r="K15" s="44">
        <f t="shared" si="1"/>
        <v>-10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0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-1</v>
      </c>
      <c r="K16" s="38">
        <f t="shared" si="1"/>
        <v>-10</v>
      </c>
      <c r="L16" s="38"/>
      <c r="M16" s="40">
        <f t="shared" si="2"/>
        <v>0</v>
      </c>
      <c r="R16" s="54"/>
      <c r="Z16" s="48"/>
      <c r="AA16" s="48"/>
      <c r="AH16" s="55" t="s">
        <v>61</v>
      </c>
      <c r="AI16" s="21">
        <f>AI11-AI12*AI13/AI14</f>
        <v>-134.46096020549786</v>
      </c>
      <c r="AJ16" s="21" t="s">
        <v>62</v>
      </c>
    </row>
    <row r="17" spans="1:19" x14ac:dyDescent="0.25">
      <c r="A17" s="51">
        <f t="shared" si="3"/>
        <v>0</v>
      </c>
      <c r="B17" s="42" t="str">
        <f t="shared" ref="B17:B65" si="10">IF(H17&gt;$H$2,"",(ROW()-5))</f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-1</v>
      </c>
      <c r="K17" s="44">
        <f t="shared" si="1"/>
        <v>-10</v>
      </c>
      <c r="L17" s="44"/>
      <c r="M17" s="46">
        <f t="shared" si="2"/>
        <v>0</v>
      </c>
    </row>
    <row r="18" spans="1:19" x14ac:dyDescent="0.25">
      <c r="A18" s="52">
        <f t="shared" ref="A18:A37" si="11">M18</f>
        <v>0</v>
      </c>
      <c r="B18" s="36" t="str">
        <f t="shared" si="10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-1</v>
      </c>
      <c r="K18" s="38">
        <f t="shared" si="1"/>
        <v>-10</v>
      </c>
      <c r="L18" s="38"/>
      <c r="M18" s="40">
        <f t="shared" si="2"/>
        <v>0</v>
      </c>
    </row>
    <row r="19" spans="1:19" x14ac:dyDescent="0.25">
      <c r="A19" s="51">
        <f t="shared" si="11"/>
        <v>0</v>
      </c>
      <c r="B19" s="42" t="str">
        <f t="shared" si="10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-1</v>
      </c>
      <c r="K19" s="44">
        <f t="shared" si="1"/>
        <v>-10</v>
      </c>
      <c r="L19" s="44"/>
      <c r="M19" s="46">
        <f t="shared" si="2"/>
        <v>0</v>
      </c>
    </row>
    <row r="20" spans="1:19" x14ac:dyDescent="0.25">
      <c r="A20" s="52">
        <f t="shared" si="11"/>
        <v>0</v>
      </c>
      <c r="B20" s="36" t="str">
        <f t="shared" si="10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-1</v>
      </c>
      <c r="K20" s="38">
        <f t="shared" si="1"/>
        <v>-10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11"/>
        <v>0</v>
      </c>
      <c r="B21" s="42" t="str">
        <f t="shared" si="10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-1</v>
      </c>
      <c r="K21" s="44">
        <f t="shared" si="1"/>
        <v>-10</v>
      </c>
      <c r="L21" s="44"/>
      <c r="M21" s="46">
        <f t="shared" si="2"/>
        <v>0</v>
      </c>
    </row>
    <row r="22" spans="1:19" x14ac:dyDescent="0.25">
      <c r="A22" s="52">
        <f t="shared" si="11"/>
        <v>0</v>
      </c>
      <c r="B22" s="36" t="str">
        <f t="shared" si="10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-2</v>
      </c>
      <c r="K22" s="38">
        <f t="shared" si="1"/>
        <v>-20</v>
      </c>
      <c r="L22" s="38"/>
      <c r="M22" s="40">
        <f t="shared" si="2"/>
        <v>0</v>
      </c>
    </row>
    <row r="23" spans="1:19" x14ac:dyDescent="0.25">
      <c r="A23" s="51">
        <f t="shared" si="11"/>
        <v>0</v>
      </c>
      <c r="B23" s="42" t="str">
        <f t="shared" si="10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-2</v>
      </c>
      <c r="K23" s="44">
        <f t="shared" si="1"/>
        <v>-20</v>
      </c>
      <c r="L23" s="44"/>
      <c r="M23" s="46">
        <f t="shared" si="2"/>
        <v>0</v>
      </c>
    </row>
    <row r="24" spans="1:19" x14ac:dyDescent="0.25">
      <c r="A24" s="52">
        <f t="shared" si="11"/>
        <v>0</v>
      </c>
      <c r="B24" s="36" t="str">
        <f t="shared" si="10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-2</v>
      </c>
      <c r="K24" s="38">
        <f t="shared" si="1"/>
        <v>-20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11"/>
        <v>0</v>
      </c>
      <c r="B25" s="42" t="str">
        <f t="shared" si="10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-2</v>
      </c>
      <c r="K25" s="44">
        <f t="shared" si="1"/>
        <v>-20</v>
      </c>
      <c r="L25" s="44"/>
      <c r="M25" s="46">
        <f t="shared" si="2"/>
        <v>0</v>
      </c>
    </row>
    <row r="26" spans="1:19" x14ac:dyDescent="0.25">
      <c r="A26" s="52">
        <f t="shared" si="11"/>
        <v>0</v>
      </c>
      <c r="B26" s="36" t="str">
        <f t="shared" si="10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-2</v>
      </c>
      <c r="K26" s="38">
        <f t="shared" si="1"/>
        <v>-20</v>
      </c>
      <c r="L26" s="38"/>
      <c r="M26" s="40">
        <f t="shared" si="2"/>
        <v>0</v>
      </c>
    </row>
    <row r="27" spans="1:19" x14ac:dyDescent="0.25">
      <c r="A27" s="51">
        <f t="shared" si="11"/>
        <v>0</v>
      </c>
      <c r="B27" s="42" t="str">
        <f t="shared" si="10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-2</v>
      </c>
      <c r="K27" s="44">
        <f t="shared" si="1"/>
        <v>-20</v>
      </c>
      <c r="L27" s="44"/>
      <c r="M27" s="46">
        <f t="shared" si="2"/>
        <v>0</v>
      </c>
    </row>
    <row r="28" spans="1:19" x14ac:dyDescent="0.25">
      <c r="A28" s="52">
        <f t="shared" si="11"/>
        <v>0</v>
      </c>
      <c r="B28" s="36" t="str">
        <f t="shared" si="10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-2</v>
      </c>
      <c r="K28" s="38">
        <f t="shared" si="1"/>
        <v>-20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11"/>
        <v>0</v>
      </c>
      <c r="B29" s="42" t="str">
        <f t="shared" si="10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-2</v>
      </c>
      <c r="K29" s="44">
        <f t="shared" si="1"/>
        <v>-20</v>
      </c>
      <c r="L29" s="44"/>
      <c r="M29" s="46">
        <f t="shared" si="2"/>
        <v>0</v>
      </c>
    </row>
    <row r="30" spans="1:19" x14ac:dyDescent="0.25">
      <c r="A30" s="52">
        <f t="shared" si="11"/>
        <v>0</v>
      </c>
      <c r="B30" s="36" t="str">
        <f t="shared" si="10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-2</v>
      </c>
      <c r="K30" s="38">
        <f t="shared" si="1"/>
        <v>-20</v>
      </c>
      <c r="L30" s="38"/>
      <c r="M30" s="40">
        <f t="shared" si="2"/>
        <v>0</v>
      </c>
    </row>
    <row r="31" spans="1:19" x14ac:dyDescent="0.25">
      <c r="A31" s="51">
        <f t="shared" si="11"/>
        <v>0</v>
      </c>
      <c r="B31" s="42" t="str">
        <f t="shared" si="10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-2</v>
      </c>
      <c r="K31" s="44">
        <f t="shared" si="1"/>
        <v>-20</v>
      </c>
      <c r="L31" s="44"/>
      <c r="M31" s="46">
        <f t="shared" si="2"/>
        <v>0</v>
      </c>
    </row>
    <row r="32" spans="1:19" x14ac:dyDescent="0.25">
      <c r="A32" s="52">
        <f t="shared" si="11"/>
        <v>0</v>
      </c>
      <c r="B32" s="36" t="str">
        <f t="shared" si="10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-2</v>
      </c>
      <c r="K32" s="38">
        <f t="shared" si="1"/>
        <v>-20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11"/>
        <v>0</v>
      </c>
      <c r="B33" s="42" t="str">
        <f t="shared" si="10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-2</v>
      </c>
      <c r="K33" s="44">
        <f t="shared" si="1"/>
        <v>-20</v>
      </c>
      <c r="L33" s="44"/>
      <c r="M33" s="46">
        <f t="shared" si="2"/>
        <v>0</v>
      </c>
    </row>
    <row r="34" spans="1:21" x14ac:dyDescent="0.25">
      <c r="A34" s="52">
        <f t="shared" si="11"/>
        <v>0</v>
      </c>
      <c r="B34" s="36" t="str">
        <f t="shared" si="10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-2</v>
      </c>
      <c r="K34" s="38">
        <f t="shared" si="1"/>
        <v>-20</v>
      </c>
      <c r="L34" s="38"/>
      <c r="M34" s="40">
        <f t="shared" si="2"/>
        <v>0</v>
      </c>
    </row>
    <row r="35" spans="1:21" x14ac:dyDescent="0.25">
      <c r="A35" s="51">
        <f t="shared" si="11"/>
        <v>0</v>
      </c>
      <c r="B35" s="42" t="str">
        <f t="shared" si="10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-2</v>
      </c>
      <c r="K35" s="44">
        <f t="shared" si="1"/>
        <v>-20</v>
      </c>
      <c r="L35" s="44"/>
      <c r="M35" s="46">
        <f t="shared" si="2"/>
        <v>0</v>
      </c>
    </row>
    <row r="36" spans="1:21" x14ac:dyDescent="0.25">
      <c r="A36" s="52">
        <f t="shared" si="11"/>
        <v>0</v>
      </c>
      <c r="B36" s="36" t="str">
        <f t="shared" si="10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-2</v>
      </c>
      <c r="K36" s="38">
        <f t="shared" si="1"/>
        <v>-20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11"/>
        <v>0</v>
      </c>
      <c r="B37" s="42" t="str">
        <f t="shared" si="10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-2</v>
      </c>
      <c r="K37" s="44">
        <f t="shared" si="1"/>
        <v>-20</v>
      </c>
      <c r="L37" s="44"/>
      <c r="M37" s="46">
        <f t="shared" si="2"/>
        <v>0</v>
      </c>
    </row>
    <row r="38" spans="1:21" x14ac:dyDescent="0.25">
      <c r="A38" s="52"/>
      <c r="B38" s="36" t="str">
        <f t="shared" si="10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-3</v>
      </c>
      <c r="K38" s="38">
        <f t="shared" si="1"/>
        <v>-30</v>
      </c>
      <c r="L38" s="38"/>
      <c r="M38" s="40">
        <f t="shared" si="2"/>
        <v>0</v>
      </c>
    </row>
    <row r="39" spans="1:21" x14ac:dyDescent="0.25">
      <c r="A39" s="51"/>
      <c r="B39" s="42" t="str">
        <f t="shared" si="10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-3</v>
      </c>
      <c r="K39" s="44">
        <f t="shared" si="1"/>
        <v>-30</v>
      </c>
      <c r="L39" s="44"/>
      <c r="M39" s="46">
        <f t="shared" si="2"/>
        <v>0</v>
      </c>
    </row>
    <row r="40" spans="1:21" x14ac:dyDescent="0.25">
      <c r="A40" s="52"/>
      <c r="B40" s="36" t="str">
        <f t="shared" si="10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-3</v>
      </c>
      <c r="K40" s="38">
        <f t="shared" si="1"/>
        <v>-30</v>
      </c>
      <c r="L40" s="38"/>
      <c r="M40" s="40">
        <f t="shared" si="2"/>
        <v>0</v>
      </c>
    </row>
    <row r="41" spans="1:21" x14ac:dyDescent="0.25">
      <c r="A41" s="51"/>
      <c r="B41" s="42" t="str">
        <f t="shared" si="10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-3</v>
      </c>
      <c r="K41" s="44">
        <f t="shared" si="1"/>
        <v>-30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10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-3</v>
      </c>
      <c r="K42" s="38">
        <f t="shared" si="1"/>
        <v>-30</v>
      </c>
      <c r="L42" s="38"/>
      <c r="M42" s="40">
        <f t="shared" si="2"/>
        <v>0</v>
      </c>
    </row>
    <row r="43" spans="1:21" x14ac:dyDescent="0.25">
      <c r="A43" s="51"/>
      <c r="B43" s="42" t="str">
        <f t="shared" si="10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-3</v>
      </c>
      <c r="K43" s="44">
        <f t="shared" si="1"/>
        <v>-30</v>
      </c>
      <c r="L43" s="44"/>
      <c r="M43" s="46">
        <f t="shared" si="2"/>
        <v>0</v>
      </c>
    </row>
    <row r="44" spans="1:21" x14ac:dyDescent="0.25">
      <c r="A44" s="52"/>
      <c r="B44" s="36" t="str">
        <f t="shared" si="10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-3</v>
      </c>
      <c r="K44" s="38">
        <f t="shared" si="1"/>
        <v>-30</v>
      </c>
      <c r="L44" s="38"/>
      <c r="M44" s="40">
        <f t="shared" si="2"/>
        <v>0</v>
      </c>
    </row>
    <row r="45" spans="1:21" x14ac:dyDescent="0.25">
      <c r="A45" s="51"/>
      <c r="B45" s="42" t="str">
        <f t="shared" si="10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-3</v>
      </c>
      <c r="K45" s="44">
        <f t="shared" si="1"/>
        <v>-30</v>
      </c>
      <c r="L45" s="44"/>
      <c r="M45" s="46">
        <f t="shared" si="2"/>
        <v>0</v>
      </c>
    </row>
    <row r="46" spans="1:21" x14ac:dyDescent="0.25">
      <c r="A46" s="52"/>
      <c r="B46" s="36" t="str">
        <f t="shared" si="10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-3</v>
      </c>
      <c r="K46" s="38">
        <f t="shared" si="1"/>
        <v>-30</v>
      </c>
      <c r="L46" s="38"/>
      <c r="M46" s="40">
        <f t="shared" si="2"/>
        <v>0</v>
      </c>
      <c r="R46" s="16">
        <f>LOG($H$2,2)</f>
        <v>2.8073549220576042</v>
      </c>
      <c r="T46" s="21">
        <f>LOG(H38,2)</f>
        <v>5.0443941193584534</v>
      </c>
      <c r="U46" s="21">
        <f>R46-T46</f>
        <v>-2.2370391973008492</v>
      </c>
    </row>
    <row r="47" spans="1:21" x14ac:dyDescent="0.25">
      <c r="A47" s="51"/>
      <c r="B47" s="42" t="str">
        <f t="shared" si="10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-3</v>
      </c>
      <c r="K47" s="44">
        <f t="shared" si="1"/>
        <v>-30</v>
      </c>
      <c r="L47" s="44"/>
      <c r="M47" s="46">
        <f t="shared" si="2"/>
        <v>0</v>
      </c>
    </row>
    <row r="48" spans="1:21" x14ac:dyDescent="0.25">
      <c r="A48" s="52"/>
      <c r="B48" s="36" t="str">
        <f t="shared" si="10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-3</v>
      </c>
      <c r="K48" s="38">
        <f t="shared" si="1"/>
        <v>-30</v>
      </c>
      <c r="L48" s="38"/>
      <c r="M48" s="40">
        <f t="shared" si="2"/>
        <v>0</v>
      </c>
    </row>
    <row r="49" spans="1:13" x14ac:dyDescent="0.25">
      <c r="A49" s="51"/>
      <c r="B49" s="42" t="str">
        <f t="shared" si="10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-3</v>
      </c>
      <c r="K49" s="44">
        <f t="shared" si="1"/>
        <v>-30</v>
      </c>
      <c r="L49" s="44"/>
      <c r="M49" s="46">
        <f t="shared" si="2"/>
        <v>0</v>
      </c>
    </row>
    <row r="50" spans="1:13" x14ac:dyDescent="0.25">
      <c r="A50" s="52"/>
      <c r="B50" s="36" t="str">
        <f t="shared" si="10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-3</v>
      </c>
      <c r="K50" s="38">
        <f t="shared" si="1"/>
        <v>-30</v>
      </c>
      <c r="L50" s="38"/>
      <c r="M50" s="40">
        <f t="shared" si="2"/>
        <v>0</v>
      </c>
    </row>
    <row r="51" spans="1:13" x14ac:dyDescent="0.25">
      <c r="A51" s="51"/>
      <c r="B51" s="42" t="str">
        <f t="shared" si="10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-3</v>
      </c>
      <c r="K51" s="44">
        <f t="shared" si="1"/>
        <v>-30</v>
      </c>
      <c r="L51" s="44"/>
      <c r="M51" s="46">
        <f t="shared" si="2"/>
        <v>0</v>
      </c>
    </row>
    <row r="52" spans="1:13" x14ac:dyDescent="0.25">
      <c r="A52" s="52"/>
      <c r="B52" s="36" t="str">
        <f t="shared" si="10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-3</v>
      </c>
      <c r="K52" s="38">
        <f t="shared" si="1"/>
        <v>-30</v>
      </c>
      <c r="L52" s="38"/>
      <c r="M52" s="40">
        <f t="shared" si="2"/>
        <v>0</v>
      </c>
    </row>
    <row r="53" spans="1:13" x14ac:dyDescent="0.25">
      <c r="A53" s="51"/>
      <c r="B53" s="42" t="str">
        <f t="shared" si="10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-3</v>
      </c>
      <c r="K53" s="44">
        <f t="shared" si="1"/>
        <v>-30</v>
      </c>
      <c r="L53" s="44"/>
      <c r="M53" s="46">
        <f t="shared" si="2"/>
        <v>0</v>
      </c>
    </row>
    <row r="54" spans="1:13" x14ac:dyDescent="0.25">
      <c r="A54" s="52"/>
      <c r="B54" s="36" t="str">
        <f t="shared" si="10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-3</v>
      </c>
      <c r="K54" s="38">
        <f t="shared" si="1"/>
        <v>-30</v>
      </c>
      <c r="L54" s="38"/>
      <c r="M54" s="40">
        <f t="shared" si="2"/>
        <v>0</v>
      </c>
    </row>
    <row r="55" spans="1:13" x14ac:dyDescent="0.25">
      <c r="A55" s="51"/>
      <c r="B55" s="42" t="str">
        <f t="shared" si="10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-3</v>
      </c>
      <c r="K55" s="44">
        <f t="shared" si="1"/>
        <v>-30</v>
      </c>
      <c r="L55" s="44"/>
      <c r="M55" s="46">
        <f t="shared" si="2"/>
        <v>0</v>
      </c>
    </row>
    <row r="56" spans="1:13" x14ac:dyDescent="0.25">
      <c r="A56" s="52"/>
      <c r="B56" s="36" t="str">
        <f t="shared" si="10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-3</v>
      </c>
      <c r="K56" s="38">
        <f t="shared" si="1"/>
        <v>-30</v>
      </c>
      <c r="L56" s="38"/>
      <c r="M56" s="40">
        <f t="shared" si="2"/>
        <v>0</v>
      </c>
    </row>
    <row r="57" spans="1:13" x14ac:dyDescent="0.25">
      <c r="A57" s="51"/>
      <c r="B57" s="42" t="str">
        <f t="shared" si="10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-3</v>
      </c>
      <c r="K57" s="44">
        <f t="shared" si="1"/>
        <v>-30</v>
      </c>
      <c r="L57" s="44"/>
      <c r="M57" s="46">
        <f t="shared" si="2"/>
        <v>0</v>
      </c>
    </row>
    <row r="58" spans="1:13" x14ac:dyDescent="0.25">
      <c r="A58" s="52"/>
      <c r="B58" s="36" t="str">
        <f t="shared" si="10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-3</v>
      </c>
      <c r="K58" s="38">
        <f t="shared" si="1"/>
        <v>-30</v>
      </c>
      <c r="L58" s="38"/>
      <c r="M58" s="40">
        <f t="shared" si="2"/>
        <v>0</v>
      </c>
    </row>
    <row r="59" spans="1:13" x14ac:dyDescent="0.25">
      <c r="A59" s="51"/>
      <c r="B59" s="42" t="str">
        <f t="shared" si="10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-3</v>
      </c>
      <c r="K59" s="44">
        <f t="shared" si="1"/>
        <v>-30</v>
      </c>
      <c r="L59" s="44"/>
      <c r="M59" s="46">
        <f t="shared" si="2"/>
        <v>0</v>
      </c>
    </row>
    <row r="60" spans="1:13" x14ac:dyDescent="0.25">
      <c r="A60" s="52"/>
      <c r="B60" s="36" t="str">
        <f t="shared" si="10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-3</v>
      </c>
      <c r="K60" s="38">
        <f t="shared" si="1"/>
        <v>-30</v>
      </c>
      <c r="L60" s="38"/>
      <c r="M60" s="40">
        <f t="shared" si="2"/>
        <v>0</v>
      </c>
    </row>
    <row r="61" spans="1:13" x14ac:dyDescent="0.25">
      <c r="A61" s="51"/>
      <c r="B61" s="42" t="str">
        <f t="shared" si="10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-3</v>
      </c>
      <c r="K61" s="44">
        <f t="shared" si="1"/>
        <v>-30</v>
      </c>
      <c r="L61" s="44"/>
      <c r="M61" s="46">
        <f t="shared" si="2"/>
        <v>0</v>
      </c>
    </row>
    <row r="62" spans="1:13" x14ac:dyDescent="0.25">
      <c r="A62" s="52"/>
      <c r="B62" s="36" t="str">
        <f t="shared" si="10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-3</v>
      </c>
      <c r="K62" s="38">
        <f t="shared" si="1"/>
        <v>-30</v>
      </c>
      <c r="L62" s="38"/>
      <c r="M62" s="40">
        <f t="shared" si="2"/>
        <v>0</v>
      </c>
    </row>
    <row r="63" spans="1:13" x14ac:dyDescent="0.25">
      <c r="A63" s="51"/>
      <c r="B63" s="42" t="str">
        <f t="shared" si="10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-3</v>
      </c>
      <c r="K63" s="44">
        <f t="shared" si="1"/>
        <v>-30</v>
      </c>
      <c r="L63" s="44"/>
      <c r="M63" s="46">
        <f t="shared" si="2"/>
        <v>0</v>
      </c>
    </row>
    <row r="64" spans="1:13" x14ac:dyDescent="0.25">
      <c r="A64" s="52"/>
      <c r="B64" s="36" t="str">
        <f t="shared" si="10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-3</v>
      </c>
      <c r="K64" s="38">
        <f t="shared" si="1"/>
        <v>-30</v>
      </c>
      <c r="L64" s="38"/>
      <c r="M64" s="40">
        <f t="shared" si="2"/>
        <v>0</v>
      </c>
    </row>
    <row r="65" spans="1:13" x14ac:dyDescent="0.25">
      <c r="A65" s="51"/>
      <c r="B65" s="42" t="str">
        <f t="shared" si="10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-3</v>
      </c>
      <c r="K65" s="44">
        <f t="shared" si="1"/>
        <v>-30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-3</v>
      </c>
      <c r="K66" s="38">
        <f t="shared" si="1"/>
        <v>-30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-3</v>
      </c>
      <c r="K67" s="38">
        <f t="shared" si="1"/>
        <v>-30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-3</v>
      </c>
      <c r="K68" s="38">
        <f t="shared" si="1"/>
        <v>-30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-3</v>
      </c>
      <c r="K69" s="38">
        <f t="shared" si="1"/>
        <v>-30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12">IF(H70&lt;$H$2+1,($I$2-($I$2-1)*(LOG(H70)/LOG($H$2))),"")</f>
        <v/>
      </c>
      <c r="J70" s="38">
        <f t="shared" si="5"/>
        <v>-4</v>
      </c>
      <c r="K70" s="38">
        <f t="shared" ref="K70:K133" si="13">J70*$J$2</f>
        <v>-40</v>
      </c>
      <c r="L70" s="38"/>
      <c r="M70" s="40">
        <f t="shared" ref="M70:M133" si="14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12"/>
        <v/>
      </c>
      <c r="J71" s="38">
        <f t="shared" ref="J71:J126" si="15">INT(LOG($H$2,2))-ROUNDUP(LOG(H71,2),0)+IF(OR($H$2=1,$H$2=2,$H$2=4,$H$2=8,$H$2=16,$H$2=32,$H$2=64,$H$2=128,$H$2=256),0,1)</f>
        <v>-4</v>
      </c>
      <c r="K71" s="38">
        <f t="shared" si="13"/>
        <v>-40</v>
      </c>
      <c r="L71" s="38"/>
      <c r="M71" s="40">
        <f t="shared" si="14"/>
        <v>0</v>
      </c>
    </row>
    <row r="72" spans="1:13" x14ac:dyDescent="0.25">
      <c r="A72" s="59"/>
      <c r="G72" s="16"/>
      <c r="H72" s="38">
        <v>67</v>
      </c>
      <c r="I72" s="39" t="str">
        <f t="shared" si="12"/>
        <v/>
      </c>
      <c r="J72" s="38">
        <f t="shared" si="15"/>
        <v>-4</v>
      </c>
      <c r="K72" s="38">
        <f t="shared" si="13"/>
        <v>-40</v>
      </c>
      <c r="L72" s="38"/>
      <c r="M72" s="40">
        <f t="shared" si="14"/>
        <v>0</v>
      </c>
    </row>
    <row r="73" spans="1:13" x14ac:dyDescent="0.25">
      <c r="A73" s="59"/>
      <c r="G73" s="16"/>
      <c r="H73" s="38">
        <v>68</v>
      </c>
      <c r="I73" s="39" t="str">
        <f t="shared" si="12"/>
        <v/>
      </c>
      <c r="J73" s="38">
        <f t="shared" si="15"/>
        <v>-4</v>
      </c>
      <c r="K73" s="38">
        <f t="shared" si="13"/>
        <v>-40</v>
      </c>
      <c r="L73" s="38"/>
      <c r="M73" s="40">
        <f t="shared" si="14"/>
        <v>0</v>
      </c>
    </row>
    <row r="74" spans="1:13" x14ac:dyDescent="0.25">
      <c r="A74" s="59"/>
      <c r="G74" s="16"/>
      <c r="H74" s="38">
        <v>69</v>
      </c>
      <c r="I74" s="39" t="str">
        <f t="shared" si="12"/>
        <v/>
      </c>
      <c r="J74" s="38">
        <f t="shared" si="15"/>
        <v>-4</v>
      </c>
      <c r="K74" s="38">
        <f t="shared" si="13"/>
        <v>-40</v>
      </c>
      <c r="L74" s="38"/>
      <c r="M74" s="40">
        <f t="shared" si="14"/>
        <v>0</v>
      </c>
    </row>
    <row r="75" spans="1:13" x14ac:dyDescent="0.25">
      <c r="A75" s="59"/>
      <c r="G75" s="16"/>
      <c r="H75" s="38">
        <v>70</v>
      </c>
      <c r="I75" s="39" t="str">
        <f t="shared" si="12"/>
        <v/>
      </c>
      <c r="J75" s="38">
        <f t="shared" si="15"/>
        <v>-4</v>
      </c>
      <c r="K75" s="38">
        <f t="shared" si="13"/>
        <v>-40</v>
      </c>
      <c r="L75" s="38"/>
      <c r="M75" s="40">
        <f t="shared" si="14"/>
        <v>0</v>
      </c>
    </row>
    <row r="76" spans="1:13" x14ac:dyDescent="0.25">
      <c r="A76" s="59"/>
      <c r="G76" s="16"/>
      <c r="H76" s="38">
        <v>71</v>
      </c>
      <c r="I76" s="39" t="str">
        <f t="shared" si="12"/>
        <v/>
      </c>
      <c r="J76" s="38">
        <f t="shared" si="15"/>
        <v>-4</v>
      </c>
      <c r="K76" s="38">
        <f t="shared" si="13"/>
        <v>-40</v>
      </c>
      <c r="L76" s="38"/>
      <c r="M76" s="40">
        <f t="shared" si="14"/>
        <v>0</v>
      </c>
    </row>
    <row r="77" spans="1:13" x14ac:dyDescent="0.25">
      <c r="A77" s="59"/>
      <c r="G77" s="16"/>
      <c r="H77" s="38">
        <v>72</v>
      </c>
      <c r="I77" s="39" t="str">
        <f t="shared" si="12"/>
        <v/>
      </c>
      <c r="J77" s="38">
        <f t="shared" si="15"/>
        <v>-4</v>
      </c>
      <c r="K77" s="38">
        <f t="shared" si="13"/>
        <v>-40</v>
      </c>
      <c r="L77" s="38"/>
      <c r="M77" s="40">
        <f t="shared" si="14"/>
        <v>0</v>
      </c>
    </row>
    <row r="78" spans="1:13" x14ac:dyDescent="0.25">
      <c r="A78" s="59"/>
      <c r="G78" s="16"/>
      <c r="H78" s="38">
        <v>73</v>
      </c>
      <c r="I78" s="39" t="str">
        <f t="shared" si="12"/>
        <v/>
      </c>
      <c r="J78" s="38">
        <f t="shared" si="15"/>
        <v>-4</v>
      </c>
      <c r="K78" s="38">
        <f t="shared" si="13"/>
        <v>-40</v>
      </c>
      <c r="L78" s="38"/>
      <c r="M78" s="40">
        <f t="shared" si="14"/>
        <v>0</v>
      </c>
    </row>
    <row r="79" spans="1:13" x14ac:dyDescent="0.25">
      <c r="A79" s="59"/>
      <c r="G79" s="16"/>
      <c r="H79" s="38">
        <v>74</v>
      </c>
      <c r="I79" s="39" t="str">
        <f t="shared" si="12"/>
        <v/>
      </c>
      <c r="J79" s="38">
        <f t="shared" si="15"/>
        <v>-4</v>
      </c>
      <c r="K79" s="38">
        <f t="shared" si="13"/>
        <v>-40</v>
      </c>
      <c r="L79" s="38"/>
      <c r="M79" s="40">
        <f t="shared" si="14"/>
        <v>0</v>
      </c>
    </row>
    <row r="80" spans="1:13" x14ac:dyDescent="0.25">
      <c r="A80" s="59"/>
      <c r="G80" s="16"/>
      <c r="H80" s="38">
        <v>75</v>
      </c>
      <c r="I80" s="39" t="str">
        <f t="shared" si="12"/>
        <v/>
      </c>
      <c r="J80" s="38">
        <f t="shared" si="15"/>
        <v>-4</v>
      </c>
      <c r="K80" s="38">
        <f t="shared" si="13"/>
        <v>-40</v>
      </c>
      <c r="L80" s="38"/>
      <c r="M80" s="40">
        <f t="shared" si="14"/>
        <v>0</v>
      </c>
    </row>
    <row r="81" spans="1:13" x14ac:dyDescent="0.25">
      <c r="A81" s="59"/>
      <c r="G81" s="16"/>
      <c r="H81" s="38">
        <v>76</v>
      </c>
      <c r="I81" s="39" t="str">
        <f t="shared" si="12"/>
        <v/>
      </c>
      <c r="J81" s="38">
        <f t="shared" si="15"/>
        <v>-4</v>
      </c>
      <c r="K81" s="38">
        <f t="shared" si="13"/>
        <v>-40</v>
      </c>
      <c r="L81" s="38"/>
      <c r="M81" s="40">
        <f t="shared" si="14"/>
        <v>0</v>
      </c>
    </row>
    <row r="82" spans="1:13" x14ac:dyDescent="0.25">
      <c r="A82" s="59"/>
      <c r="G82" s="16"/>
      <c r="H82" s="38">
        <v>77</v>
      </c>
      <c r="I82" s="39" t="str">
        <f t="shared" si="12"/>
        <v/>
      </c>
      <c r="J82" s="38">
        <f t="shared" si="15"/>
        <v>-4</v>
      </c>
      <c r="K82" s="38">
        <f t="shared" si="13"/>
        <v>-40</v>
      </c>
      <c r="L82" s="38"/>
      <c r="M82" s="40">
        <f t="shared" si="14"/>
        <v>0</v>
      </c>
    </row>
    <row r="83" spans="1:13" x14ac:dyDescent="0.25">
      <c r="A83" s="59"/>
      <c r="G83" s="16"/>
      <c r="H83" s="38">
        <v>78</v>
      </c>
      <c r="I83" s="39" t="str">
        <f t="shared" si="12"/>
        <v/>
      </c>
      <c r="J83" s="38">
        <f t="shared" si="15"/>
        <v>-4</v>
      </c>
      <c r="K83" s="38">
        <f t="shared" si="13"/>
        <v>-40</v>
      </c>
      <c r="L83" s="38"/>
      <c r="M83" s="40">
        <f t="shared" si="14"/>
        <v>0</v>
      </c>
    </row>
    <row r="84" spans="1:13" x14ac:dyDescent="0.25">
      <c r="A84" s="59"/>
      <c r="G84" s="16"/>
      <c r="H84" s="38">
        <v>79</v>
      </c>
      <c r="I84" s="39" t="str">
        <f t="shared" si="12"/>
        <v/>
      </c>
      <c r="J84" s="38">
        <f t="shared" si="15"/>
        <v>-4</v>
      </c>
      <c r="K84" s="38">
        <f t="shared" si="13"/>
        <v>-40</v>
      </c>
      <c r="L84" s="38"/>
      <c r="M84" s="40">
        <f t="shared" si="14"/>
        <v>0</v>
      </c>
    </row>
    <row r="85" spans="1:13" x14ac:dyDescent="0.25">
      <c r="A85" s="59"/>
      <c r="G85" s="16"/>
      <c r="H85" s="38">
        <v>80</v>
      </c>
      <c r="I85" s="39" t="str">
        <f t="shared" si="12"/>
        <v/>
      </c>
      <c r="J85" s="38">
        <f t="shared" si="15"/>
        <v>-4</v>
      </c>
      <c r="K85" s="38">
        <f t="shared" si="13"/>
        <v>-40</v>
      </c>
      <c r="L85" s="38"/>
      <c r="M85" s="40">
        <f t="shared" si="14"/>
        <v>0</v>
      </c>
    </row>
    <row r="86" spans="1:13" x14ac:dyDescent="0.25">
      <c r="A86" s="59"/>
      <c r="G86" s="16"/>
      <c r="H86" s="38">
        <v>81</v>
      </c>
      <c r="I86" s="39" t="str">
        <f t="shared" si="12"/>
        <v/>
      </c>
      <c r="J86" s="38">
        <f t="shared" si="15"/>
        <v>-4</v>
      </c>
      <c r="K86" s="38">
        <f t="shared" si="13"/>
        <v>-40</v>
      </c>
      <c r="L86" s="38"/>
      <c r="M86" s="40">
        <f t="shared" si="14"/>
        <v>0</v>
      </c>
    </row>
    <row r="87" spans="1:13" x14ac:dyDescent="0.25">
      <c r="A87" s="59"/>
      <c r="G87" s="16"/>
      <c r="H87" s="38">
        <v>82</v>
      </c>
      <c r="I87" s="39" t="str">
        <f t="shared" si="12"/>
        <v/>
      </c>
      <c r="J87" s="38">
        <f t="shared" si="15"/>
        <v>-4</v>
      </c>
      <c r="K87" s="38">
        <f t="shared" si="13"/>
        <v>-40</v>
      </c>
      <c r="L87" s="38"/>
      <c r="M87" s="40">
        <f t="shared" si="14"/>
        <v>0</v>
      </c>
    </row>
    <row r="88" spans="1:13" x14ac:dyDescent="0.25">
      <c r="A88" s="59"/>
      <c r="G88" s="16"/>
      <c r="H88" s="38">
        <v>83</v>
      </c>
      <c r="I88" s="39" t="str">
        <f t="shared" si="12"/>
        <v/>
      </c>
      <c r="J88" s="38">
        <f t="shared" si="15"/>
        <v>-4</v>
      </c>
      <c r="K88" s="38">
        <f t="shared" si="13"/>
        <v>-40</v>
      </c>
      <c r="L88" s="38"/>
      <c r="M88" s="40">
        <f t="shared" si="14"/>
        <v>0</v>
      </c>
    </row>
    <row r="89" spans="1:13" x14ac:dyDescent="0.25">
      <c r="A89" s="59"/>
      <c r="G89" s="16"/>
      <c r="H89" s="38">
        <v>84</v>
      </c>
      <c r="I89" s="39" t="str">
        <f t="shared" si="12"/>
        <v/>
      </c>
      <c r="J89" s="38">
        <f t="shared" si="15"/>
        <v>-4</v>
      </c>
      <c r="K89" s="38">
        <f t="shared" si="13"/>
        <v>-40</v>
      </c>
      <c r="L89" s="38"/>
      <c r="M89" s="40">
        <f t="shared" si="14"/>
        <v>0</v>
      </c>
    </row>
    <row r="90" spans="1:13" x14ac:dyDescent="0.25">
      <c r="A90" s="59"/>
      <c r="G90" s="16"/>
      <c r="H90" s="38">
        <v>85</v>
      </c>
      <c r="I90" s="39" t="str">
        <f t="shared" si="12"/>
        <v/>
      </c>
      <c r="J90" s="38">
        <f t="shared" si="15"/>
        <v>-4</v>
      </c>
      <c r="K90" s="38">
        <f t="shared" si="13"/>
        <v>-40</v>
      </c>
      <c r="L90" s="38"/>
      <c r="M90" s="40">
        <f t="shared" si="14"/>
        <v>0</v>
      </c>
    </row>
    <row r="91" spans="1:13" x14ac:dyDescent="0.25">
      <c r="A91" s="59"/>
      <c r="G91" s="16"/>
      <c r="H91" s="38">
        <v>86</v>
      </c>
      <c r="I91" s="39" t="str">
        <f t="shared" si="12"/>
        <v/>
      </c>
      <c r="J91" s="38">
        <f t="shared" si="15"/>
        <v>-4</v>
      </c>
      <c r="K91" s="38">
        <f t="shared" si="13"/>
        <v>-40</v>
      </c>
      <c r="L91" s="38"/>
      <c r="M91" s="40">
        <f t="shared" si="14"/>
        <v>0</v>
      </c>
    </row>
    <row r="92" spans="1:13" x14ac:dyDescent="0.25">
      <c r="A92" s="59"/>
      <c r="G92" s="16"/>
      <c r="H92" s="38">
        <v>87</v>
      </c>
      <c r="I92" s="39" t="str">
        <f t="shared" si="12"/>
        <v/>
      </c>
      <c r="J92" s="38">
        <f t="shared" si="15"/>
        <v>-4</v>
      </c>
      <c r="K92" s="38">
        <f t="shared" si="13"/>
        <v>-40</v>
      </c>
      <c r="L92" s="38"/>
      <c r="M92" s="40">
        <f t="shared" si="14"/>
        <v>0</v>
      </c>
    </row>
    <row r="93" spans="1:13" x14ac:dyDescent="0.25">
      <c r="A93" s="59"/>
      <c r="G93" s="16"/>
      <c r="H93" s="38">
        <v>88</v>
      </c>
      <c r="I93" s="39" t="str">
        <f t="shared" si="12"/>
        <v/>
      </c>
      <c r="J93" s="38">
        <f t="shared" si="15"/>
        <v>-4</v>
      </c>
      <c r="K93" s="38">
        <f t="shared" si="13"/>
        <v>-40</v>
      </c>
      <c r="L93" s="38"/>
      <c r="M93" s="40">
        <f t="shared" si="14"/>
        <v>0</v>
      </c>
    </row>
    <row r="94" spans="1:13" x14ac:dyDescent="0.25">
      <c r="A94" s="59"/>
      <c r="G94" s="16"/>
      <c r="H94" s="38">
        <v>89</v>
      </c>
      <c r="I94" s="39" t="str">
        <f t="shared" si="12"/>
        <v/>
      </c>
      <c r="J94" s="38">
        <f t="shared" si="15"/>
        <v>-4</v>
      </c>
      <c r="K94" s="38">
        <f t="shared" si="13"/>
        <v>-40</v>
      </c>
      <c r="L94" s="38"/>
      <c r="M94" s="40">
        <f t="shared" si="14"/>
        <v>0</v>
      </c>
    </row>
    <row r="95" spans="1:13" x14ac:dyDescent="0.25">
      <c r="A95" s="59"/>
      <c r="G95" s="16"/>
      <c r="H95" s="38">
        <v>90</v>
      </c>
      <c r="I95" s="39" t="str">
        <f t="shared" si="12"/>
        <v/>
      </c>
      <c r="J95" s="38">
        <f t="shared" si="15"/>
        <v>-4</v>
      </c>
      <c r="K95" s="38">
        <f t="shared" si="13"/>
        <v>-40</v>
      </c>
      <c r="L95" s="38"/>
      <c r="M95" s="40">
        <f t="shared" si="14"/>
        <v>0</v>
      </c>
    </row>
    <row r="96" spans="1:13" x14ac:dyDescent="0.25">
      <c r="A96" s="59"/>
      <c r="G96" s="16"/>
      <c r="H96" s="38">
        <v>91</v>
      </c>
      <c r="I96" s="39" t="str">
        <f t="shared" si="12"/>
        <v/>
      </c>
      <c r="J96" s="38">
        <f t="shared" si="15"/>
        <v>-4</v>
      </c>
      <c r="K96" s="38">
        <f t="shared" si="13"/>
        <v>-40</v>
      </c>
      <c r="L96" s="38"/>
      <c r="M96" s="40">
        <f t="shared" si="14"/>
        <v>0</v>
      </c>
    </row>
    <row r="97" spans="1:13" x14ac:dyDescent="0.25">
      <c r="A97" s="59"/>
      <c r="G97" s="16"/>
      <c r="H97" s="38">
        <v>92</v>
      </c>
      <c r="I97" s="39" t="str">
        <f t="shared" si="12"/>
        <v/>
      </c>
      <c r="J97" s="38">
        <f t="shared" si="15"/>
        <v>-4</v>
      </c>
      <c r="K97" s="38">
        <f t="shared" si="13"/>
        <v>-40</v>
      </c>
      <c r="L97" s="38"/>
      <c r="M97" s="40">
        <f t="shared" si="14"/>
        <v>0</v>
      </c>
    </row>
    <row r="98" spans="1:13" x14ac:dyDescent="0.25">
      <c r="A98" s="59"/>
      <c r="G98" s="16"/>
      <c r="H98" s="38">
        <v>93</v>
      </c>
      <c r="I98" s="39" t="str">
        <f t="shared" si="12"/>
        <v/>
      </c>
      <c r="J98" s="38">
        <f t="shared" si="15"/>
        <v>-4</v>
      </c>
      <c r="K98" s="38">
        <f t="shared" si="13"/>
        <v>-40</v>
      </c>
      <c r="L98" s="38"/>
      <c r="M98" s="40">
        <f t="shared" si="14"/>
        <v>0</v>
      </c>
    </row>
    <row r="99" spans="1:13" x14ac:dyDescent="0.25">
      <c r="A99" s="59"/>
      <c r="G99" s="16"/>
      <c r="H99" s="38">
        <v>94</v>
      </c>
      <c r="I99" s="39" t="str">
        <f t="shared" si="12"/>
        <v/>
      </c>
      <c r="J99" s="38">
        <f t="shared" si="15"/>
        <v>-4</v>
      </c>
      <c r="K99" s="38">
        <f t="shared" si="13"/>
        <v>-40</v>
      </c>
      <c r="L99" s="38"/>
      <c r="M99" s="40">
        <f t="shared" si="14"/>
        <v>0</v>
      </c>
    </row>
    <row r="100" spans="1:13" x14ac:dyDescent="0.25">
      <c r="A100" s="59"/>
      <c r="G100" s="16"/>
      <c r="H100" s="38">
        <v>95</v>
      </c>
      <c r="I100" s="39" t="str">
        <f t="shared" si="12"/>
        <v/>
      </c>
      <c r="J100" s="38">
        <f t="shared" si="15"/>
        <v>-4</v>
      </c>
      <c r="K100" s="38">
        <f t="shared" si="13"/>
        <v>-40</v>
      </c>
      <c r="L100" s="38"/>
      <c r="M100" s="40">
        <f t="shared" si="14"/>
        <v>0</v>
      </c>
    </row>
    <row r="101" spans="1:13" x14ac:dyDescent="0.25">
      <c r="A101" s="59"/>
      <c r="G101" s="16"/>
      <c r="H101" s="38">
        <v>96</v>
      </c>
      <c r="I101" s="39" t="str">
        <f t="shared" si="12"/>
        <v/>
      </c>
      <c r="J101" s="38">
        <f t="shared" si="15"/>
        <v>-4</v>
      </c>
      <c r="K101" s="38">
        <f t="shared" si="13"/>
        <v>-40</v>
      </c>
      <c r="L101" s="38"/>
      <c r="M101" s="40">
        <f t="shared" si="14"/>
        <v>0</v>
      </c>
    </row>
    <row r="102" spans="1:13" x14ac:dyDescent="0.25">
      <c r="A102" s="59"/>
      <c r="G102" s="16"/>
      <c r="H102" s="38">
        <v>97</v>
      </c>
      <c r="I102" s="39" t="str">
        <f t="shared" si="12"/>
        <v/>
      </c>
      <c r="J102" s="38">
        <f t="shared" si="15"/>
        <v>-4</v>
      </c>
      <c r="K102" s="38">
        <f t="shared" si="13"/>
        <v>-40</v>
      </c>
      <c r="L102" s="38"/>
      <c r="M102" s="40">
        <f t="shared" si="14"/>
        <v>0</v>
      </c>
    </row>
    <row r="103" spans="1:13" x14ac:dyDescent="0.25">
      <c r="A103" s="59"/>
      <c r="G103" s="16"/>
      <c r="H103" s="38">
        <v>98</v>
      </c>
      <c r="I103" s="39" t="str">
        <f t="shared" si="12"/>
        <v/>
      </c>
      <c r="J103" s="38">
        <f t="shared" si="15"/>
        <v>-4</v>
      </c>
      <c r="K103" s="38">
        <f t="shared" si="13"/>
        <v>-40</v>
      </c>
      <c r="L103" s="38"/>
      <c r="M103" s="40">
        <f t="shared" si="14"/>
        <v>0</v>
      </c>
    </row>
    <row r="104" spans="1:13" x14ac:dyDescent="0.25">
      <c r="A104" s="59"/>
      <c r="G104" s="16"/>
      <c r="H104" s="38">
        <v>99</v>
      </c>
      <c r="I104" s="39" t="str">
        <f t="shared" si="12"/>
        <v/>
      </c>
      <c r="J104" s="38">
        <f t="shared" si="15"/>
        <v>-4</v>
      </c>
      <c r="K104" s="38">
        <f t="shared" si="13"/>
        <v>-40</v>
      </c>
      <c r="L104" s="38"/>
      <c r="M104" s="40">
        <f t="shared" si="14"/>
        <v>0</v>
      </c>
    </row>
    <row r="105" spans="1:13" x14ac:dyDescent="0.25">
      <c r="A105" s="59"/>
      <c r="G105" s="16"/>
      <c r="H105" s="38">
        <v>100</v>
      </c>
      <c r="I105" s="39" t="str">
        <f t="shared" si="12"/>
        <v/>
      </c>
      <c r="J105" s="38">
        <f t="shared" si="15"/>
        <v>-4</v>
      </c>
      <c r="K105" s="38">
        <f t="shared" si="13"/>
        <v>-40</v>
      </c>
      <c r="L105" s="38"/>
      <c r="M105" s="40">
        <f t="shared" si="14"/>
        <v>0</v>
      </c>
    </row>
    <row r="106" spans="1:13" x14ac:dyDescent="0.25">
      <c r="A106" s="59"/>
      <c r="G106" s="16"/>
      <c r="H106" s="38">
        <v>101</v>
      </c>
      <c r="I106" s="39" t="str">
        <f t="shared" si="12"/>
        <v/>
      </c>
      <c r="J106" s="38">
        <f t="shared" si="15"/>
        <v>-4</v>
      </c>
      <c r="K106" s="38">
        <f t="shared" si="13"/>
        <v>-40</v>
      </c>
      <c r="L106" s="38"/>
      <c r="M106" s="40">
        <f t="shared" si="14"/>
        <v>0</v>
      </c>
    </row>
    <row r="107" spans="1:13" x14ac:dyDescent="0.25">
      <c r="A107" s="59"/>
      <c r="G107" s="16"/>
      <c r="H107" s="38">
        <v>102</v>
      </c>
      <c r="I107" s="39" t="str">
        <f t="shared" si="12"/>
        <v/>
      </c>
      <c r="J107" s="38">
        <f t="shared" si="15"/>
        <v>-4</v>
      </c>
      <c r="K107" s="38">
        <f t="shared" si="13"/>
        <v>-40</v>
      </c>
      <c r="L107" s="38"/>
      <c r="M107" s="40">
        <f t="shared" si="14"/>
        <v>0</v>
      </c>
    </row>
    <row r="108" spans="1:13" x14ac:dyDescent="0.25">
      <c r="A108" s="59"/>
      <c r="G108" s="16"/>
      <c r="H108" s="38">
        <v>103</v>
      </c>
      <c r="I108" s="39" t="str">
        <f t="shared" si="12"/>
        <v/>
      </c>
      <c r="J108" s="38">
        <f t="shared" si="15"/>
        <v>-4</v>
      </c>
      <c r="K108" s="38">
        <f t="shared" si="13"/>
        <v>-40</v>
      </c>
      <c r="L108" s="38"/>
      <c r="M108" s="40">
        <f t="shared" si="14"/>
        <v>0</v>
      </c>
    </row>
    <row r="109" spans="1:13" x14ac:dyDescent="0.25">
      <c r="A109" s="59"/>
      <c r="G109" s="16"/>
      <c r="H109" s="38">
        <v>104</v>
      </c>
      <c r="I109" s="39" t="str">
        <f t="shared" si="12"/>
        <v/>
      </c>
      <c r="J109" s="38">
        <f t="shared" si="15"/>
        <v>-4</v>
      </c>
      <c r="K109" s="38">
        <f t="shared" si="13"/>
        <v>-40</v>
      </c>
      <c r="L109" s="38"/>
      <c r="M109" s="40">
        <f t="shared" si="14"/>
        <v>0</v>
      </c>
    </row>
    <row r="110" spans="1:13" x14ac:dyDescent="0.25">
      <c r="A110" s="59"/>
      <c r="G110" s="16"/>
      <c r="H110" s="38">
        <v>105</v>
      </c>
      <c r="I110" s="39" t="str">
        <f t="shared" si="12"/>
        <v/>
      </c>
      <c r="J110" s="38">
        <f t="shared" si="15"/>
        <v>-4</v>
      </c>
      <c r="K110" s="38">
        <f t="shared" si="13"/>
        <v>-40</v>
      </c>
      <c r="L110" s="38"/>
      <c r="M110" s="40">
        <f t="shared" si="14"/>
        <v>0</v>
      </c>
    </row>
    <row r="111" spans="1:13" x14ac:dyDescent="0.25">
      <c r="A111" s="59"/>
      <c r="G111" s="16"/>
      <c r="H111" s="38">
        <v>106</v>
      </c>
      <c r="I111" s="39" t="str">
        <f t="shared" si="12"/>
        <v/>
      </c>
      <c r="J111" s="38">
        <f t="shared" si="15"/>
        <v>-4</v>
      </c>
      <c r="K111" s="38">
        <f t="shared" si="13"/>
        <v>-40</v>
      </c>
      <c r="L111" s="38"/>
      <c r="M111" s="40">
        <f t="shared" si="14"/>
        <v>0</v>
      </c>
    </row>
    <row r="112" spans="1:13" x14ac:dyDescent="0.25">
      <c r="A112" s="59"/>
      <c r="G112" s="16"/>
      <c r="H112" s="38">
        <v>107</v>
      </c>
      <c r="I112" s="39" t="str">
        <f t="shared" si="12"/>
        <v/>
      </c>
      <c r="J112" s="38">
        <f t="shared" si="15"/>
        <v>-4</v>
      </c>
      <c r="K112" s="38">
        <f t="shared" si="13"/>
        <v>-40</v>
      </c>
      <c r="L112" s="38"/>
      <c r="M112" s="40">
        <f t="shared" si="14"/>
        <v>0</v>
      </c>
    </row>
    <row r="113" spans="1:13" x14ac:dyDescent="0.25">
      <c r="A113" s="59"/>
      <c r="G113" s="16"/>
      <c r="H113" s="38">
        <v>108</v>
      </c>
      <c r="I113" s="39" t="str">
        <f t="shared" si="12"/>
        <v/>
      </c>
      <c r="J113" s="38">
        <f t="shared" si="15"/>
        <v>-4</v>
      </c>
      <c r="K113" s="38">
        <f t="shared" si="13"/>
        <v>-40</v>
      </c>
      <c r="L113" s="38"/>
      <c r="M113" s="40">
        <f t="shared" si="14"/>
        <v>0</v>
      </c>
    </row>
    <row r="114" spans="1:13" x14ac:dyDescent="0.25">
      <c r="A114" s="59"/>
      <c r="G114" s="16"/>
      <c r="H114" s="38">
        <v>109</v>
      </c>
      <c r="I114" s="39" t="str">
        <f t="shared" si="12"/>
        <v/>
      </c>
      <c r="J114" s="38">
        <f t="shared" si="15"/>
        <v>-4</v>
      </c>
      <c r="K114" s="38">
        <f t="shared" si="13"/>
        <v>-40</v>
      </c>
      <c r="L114" s="38"/>
      <c r="M114" s="40">
        <f t="shared" si="14"/>
        <v>0</v>
      </c>
    </row>
    <row r="115" spans="1:13" x14ac:dyDescent="0.25">
      <c r="A115" s="59"/>
      <c r="G115" s="16"/>
      <c r="H115" s="38">
        <v>110</v>
      </c>
      <c r="I115" s="39" t="str">
        <f t="shared" si="12"/>
        <v/>
      </c>
      <c r="J115" s="38">
        <f t="shared" si="15"/>
        <v>-4</v>
      </c>
      <c r="K115" s="38">
        <f t="shared" si="13"/>
        <v>-40</v>
      </c>
      <c r="L115" s="38"/>
      <c r="M115" s="40">
        <f t="shared" si="14"/>
        <v>0</v>
      </c>
    </row>
    <row r="116" spans="1:13" x14ac:dyDescent="0.25">
      <c r="A116" s="59"/>
      <c r="G116" s="16"/>
      <c r="H116" s="38">
        <v>111</v>
      </c>
      <c r="I116" s="39" t="str">
        <f t="shared" si="12"/>
        <v/>
      </c>
      <c r="J116" s="38">
        <f t="shared" si="15"/>
        <v>-4</v>
      </c>
      <c r="K116" s="38">
        <f t="shared" si="13"/>
        <v>-40</v>
      </c>
      <c r="L116" s="38"/>
      <c r="M116" s="40">
        <f t="shared" si="14"/>
        <v>0</v>
      </c>
    </row>
    <row r="117" spans="1:13" x14ac:dyDescent="0.25">
      <c r="A117" s="59"/>
      <c r="G117" s="16"/>
      <c r="H117" s="38">
        <v>112</v>
      </c>
      <c r="I117" s="39" t="str">
        <f t="shared" si="12"/>
        <v/>
      </c>
      <c r="J117" s="38">
        <f t="shared" si="15"/>
        <v>-4</v>
      </c>
      <c r="K117" s="38">
        <f t="shared" si="13"/>
        <v>-40</v>
      </c>
      <c r="L117" s="38"/>
      <c r="M117" s="40">
        <f t="shared" si="14"/>
        <v>0</v>
      </c>
    </row>
    <row r="118" spans="1:13" x14ac:dyDescent="0.25">
      <c r="A118" s="59"/>
      <c r="G118" s="16"/>
      <c r="H118" s="38">
        <v>113</v>
      </c>
      <c r="I118" s="39" t="str">
        <f t="shared" si="12"/>
        <v/>
      </c>
      <c r="J118" s="38">
        <f t="shared" si="15"/>
        <v>-4</v>
      </c>
      <c r="K118" s="38">
        <f t="shared" si="13"/>
        <v>-40</v>
      </c>
      <c r="L118" s="38"/>
      <c r="M118" s="40">
        <f t="shared" si="14"/>
        <v>0</v>
      </c>
    </row>
    <row r="119" spans="1:13" x14ac:dyDescent="0.25">
      <c r="A119" s="59"/>
      <c r="G119" s="16"/>
      <c r="H119" s="38">
        <v>114</v>
      </c>
      <c r="I119" s="39" t="str">
        <f t="shared" si="12"/>
        <v/>
      </c>
      <c r="J119" s="38">
        <f t="shared" si="15"/>
        <v>-4</v>
      </c>
      <c r="K119" s="38">
        <f t="shared" si="13"/>
        <v>-40</v>
      </c>
      <c r="L119" s="38"/>
      <c r="M119" s="40">
        <f t="shared" si="14"/>
        <v>0</v>
      </c>
    </row>
    <row r="120" spans="1:13" x14ac:dyDescent="0.25">
      <c r="A120" s="59"/>
      <c r="G120" s="16"/>
      <c r="H120" s="38">
        <v>115</v>
      </c>
      <c r="I120" s="39" t="str">
        <f t="shared" si="12"/>
        <v/>
      </c>
      <c r="J120" s="38">
        <f t="shared" si="15"/>
        <v>-4</v>
      </c>
      <c r="K120" s="38">
        <f t="shared" si="13"/>
        <v>-40</v>
      </c>
      <c r="L120" s="38"/>
      <c r="M120" s="40">
        <f t="shared" si="14"/>
        <v>0</v>
      </c>
    </row>
    <row r="121" spans="1:13" x14ac:dyDescent="0.25">
      <c r="A121" s="59"/>
      <c r="G121" s="16"/>
      <c r="H121" s="38">
        <v>116</v>
      </c>
      <c r="I121" s="39" t="str">
        <f t="shared" si="12"/>
        <v/>
      </c>
      <c r="J121" s="38">
        <f t="shared" si="15"/>
        <v>-4</v>
      </c>
      <c r="K121" s="38">
        <f t="shared" si="13"/>
        <v>-40</v>
      </c>
      <c r="L121" s="38"/>
      <c r="M121" s="40">
        <f t="shared" si="14"/>
        <v>0</v>
      </c>
    </row>
    <row r="122" spans="1:13" x14ac:dyDescent="0.25">
      <c r="A122" s="59"/>
      <c r="G122" s="16"/>
      <c r="H122" s="38">
        <v>117</v>
      </c>
      <c r="I122" s="39" t="str">
        <f t="shared" si="12"/>
        <v/>
      </c>
      <c r="J122" s="38">
        <f t="shared" si="15"/>
        <v>-4</v>
      </c>
      <c r="K122" s="38">
        <f t="shared" si="13"/>
        <v>-40</v>
      </c>
      <c r="L122" s="38"/>
      <c r="M122" s="40">
        <f t="shared" si="14"/>
        <v>0</v>
      </c>
    </row>
    <row r="123" spans="1:13" x14ac:dyDescent="0.25">
      <c r="A123" s="59"/>
      <c r="G123" s="16"/>
      <c r="H123" s="38">
        <v>118</v>
      </c>
      <c r="I123" s="39" t="str">
        <f t="shared" si="12"/>
        <v/>
      </c>
      <c r="J123" s="38">
        <f t="shared" si="15"/>
        <v>-4</v>
      </c>
      <c r="K123" s="38">
        <f t="shared" si="13"/>
        <v>-40</v>
      </c>
      <c r="L123" s="38"/>
      <c r="M123" s="40">
        <f t="shared" si="14"/>
        <v>0</v>
      </c>
    </row>
    <row r="124" spans="1:13" x14ac:dyDescent="0.25">
      <c r="A124" s="59"/>
      <c r="G124" s="16"/>
      <c r="H124" s="38">
        <v>119</v>
      </c>
      <c r="I124" s="39" t="str">
        <f t="shared" si="12"/>
        <v/>
      </c>
      <c r="J124" s="38">
        <f t="shared" si="15"/>
        <v>-4</v>
      </c>
      <c r="K124" s="38">
        <f t="shared" si="13"/>
        <v>-40</v>
      </c>
      <c r="L124" s="38"/>
      <c r="M124" s="40">
        <f t="shared" si="14"/>
        <v>0</v>
      </c>
    </row>
    <row r="125" spans="1:13" x14ac:dyDescent="0.25">
      <c r="A125" s="59"/>
      <c r="G125" s="16"/>
      <c r="H125" s="38">
        <v>120</v>
      </c>
      <c r="I125" s="39" t="str">
        <f t="shared" si="12"/>
        <v/>
      </c>
      <c r="J125" s="38">
        <f t="shared" si="15"/>
        <v>-4</v>
      </c>
      <c r="K125" s="38">
        <f t="shared" si="13"/>
        <v>-40</v>
      </c>
      <c r="L125" s="38"/>
      <c r="M125" s="40">
        <f t="shared" si="14"/>
        <v>0</v>
      </c>
    </row>
    <row r="126" spans="1:13" x14ac:dyDescent="0.25">
      <c r="A126" s="59"/>
      <c r="G126" s="16"/>
      <c r="H126" s="38">
        <v>121</v>
      </c>
      <c r="I126" s="39" t="str">
        <f t="shared" si="12"/>
        <v/>
      </c>
      <c r="J126" s="38">
        <f t="shared" si="15"/>
        <v>-4</v>
      </c>
      <c r="K126" s="38">
        <f t="shared" si="13"/>
        <v>-40</v>
      </c>
      <c r="L126" s="38"/>
      <c r="M126" s="40">
        <f t="shared" si="14"/>
        <v>0</v>
      </c>
    </row>
    <row r="127" spans="1:13" x14ac:dyDescent="0.25">
      <c r="A127" s="59"/>
      <c r="G127" s="16"/>
      <c r="H127" s="38">
        <v>122</v>
      </c>
      <c r="I127" s="39" t="str">
        <f t="shared" si="12"/>
        <v/>
      </c>
      <c r="J127" s="38">
        <f t="shared" ref="J127:J134" si="16">INT(LOG($H$2,2))-ROUNDUP(LOG(H127,2),0)+IF(OR($H$2=1,$H$2=2,$H$2=4,$H$2=8,$H$2=16,$H$2=32,$H$2=64,$H$2=128,$H$2=256),1,0)</f>
        <v>-5</v>
      </c>
      <c r="K127" s="38">
        <f t="shared" si="13"/>
        <v>-50</v>
      </c>
      <c r="L127" s="38"/>
      <c r="M127" s="40">
        <f t="shared" si="14"/>
        <v>0</v>
      </c>
    </row>
    <row r="128" spans="1:13" x14ac:dyDescent="0.25">
      <c r="A128" s="59"/>
      <c r="G128" s="16"/>
      <c r="H128" s="38">
        <v>123</v>
      </c>
      <c r="I128" s="39" t="str">
        <f t="shared" si="12"/>
        <v/>
      </c>
      <c r="J128" s="38">
        <f t="shared" si="16"/>
        <v>-5</v>
      </c>
      <c r="K128" s="38">
        <f t="shared" si="13"/>
        <v>-50</v>
      </c>
      <c r="L128" s="38"/>
      <c r="M128" s="40">
        <f t="shared" si="14"/>
        <v>0</v>
      </c>
    </row>
    <row r="129" spans="1:13" x14ac:dyDescent="0.25">
      <c r="A129" s="59"/>
      <c r="G129" s="16"/>
      <c r="H129" s="38">
        <v>124</v>
      </c>
      <c r="I129" s="39" t="str">
        <f t="shared" si="12"/>
        <v/>
      </c>
      <c r="J129" s="38">
        <f t="shared" si="16"/>
        <v>-5</v>
      </c>
      <c r="K129" s="38">
        <f t="shared" si="13"/>
        <v>-50</v>
      </c>
      <c r="L129" s="38"/>
      <c r="M129" s="40">
        <f t="shared" si="14"/>
        <v>0</v>
      </c>
    </row>
    <row r="130" spans="1:13" x14ac:dyDescent="0.25">
      <c r="A130" s="59"/>
      <c r="G130" s="16"/>
      <c r="H130" s="38">
        <v>125</v>
      </c>
      <c r="I130" s="39" t="str">
        <f t="shared" si="12"/>
        <v/>
      </c>
      <c r="J130" s="38">
        <f t="shared" si="16"/>
        <v>-5</v>
      </c>
      <c r="K130" s="38">
        <f t="shared" si="13"/>
        <v>-50</v>
      </c>
      <c r="L130" s="38"/>
      <c r="M130" s="40">
        <f t="shared" si="14"/>
        <v>0</v>
      </c>
    </row>
    <row r="131" spans="1:13" x14ac:dyDescent="0.25">
      <c r="A131" s="59"/>
      <c r="G131" s="16"/>
      <c r="H131" s="38">
        <v>126</v>
      </c>
      <c r="I131" s="39" t="str">
        <f t="shared" si="12"/>
        <v/>
      </c>
      <c r="J131" s="38">
        <f t="shared" si="16"/>
        <v>-5</v>
      </c>
      <c r="K131" s="38">
        <f t="shared" si="13"/>
        <v>-50</v>
      </c>
      <c r="L131" s="38"/>
      <c r="M131" s="40">
        <f t="shared" si="14"/>
        <v>0</v>
      </c>
    </row>
    <row r="132" spans="1:13" x14ac:dyDescent="0.25">
      <c r="A132" s="59"/>
      <c r="G132" s="16"/>
      <c r="H132" s="38">
        <v>127</v>
      </c>
      <c r="I132" s="39" t="str">
        <f t="shared" si="12"/>
        <v/>
      </c>
      <c r="J132" s="38">
        <f t="shared" si="16"/>
        <v>-5</v>
      </c>
      <c r="K132" s="38">
        <f t="shared" si="13"/>
        <v>-50</v>
      </c>
      <c r="L132" s="38"/>
      <c r="M132" s="40">
        <f t="shared" si="14"/>
        <v>0</v>
      </c>
    </row>
    <row r="133" spans="1:13" x14ac:dyDescent="0.25">
      <c r="A133" s="59"/>
      <c r="G133" s="16"/>
      <c r="H133" s="38">
        <v>128</v>
      </c>
      <c r="I133" s="39" t="str">
        <f t="shared" si="12"/>
        <v/>
      </c>
      <c r="J133" s="38">
        <f t="shared" si="16"/>
        <v>-5</v>
      </c>
      <c r="K133" s="38">
        <f t="shared" si="13"/>
        <v>-50</v>
      </c>
      <c r="L133" s="38"/>
      <c r="M133" s="40">
        <f t="shared" si="14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7">IF(H134&lt;$H$2+1,($I$2-($I$2-1)*(LOG(H134)/LOG($H$2))),"")</f>
        <v/>
      </c>
      <c r="J134" s="38">
        <f t="shared" si="16"/>
        <v>-6</v>
      </c>
      <c r="K134" s="38">
        <f t="shared" ref="K134:K197" si="18">J134*$J$2</f>
        <v>-60</v>
      </c>
      <c r="L134" s="38"/>
      <c r="M134" s="40">
        <f t="shared" ref="M134:M197" si="19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7"/>
        <v/>
      </c>
      <c r="J135" s="38">
        <f t="shared" ref="J135:J198" si="20">INT(LOG($H$2,2))-ROUNDUP(LOG(H135,2),0)+IF(OR($H$2=1,$H$2=2,$H$2=4,$H$2=8,$H$2=16,$H$2=32,$H$2=64,$H$2=128,$H$2=256),1,0)</f>
        <v>-6</v>
      </c>
      <c r="K135" s="38">
        <f t="shared" si="18"/>
        <v>-60</v>
      </c>
      <c r="L135" s="38"/>
      <c r="M135" s="40">
        <f t="shared" si="19"/>
        <v>0</v>
      </c>
    </row>
    <row r="136" spans="1:13" x14ac:dyDescent="0.25">
      <c r="A136" s="59"/>
      <c r="G136" s="16"/>
      <c r="H136" s="38">
        <v>131</v>
      </c>
      <c r="I136" s="39" t="str">
        <f t="shared" si="17"/>
        <v/>
      </c>
      <c r="J136" s="38">
        <f t="shared" si="20"/>
        <v>-6</v>
      </c>
      <c r="K136" s="38">
        <f t="shared" si="18"/>
        <v>-60</v>
      </c>
      <c r="L136" s="38"/>
      <c r="M136" s="40">
        <f t="shared" si="19"/>
        <v>0</v>
      </c>
    </row>
    <row r="137" spans="1:13" x14ac:dyDescent="0.25">
      <c r="A137" s="59"/>
      <c r="G137" s="16"/>
      <c r="H137" s="38">
        <v>132</v>
      </c>
      <c r="I137" s="39" t="str">
        <f t="shared" si="17"/>
        <v/>
      </c>
      <c r="J137" s="38">
        <f t="shared" si="20"/>
        <v>-6</v>
      </c>
      <c r="K137" s="38">
        <f t="shared" si="18"/>
        <v>-60</v>
      </c>
      <c r="L137" s="38"/>
      <c r="M137" s="40">
        <f t="shared" si="19"/>
        <v>0</v>
      </c>
    </row>
    <row r="138" spans="1:13" x14ac:dyDescent="0.25">
      <c r="A138" s="59"/>
      <c r="G138" s="16"/>
      <c r="H138" s="38">
        <v>133</v>
      </c>
      <c r="I138" s="39" t="str">
        <f t="shared" si="17"/>
        <v/>
      </c>
      <c r="J138" s="38">
        <f t="shared" si="20"/>
        <v>-6</v>
      </c>
      <c r="K138" s="38">
        <f t="shared" si="18"/>
        <v>-60</v>
      </c>
      <c r="L138" s="38"/>
      <c r="M138" s="40">
        <f t="shared" si="19"/>
        <v>0</v>
      </c>
    </row>
    <row r="139" spans="1:13" x14ac:dyDescent="0.25">
      <c r="A139" s="59"/>
      <c r="G139" s="16"/>
      <c r="H139" s="38">
        <v>134</v>
      </c>
      <c r="I139" s="39" t="str">
        <f t="shared" si="17"/>
        <v/>
      </c>
      <c r="J139" s="38">
        <f t="shared" si="20"/>
        <v>-6</v>
      </c>
      <c r="K139" s="38">
        <f t="shared" si="18"/>
        <v>-60</v>
      </c>
      <c r="L139" s="38"/>
      <c r="M139" s="40">
        <f t="shared" si="19"/>
        <v>0</v>
      </c>
    </row>
    <row r="140" spans="1:13" x14ac:dyDescent="0.25">
      <c r="A140" s="59"/>
      <c r="G140" s="16"/>
      <c r="H140" s="38">
        <v>135</v>
      </c>
      <c r="I140" s="39" t="str">
        <f t="shared" si="17"/>
        <v/>
      </c>
      <c r="J140" s="38">
        <f t="shared" si="20"/>
        <v>-6</v>
      </c>
      <c r="K140" s="38">
        <f t="shared" si="18"/>
        <v>-60</v>
      </c>
      <c r="L140" s="38"/>
      <c r="M140" s="40">
        <f t="shared" si="19"/>
        <v>0</v>
      </c>
    </row>
    <row r="141" spans="1:13" x14ac:dyDescent="0.25">
      <c r="A141" s="59"/>
      <c r="G141" s="16"/>
      <c r="H141" s="38">
        <v>136</v>
      </c>
      <c r="I141" s="39" t="str">
        <f t="shared" si="17"/>
        <v/>
      </c>
      <c r="J141" s="38">
        <f t="shared" si="20"/>
        <v>-6</v>
      </c>
      <c r="K141" s="38">
        <f t="shared" si="18"/>
        <v>-60</v>
      </c>
      <c r="L141" s="38"/>
      <c r="M141" s="40">
        <f t="shared" si="19"/>
        <v>0</v>
      </c>
    </row>
    <row r="142" spans="1:13" x14ac:dyDescent="0.25">
      <c r="A142" s="59"/>
      <c r="G142" s="16"/>
      <c r="H142" s="38">
        <v>137</v>
      </c>
      <c r="I142" s="39" t="str">
        <f t="shared" si="17"/>
        <v/>
      </c>
      <c r="J142" s="38">
        <f t="shared" si="20"/>
        <v>-6</v>
      </c>
      <c r="K142" s="38">
        <f t="shared" si="18"/>
        <v>-60</v>
      </c>
      <c r="L142" s="38"/>
      <c r="M142" s="40">
        <f t="shared" si="19"/>
        <v>0</v>
      </c>
    </row>
    <row r="143" spans="1:13" x14ac:dyDescent="0.25">
      <c r="A143" s="59"/>
      <c r="G143" s="16"/>
      <c r="H143" s="38">
        <v>138</v>
      </c>
      <c r="I143" s="39" t="str">
        <f t="shared" si="17"/>
        <v/>
      </c>
      <c r="J143" s="38">
        <f t="shared" si="20"/>
        <v>-6</v>
      </c>
      <c r="K143" s="38">
        <f t="shared" si="18"/>
        <v>-60</v>
      </c>
      <c r="L143" s="38"/>
      <c r="M143" s="40">
        <f t="shared" si="19"/>
        <v>0</v>
      </c>
    </row>
    <row r="144" spans="1:13" x14ac:dyDescent="0.25">
      <c r="A144" s="59"/>
      <c r="G144" s="16"/>
      <c r="H144" s="38">
        <v>139</v>
      </c>
      <c r="I144" s="39" t="str">
        <f t="shared" si="17"/>
        <v/>
      </c>
      <c r="J144" s="38">
        <f t="shared" si="20"/>
        <v>-6</v>
      </c>
      <c r="K144" s="38">
        <f t="shared" si="18"/>
        <v>-60</v>
      </c>
      <c r="L144" s="38"/>
      <c r="M144" s="40">
        <f t="shared" si="19"/>
        <v>0</v>
      </c>
    </row>
    <row r="145" spans="1:13" x14ac:dyDescent="0.25">
      <c r="A145" s="59"/>
      <c r="G145" s="16"/>
      <c r="H145" s="38">
        <v>140</v>
      </c>
      <c r="I145" s="39" t="str">
        <f t="shared" si="17"/>
        <v/>
      </c>
      <c r="J145" s="38">
        <f t="shared" si="20"/>
        <v>-6</v>
      </c>
      <c r="K145" s="38">
        <f t="shared" si="18"/>
        <v>-60</v>
      </c>
      <c r="L145" s="38"/>
      <c r="M145" s="40">
        <f t="shared" si="19"/>
        <v>0</v>
      </c>
    </row>
    <row r="146" spans="1:13" x14ac:dyDescent="0.25">
      <c r="A146" s="59"/>
      <c r="G146" s="16"/>
      <c r="H146" s="38">
        <v>141</v>
      </c>
      <c r="I146" s="39" t="str">
        <f t="shared" si="17"/>
        <v/>
      </c>
      <c r="J146" s="38">
        <f t="shared" si="20"/>
        <v>-6</v>
      </c>
      <c r="K146" s="38">
        <f t="shared" si="18"/>
        <v>-60</v>
      </c>
      <c r="L146" s="38"/>
      <c r="M146" s="40">
        <f t="shared" si="19"/>
        <v>0</v>
      </c>
    </row>
    <row r="147" spans="1:13" x14ac:dyDescent="0.25">
      <c r="A147" s="59"/>
      <c r="G147" s="16"/>
      <c r="H147" s="38">
        <v>142</v>
      </c>
      <c r="I147" s="39" t="str">
        <f t="shared" si="17"/>
        <v/>
      </c>
      <c r="J147" s="38">
        <f t="shared" si="20"/>
        <v>-6</v>
      </c>
      <c r="K147" s="38">
        <f t="shared" si="18"/>
        <v>-60</v>
      </c>
      <c r="L147" s="38"/>
      <c r="M147" s="40">
        <f t="shared" si="19"/>
        <v>0</v>
      </c>
    </row>
    <row r="148" spans="1:13" x14ac:dyDescent="0.25">
      <c r="A148" s="59"/>
      <c r="G148" s="16"/>
      <c r="H148" s="38">
        <v>143</v>
      </c>
      <c r="I148" s="39" t="str">
        <f t="shared" si="17"/>
        <v/>
      </c>
      <c r="J148" s="38">
        <f t="shared" si="20"/>
        <v>-6</v>
      </c>
      <c r="K148" s="38">
        <f t="shared" si="18"/>
        <v>-60</v>
      </c>
      <c r="L148" s="38"/>
      <c r="M148" s="40">
        <f t="shared" si="19"/>
        <v>0</v>
      </c>
    </row>
    <row r="149" spans="1:13" x14ac:dyDescent="0.25">
      <c r="A149" s="59"/>
      <c r="G149" s="16"/>
      <c r="H149" s="38">
        <v>144</v>
      </c>
      <c r="I149" s="39" t="str">
        <f t="shared" si="17"/>
        <v/>
      </c>
      <c r="J149" s="38">
        <f t="shared" si="20"/>
        <v>-6</v>
      </c>
      <c r="K149" s="38">
        <f t="shared" si="18"/>
        <v>-60</v>
      </c>
      <c r="L149" s="38"/>
      <c r="M149" s="40">
        <f t="shared" si="19"/>
        <v>0</v>
      </c>
    </row>
    <row r="150" spans="1:13" x14ac:dyDescent="0.25">
      <c r="A150" s="59"/>
      <c r="G150" s="16"/>
      <c r="H150" s="38">
        <v>145</v>
      </c>
      <c r="I150" s="39" t="str">
        <f t="shared" si="17"/>
        <v/>
      </c>
      <c r="J150" s="38">
        <f t="shared" si="20"/>
        <v>-6</v>
      </c>
      <c r="K150" s="38">
        <f t="shared" si="18"/>
        <v>-60</v>
      </c>
      <c r="L150" s="38"/>
      <c r="M150" s="40">
        <f t="shared" si="19"/>
        <v>0</v>
      </c>
    </row>
    <row r="151" spans="1:13" x14ac:dyDescent="0.25">
      <c r="A151" s="59"/>
      <c r="G151" s="16"/>
      <c r="H151" s="38">
        <v>146</v>
      </c>
      <c r="I151" s="39" t="str">
        <f t="shared" si="17"/>
        <v/>
      </c>
      <c r="J151" s="38">
        <f t="shared" si="20"/>
        <v>-6</v>
      </c>
      <c r="K151" s="38">
        <f t="shared" si="18"/>
        <v>-60</v>
      </c>
      <c r="L151" s="38"/>
      <c r="M151" s="40">
        <f t="shared" si="19"/>
        <v>0</v>
      </c>
    </row>
    <row r="152" spans="1:13" x14ac:dyDescent="0.25">
      <c r="A152" s="59"/>
      <c r="G152" s="16"/>
      <c r="H152" s="38">
        <v>147</v>
      </c>
      <c r="I152" s="39" t="str">
        <f t="shared" si="17"/>
        <v/>
      </c>
      <c r="J152" s="38">
        <f t="shared" si="20"/>
        <v>-6</v>
      </c>
      <c r="K152" s="38">
        <f t="shared" si="18"/>
        <v>-60</v>
      </c>
      <c r="L152" s="38"/>
      <c r="M152" s="40">
        <f t="shared" si="19"/>
        <v>0</v>
      </c>
    </row>
    <row r="153" spans="1:13" x14ac:dyDescent="0.25">
      <c r="A153" s="59"/>
      <c r="G153" s="16"/>
      <c r="H153" s="38">
        <v>148</v>
      </c>
      <c r="I153" s="39" t="str">
        <f t="shared" si="17"/>
        <v/>
      </c>
      <c r="J153" s="38">
        <f t="shared" si="20"/>
        <v>-6</v>
      </c>
      <c r="K153" s="38">
        <f t="shared" si="18"/>
        <v>-60</v>
      </c>
      <c r="L153" s="38"/>
      <c r="M153" s="40">
        <f t="shared" si="19"/>
        <v>0</v>
      </c>
    </row>
    <row r="154" spans="1:13" x14ac:dyDescent="0.25">
      <c r="A154" s="59"/>
      <c r="G154" s="16"/>
      <c r="H154" s="38">
        <v>149</v>
      </c>
      <c r="I154" s="39" t="str">
        <f t="shared" si="17"/>
        <v/>
      </c>
      <c r="J154" s="38">
        <f t="shared" si="20"/>
        <v>-6</v>
      </c>
      <c r="K154" s="38">
        <f t="shared" si="18"/>
        <v>-60</v>
      </c>
      <c r="L154" s="38"/>
      <c r="M154" s="40">
        <f t="shared" si="19"/>
        <v>0</v>
      </c>
    </row>
    <row r="155" spans="1:13" x14ac:dyDescent="0.25">
      <c r="A155" s="59"/>
      <c r="G155" s="16"/>
      <c r="H155" s="38">
        <v>150</v>
      </c>
      <c r="I155" s="39" t="str">
        <f t="shared" si="17"/>
        <v/>
      </c>
      <c r="J155" s="38">
        <f t="shared" si="20"/>
        <v>-6</v>
      </c>
      <c r="K155" s="38">
        <f t="shared" si="18"/>
        <v>-60</v>
      </c>
      <c r="L155" s="38"/>
      <c r="M155" s="40">
        <f t="shared" si="19"/>
        <v>0</v>
      </c>
    </row>
    <row r="156" spans="1:13" x14ac:dyDescent="0.25">
      <c r="A156" s="59"/>
      <c r="G156" s="16"/>
      <c r="H156" s="38">
        <v>151</v>
      </c>
      <c r="I156" s="39" t="str">
        <f t="shared" si="17"/>
        <v/>
      </c>
      <c r="J156" s="38">
        <f t="shared" si="20"/>
        <v>-6</v>
      </c>
      <c r="K156" s="38">
        <f t="shared" si="18"/>
        <v>-60</v>
      </c>
      <c r="L156" s="38"/>
      <c r="M156" s="40">
        <f t="shared" si="19"/>
        <v>0</v>
      </c>
    </row>
    <row r="157" spans="1:13" x14ac:dyDescent="0.25">
      <c r="A157" s="59"/>
      <c r="G157" s="16"/>
      <c r="H157" s="38">
        <v>152</v>
      </c>
      <c r="I157" s="39" t="str">
        <f t="shared" si="17"/>
        <v/>
      </c>
      <c r="J157" s="38">
        <f t="shared" si="20"/>
        <v>-6</v>
      </c>
      <c r="K157" s="38">
        <f t="shared" si="18"/>
        <v>-60</v>
      </c>
      <c r="L157" s="38"/>
      <c r="M157" s="40">
        <f t="shared" si="19"/>
        <v>0</v>
      </c>
    </row>
    <row r="158" spans="1:13" x14ac:dyDescent="0.25">
      <c r="A158" s="59"/>
      <c r="G158" s="16"/>
      <c r="H158" s="38">
        <v>153</v>
      </c>
      <c r="I158" s="39" t="str">
        <f t="shared" si="17"/>
        <v/>
      </c>
      <c r="J158" s="38">
        <f t="shared" si="20"/>
        <v>-6</v>
      </c>
      <c r="K158" s="38">
        <f t="shared" si="18"/>
        <v>-60</v>
      </c>
      <c r="L158" s="38"/>
      <c r="M158" s="40">
        <f t="shared" si="19"/>
        <v>0</v>
      </c>
    </row>
    <row r="159" spans="1:13" x14ac:dyDescent="0.25">
      <c r="A159" s="59"/>
      <c r="G159" s="16"/>
      <c r="H159" s="38">
        <v>154</v>
      </c>
      <c r="I159" s="39" t="str">
        <f t="shared" si="17"/>
        <v/>
      </c>
      <c r="J159" s="38">
        <f t="shared" si="20"/>
        <v>-6</v>
      </c>
      <c r="K159" s="38">
        <f t="shared" si="18"/>
        <v>-60</v>
      </c>
      <c r="L159" s="38"/>
      <c r="M159" s="40">
        <f t="shared" si="19"/>
        <v>0</v>
      </c>
    </row>
    <row r="160" spans="1:13" x14ac:dyDescent="0.25">
      <c r="A160" s="59"/>
      <c r="G160" s="16"/>
      <c r="H160" s="38">
        <v>155</v>
      </c>
      <c r="I160" s="39" t="str">
        <f t="shared" si="17"/>
        <v/>
      </c>
      <c r="J160" s="38">
        <f t="shared" si="20"/>
        <v>-6</v>
      </c>
      <c r="K160" s="38">
        <f t="shared" si="18"/>
        <v>-60</v>
      </c>
      <c r="L160" s="38"/>
      <c r="M160" s="40">
        <f t="shared" si="19"/>
        <v>0</v>
      </c>
    </row>
    <row r="161" spans="1:13" x14ac:dyDescent="0.25">
      <c r="A161" s="59"/>
      <c r="G161" s="16"/>
      <c r="H161" s="38">
        <v>156</v>
      </c>
      <c r="I161" s="39" t="str">
        <f t="shared" si="17"/>
        <v/>
      </c>
      <c r="J161" s="38">
        <f t="shared" si="20"/>
        <v>-6</v>
      </c>
      <c r="K161" s="38">
        <f t="shared" si="18"/>
        <v>-60</v>
      </c>
      <c r="L161" s="38"/>
      <c r="M161" s="40">
        <f t="shared" si="19"/>
        <v>0</v>
      </c>
    </row>
    <row r="162" spans="1:13" x14ac:dyDescent="0.25">
      <c r="A162" s="59"/>
      <c r="G162" s="16"/>
      <c r="H162" s="38">
        <v>157</v>
      </c>
      <c r="I162" s="39" t="str">
        <f t="shared" si="17"/>
        <v/>
      </c>
      <c r="J162" s="38">
        <f t="shared" si="20"/>
        <v>-6</v>
      </c>
      <c r="K162" s="38">
        <f t="shared" si="18"/>
        <v>-60</v>
      </c>
      <c r="L162" s="38"/>
      <c r="M162" s="40">
        <f t="shared" si="19"/>
        <v>0</v>
      </c>
    </row>
    <row r="163" spans="1:13" x14ac:dyDescent="0.25">
      <c r="A163" s="59"/>
      <c r="G163" s="16"/>
      <c r="H163" s="38">
        <v>158</v>
      </c>
      <c r="I163" s="39" t="str">
        <f t="shared" si="17"/>
        <v/>
      </c>
      <c r="J163" s="38">
        <f t="shared" si="20"/>
        <v>-6</v>
      </c>
      <c r="K163" s="38">
        <f t="shared" si="18"/>
        <v>-60</v>
      </c>
      <c r="L163" s="38"/>
      <c r="M163" s="40">
        <f t="shared" si="19"/>
        <v>0</v>
      </c>
    </row>
    <row r="164" spans="1:13" x14ac:dyDescent="0.25">
      <c r="A164" s="59"/>
      <c r="G164" s="16"/>
      <c r="H164" s="38">
        <v>159</v>
      </c>
      <c r="I164" s="39" t="str">
        <f t="shared" si="17"/>
        <v/>
      </c>
      <c r="J164" s="38">
        <f t="shared" si="20"/>
        <v>-6</v>
      </c>
      <c r="K164" s="38">
        <f t="shared" si="18"/>
        <v>-60</v>
      </c>
      <c r="L164" s="38"/>
      <c r="M164" s="40">
        <f t="shared" si="19"/>
        <v>0</v>
      </c>
    </row>
    <row r="165" spans="1:13" x14ac:dyDescent="0.25">
      <c r="A165" s="59"/>
      <c r="G165" s="16"/>
      <c r="H165" s="38">
        <v>160</v>
      </c>
      <c r="I165" s="39" t="str">
        <f t="shared" si="17"/>
        <v/>
      </c>
      <c r="J165" s="38">
        <f t="shared" si="20"/>
        <v>-6</v>
      </c>
      <c r="K165" s="38">
        <f t="shared" si="18"/>
        <v>-60</v>
      </c>
      <c r="L165" s="38"/>
      <c r="M165" s="40">
        <f t="shared" si="19"/>
        <v>0</v>
      </c>
    </row>
    <row r="166" spans="1:13" x14ac:dyDescent="0.25">
      <c r="A166" s="59"/>
      <c r="G166" s="16"/>
      <c r="H166" s="38">
        <v>161</v>
      </c>
      <c r="I166" s="39" t="str">
        <f t="shared" si="17"/>
        <v/>
      </c>
      <c r="J166" s="38">
        <f t="shared" si="20"/>
        <v>-6</v>
      </c>
      <c r="K166" s="38">
        <f t="shared" si="18"/>
        <v>-60</v>
      </c>
      <c r="L166" s="38"/>
      <c r="M166" s="40">
        <f t="shared" si="19"/>
        <v>0</v>
      </c>
    </row>
    <row r="167" spans="1:13" x14ac:dyDescent="0.25">
      <c r="A167" s="59"/>
      <c r="G167" s="16"/>
      <c r="H167" s="38">
        <v>162</v>
      </c>
      <c r="I167" s="39" t="str">
        <f t="shared" si="17"/>
        <v/>
      </c>
      <c r="J167" s="38">
        <f t="shared" si="20"/>
        <v>-6</v>
      </c>
      <c r="K167" s="38">
        <f t="shared" si="18"/>
        <v>-60</v>
      </c>
      <c r="L167" s="38"/>
      <c r="M167" s="40">
        <f t="shared" si="19"/>
        <v>0</v>
      </c>
    </row>
    <row r="168" spans="1:13" x14ac:dyDescent="0.25">
      <c r="A168" s="59"/>
      <c r="G168" s="16"/>
      <c r="H168" s="38">
        <v>163</v>
      </c>
      <c r="I168" s="39" t="str">
        <f t="shared" si="17"/>
        <v/>
      </c>
      <c r="J168" s="38">
        <f t="shared" si="20"/>
        <v>-6</v>
      </c>
      <c r="K168" s="38">
        <f t="shared" si="18"/>
        <v>-60</v>
      </c>
      <c r="L168" s="38"/>
      <c r="M168" s="40">
        <f t="shared" si="19"/>
        <v>0</v>
      </c>
    </row>
    <row r="169" spans="1:13" x14ac:dyDescent="0.25">
      <c r="A169" s="59"/>
      <c r="G169" s="16"/>
      <c r="H169" s="38">
        <v>164</v>
      </c>
      <c r="I169" s="39" t="str">
        <f t="shared" si="17"/>
        <v/>
      </c>
      <c r="J169" s="38">
        <f t="shared" si="20"/>
        <v>-6</v>
      </c>
      <c r="K169" s="38">
        <f t="shared" si="18"/>
        <v>-60</v>
      </c>
      <c r="L169" s="38"/>
      <c r="M169" s="40">
        <f t="shared" si="19"/>
        <v>0</v>
      </c>
    </row>
    <row r="170" spans="1:13" x14ac:dyDescent="0.25">
      <c r="A170" s="59"/>
      <c r="G170" s="16"/>
      <c r="H170" s="38">
        <v>165</v>
      </c>
      <c r="I170" s="39" t="str">
        <f t="shared" si="17"/>
        <v/>
      </c>
      <c r="J170" s="38">
        <f t="shared" si="20"/>
        <v>-6</v>
      </c>
      <c r="K170" s="38">
        <f t="shared" si="18"/>
        <v>-60</v>
      </c>
      <c r="L170" s="38"/>
      <c r="M170" s="40">
        <f t="shared" si="19"/>
        <v>0</v>
      </c>
    </row>
    <row r="171" spans="1:13" x14ac:dyDescent="0.25">
      <c r="A171" s="59"/>
      <c r="G171" s="16"/>
      <c r="H171" s="38">
        <v>166</v>
      </c>
      <c r="I171" s="39" t="str">
        <f t="shared" si="17"/>
        <v/>
      </c>
      <c r="J171" s="38">
        <f t="shared" si="20"/>
        <v>-6</v>
      </c>
      <c r="K171" s="38">
        <f t="shared" si="18"/>
        <v>-60</v>
      </c>
      <c r="L171" s="38"/>
      <c r="M171" s="40">
        <f t="shared" si="19"/>
        <v>0</v>
      </c>
    </row>
    <row r="172" spans="1:13" x14ac:dyDescent="0.25">
      <c r="A172" s="59"/>
      <c r="G172" s="16"/>
      <c r="H172" s="38">
        <v>167</v>
      </c>
      <c r="I172" s="39" t="str">
        <f t="shared" si="17"/>
        <v/>
      </c>
      <c r="J172" s="38">
        <f t="shared" si="20"/>
        <v>-6</v>
      </c>
      <c r="K172" s="38">
        <f t="shared" si="18"/>
        <v>-60</v>
      </c>
      <c r="L172" s="38"/>
      <c r="M172" s="40">
        <f t="shared" si="19"/>
        <v>0</v>
      </c>
    </row>
    <row r="173" spans="1:13" x14ac:dyDescent="0.25">
      <c r="A173" s="59"/>
      <c r="G173" s="16"/>
      <c r="H173" s="38">
        <v>168</v>
      </c>
      <c r="I173" s="39" t="str">
        <f t="shared" si="17"/>
        <v/>
      </c>
      <c r="J173" s="38">
        <f t="shared" si="20"/>
        <v>-6</v>
      </c>
      <c r="K173" s="38">
        <f t="shared" si="18"/>
        <v>-60</v>
      </c>
      <c r="L173" s="38"/>
      <c r="M173" s="40">
        <f t="shared" si="19"/>
        <v>0</v>
      </c>
    </row>
    <row r="174" spans="1:13" x14ac:dyDescent="0.25">
      <c r="A174" s="59"/>
      <c r="G174" s="16"/>
      <c r="H174" s="38">
        <v>169</v>
      </c>
      <c r="I174" s="39" t="str">
        <f t="shared" si="17"/>
        <v/>
      </c>
      <c r="J174" s="38">
        <f t="shared" si="20"/>
        <v>-6</v>
      </c>
      <c r="K174" s="38">
        <f t="shared" si="18"/>
        <v>-60</v>
      </c>
      <c r="L174" s="38"/>
      <c r="M174" s="40">
        <f t="shared" si="19"/>
        <v>0</v>
      </c>
    </row>
    <row r="175" spans="1:13" x14ac:dyDescent="0.25">
      <c r="A175" s="59"/>
      <c r="G175" s="16"/>
      <c r="H175" s="38">
        <v>170</v>
      </c>
      <c r="I175" s="39" t="str">
        <f t="shared" si="17"/>
        <v/>
      </c>
      <c r="J175" s="38">
        <f t="shared" si="20"/>
        <v>-6</v>
      </c>
      <c r="K175" s="38">
        <f t="shared" si="18"/>
        <v>-60</v>
      </c>
      <c r="L175" s="38"/>
      <c r="M175" s="40">
        <f t="shared" si="19"/>
        <v>0</v>
      </c>
    </row>
    <row r="176" spans="1:13" x14ac:dyDescent="0.25">
      <c r="A176" s="59"/>
      <c r="G176" s="16"/>
      <c r="H176" s="38">
        <v>171</v>
      </c>
      <c r="I176" s="39" t="str">
        <f t="shared" si="17"/>
        <v/>
      </c>
      <c r="J176" s="38">
        <f t="shared" si="20"/>
        <v>-6</v>
      </c>
      <c r="K176" s="38">
        <f t="shared" si="18"/>
        <v>-60</v>
      </c>
      <c r="L176" s="38"/>
      <c r="M176" s="40">
        <f t="shared" si="19"/>
        <v>0</v>
      </c>
    </row>
    <row r="177" spans="1:13" x14ac:dyDescent="0.25">
      <c r="A177" s="59"/>
      <c r="G177" s="16"/>
      <c r="H177" s="38">
        <v>172</v>
      </c>
      <c r="I177" s="39" t="str">
        <f t="shared" si="17"/>
        <v/>
      </c>
      <c r="J177" s="38">
        <f t="shared" si="20"/>
        <v>-6</v>
      </c>
      <c r="K177" s="38">
        <f t="shared" si="18"/>
        <v>-60</v>
      </c>
      <c r="L177" s="38"/>
      <c r="M177" s="40">
        <f t="shared" si="19"/>
        <v>0</v>
      </c>
    </row>
    <row r="178" spans="1:13" x14ac:dyDescent="0.25">
      <c r="A178" s="59"/>
      <c r="G178" s="16"/>
      <c r="H178" s="38">
        <v>173</v>
      </c>
      <c r="I178" s="39" t="str">
        <f t="shared" si="17"/>
        <v/>
      </c>
      <c r="J178" s="38">
        <f t="shared" si="20"/>
        <v>-6</v>
      </c>
      <c r="K178" s="38">
        <f t="shared" si="18"/>
        <v>-60</v>
      </c>
      <c r="L178" s="38"/>
      <c r="M178" s="40">
        <f t="shared" si="19"/>
        <v>0</v>
      </c>
    </row>
    <row r="179" spans="1:13" x14ac:dyDescent="0.25">
      <c r="A179" s="59"/>
      <c r="G179" s="16"/>
      <c r="H179" s="38">
        <v>174</v>
      </c>
      <c r="I179" s="39" t="str">
        <f t="shared" si="17"/>
        <v/>
      </c>
      <c r="J179" s="38">
        <f t="shared" si="20"/>
        <v>-6</v>
      </c>
      <c r="K179" s="38">
        <f t="shared" si="18"/>
        <v>-60</v>
      </c>
      <c r="L179" s="38"/>
      <c r="M179" s="40">
        <f t="shared" si="19"/>
        <v>0</v>
      </c>
    </row>
    <row r="180" spans="1:13" x14ac:dyDescent="0.25">
      <c r="A180" s="59"/>
      <c r="G180" s="16"/>
      <c r="H180" s="38">
        <v>175</v>
      </c>
      <c r="I180" s="39" t="str">
        <f t="shared" si="17"/>
        <v/>
      </c>
      <c r="J180" s="38">
        <f t="shared" si="20"/>
        <v>-6</v>
      </c>
      <c r="K180" s="38">
        <f t="shared" si="18"/>
        <v>-60</v>
      </c>
      <c r="L180" s="38"/>
      <c r="M180" s="40">
        <f t="shared" si="19"/>
        <v>0</v>
      </c>
    </row>
    <row r="181" spans="1:13" x14ac:dyDescent="0.25">
      <c r="A181" s="59"/>
      <c r="G181" s="16"/>
      <c r="H181" s="38">
        <v>176</v>
      </c>
      <c r="I181" s="39" t="str">
        <f t="shared" si="17"/>
        <v/>
      </c>
      <c r="J181" s="38">
        <f t="shared" si="20"/>
        <v>-6</v>
      </c>
      <c r="K181" s="38">
        <f t="shared" si="18"/>
        <v>-60</v>
      </c>
      <c r="L181" s="38"/>
      <c r="M181" s="40">
        <f t="shared" si="19"/>
        <v>0</v>
      </c>
    </row>
    <row r="182" spans="1:13" x14ac:dyDescent="0.25">
      <c r="A182" s="59"/>
      <c r="G182" s="16"/>
      <c r="H182" s="38">
        <v>177</v>
      </c>
      <c r="I182" s="39" t="str">
        <f t="shared" si="17"/>
        <v/>
      </c>
      <c r="J182" s="38">
        <f t="shared" si="20"/>
        <v>-6</v>
      </c>
      <c r="K182" s="38">
        <f t="shared" si="18"/>
        <v>-60</v>
      </c>
      <c r="L182" s="38"/>
      <c r="M182" s="40">
        <f t="shared" si="19"/>
        <v>0</v>
      </c>
    </row>
    <row r="183" spans="1:13" x14ac:dyDescent="0.25">
      <c r="A183" s="59"/>
      <c r="G183" s="16"/>
      <c r="H183" s="38">
        <v>178</v>
      </c>
      <c r="I183" s="39" t="str">
        <f t="shared" si="17"/>
        <v/>
      </c>
      <c r="J183" s="38">
        <f t="shared" si="20"/>
        <v>-6</v>
      </c>
      <c r="K183" s="38">
        <f t="shared" si="18"/>
        <v>-60</v>
      </c>
      <c r="L183" s="38"/>
      <c r="M183" s="40">
        <f t="shared" si="19"/>
        <v>0</v>
      </c>
    </row>
    <row r="184" spans="1:13" x14ac:dyDescent="0.25">
      <c r="A184" s="59"/>
      <c r="G184" s="16"/>
      <c r="H184" s="38">
        <v>179</v>
      </c>
      <c r="I184" s="39" t="str">
        <f t="shared" si="17"/>
        <v/>
      </c>
      <c r="J184" s="38">
        <f t="shared" si="20"/>
        <v>-6</v>
      </c>
      <c r="K184" s="38">
        <f t="shared" si="18"/>
        <v>-60</v>
      </c>
      <c r="L184" s="38"/>
      <c r="M184" s="40">
        <f t="shared" si="19"/>
        <v>0</v>
      </c>
    </row>
    <row r="185" spans="1:13" x14ac:dyDescent="0.25">
      <c r="A185" s="59"/>
      <c r="G185" s="16"/>
      <c r="H185" s="38">
        <v>180</v>
      </c>
      <c r="I185" s="39" t="str">
        <f t="shared" si="17"/>
        <v/>
      </c>
      <c r="J185" s="38">
        <f t="shared" si="20"/>
        <v>-6</v>
      </c>
      <c r="K185" s="38">
        <f t="shared" si="18"/>
        <v>-60</v>
      </c>
      <c r="L185" s="38"/>
      <c r="M185" s="40">
        <f t="shared" si="19"/>
        <v>0</v>
      </c>
    </row>
    <row r="186" spans="1:13" x14ac:dyDescent="0.25">
      <c r="A186" s="59"/>
      <c r="G186" s="16"/>
      <c r="H186" s="38">
        <v>181</v>
      </c>
      <c r="I186" s="39" t="str">
        <f t="shared" si="17"/>
        <v/>
      </c>
      <c r="J186" s="38">
        <f t="shared" si="20"/>
        <v>-6</v>
      </c>
      <c r="K186" s="38">
        <f t="shared" si="18"/>
        <v>-60</v>
      </c>
      <c r="L186" s="38"/>
      <c r="M186" s="40">
        <f t="shared" si="19"/>
        <v>0</v>
      </c>
    </row>
    <row r="187" spans="1:13" x14ac:dyDescent="0.25">
      <c r="A187" s="59"/>
      <c r="G187" s="16"/>
      <c r="H187" s="38">
        <v>182</v>
      </c>
      <c r="I187" s="39" t="str">
        <f t="shared" si="17"/>
        <v/>
      </c>
      <c r="J187" s="38">
        <f t="shared" si="20"/>
        <v>-6</v>
      </c>
      <c r="K187" s="38">
        <f t="shared" si="18"/>
        <v>-60</v>
      </c>
      <c r="L187" s="38"/>
      <c r="M187" s="40">
        <f t="shared" si="19"/>
        <v>0</v>
      </c>
    </row>
    <row r="188" spans="1:13" x14ac:dyDescent="0.25">
      <c r="A188" s="59"/>
      <c r="G188" s="16"/>
      <c r="H188" s="38">
        <v>183</v>
      </c>
      <c r="I188" s="39" t="str">
        <f t="shared" si="17"/>
        <v/>
      </c>
      <c r="J188" s="38">
        <f t="shared" si="20"/>
        <v>-6</v>
      </c>
      <c r="K188" s="38">
        <f t="shared" si="18"/>
        <v>-60</v>
      </c>
      <c r="L188" s="38"/>
      <c r="M188" s="40">
        <f t="shared" si="19"/>
        <v>0</v>
      </c>
    </row>
    <row r="189" spans="1:13" x14ac:dyDescent="0.25">
      <c r="A189" s="59"/>
      <c r="G189" s="16"/>
      <c r="H189" s="38">
        <v>184</v>
      </c>
      <c r="I189" s="39" t="str">
        <f t="shared" si="17"/>
        <v/>
      </c>
      <c r="J189" s="38">
        <f t="shared" si="20"/>
        <v>-6</v>
      </c>
      <c r="K189" s="38">
        <f t="shared" si="18"/>
        <v>-60</v>
      </c>
      <c r="L189" s="38"/>
      <c r="M189" s="40">
        <f t="shared" si="19"/>
        <v>0</v>
      </c>
    </row>
    <row r="190" spans="1:13" x14ac:dyDescent="0.25">
      <c r="A190" s="59"/>
      <c r="G190" s="16"/>
      <c r="H190" s="38">
        <v>185</v>
      </c>
      <c r="I190" s="39" t="str">
        <f t="shared" si="17"/>
        <v/>
      </c>
      <c r="J190" s="38">
        <f t="shared" si="20"/>
        <v>-6</v>
      </c>
      <c r="K190" s="38">
        <f t="shared" si="18"/>
        <v>-60</v>
      </c>
      <c r="L190" s="38"/>
      <c r="M190" s="40">
        <f t="shared" si="19"/>
        <v>0</v>
      </c>
    </row>
    <row r="191" spans="1:13" x14ac:dyDescent="0.25">
      <c r="A191" s="59"/>
      <c r="G191" s="16"/>
      <c r="H191" s="38">
        <v>186</v>
      </c>
      <c r="I191" s="39" t="str">
        <f t="shared" si="17"/>
        <v/>
      </c>
      <c r="J191" s="38">
        <f t="shared" si="20"/>
        <v>-6</v>
      </c>
      <c r="K191" s="38">
        <f t="shared" si="18"/>
        <v>-60</v>
      </c>
      <c r="L191" s="38"/>
      <c r="M191" s="40">
        <f t="shared" si="19"/>
        <v>0</v>
      </c>
    </row>
    <row r="192" spans="1:13" x14ac:dyDescent="0.25">
      <c r="A192" s="59"/>
      <c r="G192" s="16"/>
      <c r="H192" s="38">
        <v>187</v>
      </c>
      <c r="I192" s="39" t="str">
        <f t="shared" si="17"/>
        <v/>
      </c>
      <c r="J192" s="38">
        <f t="shared" si="20"/>
        <v>-6</v>
      </c>
      <c r="K192" s="38">
        <f t="shared" si="18"/>
        <v>-60</v>
      </c>
      <c r="L192" s="38"/>
      <c r="M192" s="40">
        <f t="shared" si="19"/>
        <v>0</v>
      </c>
    </row>
    <row r="193" spans="1:13" x14ac:dyDescent="0.25">
      <c r="A193" s="59"/>
      <c r="G193" s="16"/>
      <c r="H193" s="38">
        <v>188</v>
      </c>
      <c r="I193" s="39" t="str">
        <f t="shared" si="17"/>
        <v/>
      </c>
      <c r="J193" s="38">
        <f t="shared" si="20"/>
        <v>-6</v>
      </c>
      <c r="K193" s="38">
        <f t="shared" si="18"/>
        <v>-60</v>
      </c>
      <c r="L193" s="38"/>
      <c r="M193" s="40">
        <f t="shared" si="19"/>
        <v>0</v>
      </c>
    </row>
    <row r="194" spans="1:13" x14ac:dyDescent="0.25">
      <c r="A194" s="59"/>
      <c r="G194" s="16"/>
      <c r="H194" s="38">
        <v>189</v>
      </c>
      <c r="I194" s="39" t="str">
        <f t="shared" si="17"/>
        <v/>
      </c>
      <c r="J194" s="38">
        <f t="shared" si="20"/>
        <v>-6</v>
      </c>
      <c r="K194" s="38">
        <f t="shared" si="18"/>
        <v>-60</v>
      </c>
      <c r="L194" s="38"/>
      <c r="M194" s="40">
        <f t="shared" si="19"/>
        <v>0</v>
      </c>
    </row>
    <row r="195" spans="1:13" x14ac:dyDescent="0.25">
      <c r="A195" s="59"/>
      <c r="G195" s="16"/>
      <c r="H195" s="38">
        <v>190</v>
      </c>
      <c r="I195" s="39" t="str">
        <f t="shared" si="17"/>
        <v/>
      </c>
      <c r="J195" s="38">
        <f t="shared" si="20"/>
        <v>-6</v>
      </c>
      <c r="K195" s="38">
        <f t="shared" si="18"/>
        <v>-60</v>
      </c>
      <c r="L195" s="38"/>
      <c r="M195" s="40">
        <f t="shared" si="19"/>
        <v>0</v>
      </c>
    </row>
    <row r="196" spans="1:13" x14ac:dyDescent="0.25">
      <c r="A196" s="59"/>
      <c r="G196" s="16"/>
      <c r="H196" s="38">
        <v>191</v>
      </c>
      <c r="I196" s="39" t="str">
        <f t="shared" si="17"/>
        <v/>
      </c>
      <c r="J196" s="38">
        <f t="shared" si="20"/>
        <v>-6</v>
      </c>
      <c r="K196" s="38">
        <f t="shared" si="18"/>
        <v>-60</v>
      </c>
      <c r="L196" s="38"/>
      <c r="M196" s="40">
        <f t="shared" si="19"/>
        <v>0</v>
      </c>
    </row>
    <row r="197" spans="1:13" x14ac:dyDescent="0.25">
      <c r="A197" s="59"/>
      <c r="G197" s="16"/>
      <c r="H197" s="38">
        <v>192</v>
      </c>
      <c r="I197" s="39" t="str">
        <f t="shared" si="17"/>
        <v/>
      </c>
      <c r="J197" s="38">
        <f t="shared" si="20"/>
        <v>-6</v>
      </c>
      <c r="K197" s="38">
        <f t="shared" si="18"/>
        <v>-60</v>
      </c>
      <c r="L197" s="38"/>
      <c r="M197" s="40">
        <f t="shared" si="19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21">IF(H198&lt;$H$2+1,($I$2-($I$2-1)*(LOG(H198)/LOG($H$2))),"")</f>
        <v/>
      </c>
      <c r="J198" s="38">
        <f t="shared" si="20"/>
        <v>-6</v>
      </c>
      <c r="K198" s="38">
        <f t="shared" ref="K198:K261" si="22">J198*$J$2</f>
        <v>-60</v>
      </c>
      <c r="L198" s="38"/>
      <c r="M198" s="40">
        <f t="shared" ref="M198:M261" si="23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21"/>
        <v/>
      </c>
      <c r="J199" s="38">
        <f t="shared" ref="J199:J262" si="24">INT(LOG($H$2,2))-ROUNDUP(LOG(H199,2),0)+IF(OR($H$2=1,$H$2=2,$H$2=4,$H$2=8,$H$2=16,$H$2=32,$H$2=64,$H$2=128,$H$2=256),1,0)</f>
        <v>-6</v>
      </c>
      <c r="K199" s="38">
        <f t="shared" si="22"/>
        <v>-60</v>
      </c>
      <c r="L199" s="38"/>
      <c r="M199" s="40">
        <f t="shared" si="23"/>
        <v>0</v>
      </c>
    </row>
    <row r="200" spans="1:13" x14ac:dyDescent="0.25">
      <c r="A200" s="59"/>
      <c r="G200" s="16"/>
      <c r="H200" s="38">
        <v>195</v>
      </c>
      <c r="I200" s="39" t="str">
        <f t="shared" si="21"/>
        <v/>
      </c>
      <c r="J200" s="38">
        <f t="shared" si="24"/>
        <v>-6</v>
      </c>
      <c r="K200" s="38">
        <f t="shared" si="22"/>
        <v>-60</v>
      </c>
      <c r="L200" s="38"/>
      <c r="M200" s="40">
        <f t="shared" si="23"/>
        <v>0</v>
      </c>
    </row>
    <row r="201" spans="1:13" x14ac:dyDescent="0.25">
      <c r="A201" s="59"/>
      <c r="G201" s="16"/>
      <c r="H201" s="38">
        <v>196</v>
      </c>
      <c r="I201" s="39" t="str">
        <f t="shared" si="21"/>
        <v/>
      </c>
      <c r="J201" s="38">
        <f t="shared" si="24"/>
        <v>-6</v>
      </c>
      <c r="K201" s="38">
        <f t="shared" si="22"/>
        <v>-60</v>
      </c>
      <c r="L201" s="38"/>
      <c r="M201" s="40">
        <f t="shared" si="23"/>
        <v>0</v>
      </c>
    </row>
    <row r="202" spans="1:13" x14ac:dyDescent="0.25">
      <c r="A202" s="59"/>
      <c r="G202" s="16"/>
      <c r="H202" s="38">
        <v>197</v>
      </c>
      <c r="I202" s="39" t="str">
        <f t="shared" si="21"/>
        <v/>
      </c>
      <c r="J202" s="38">
        <f t="shared" si="24"/>
        <v>-6</v>
      </c>
      <c r="K202" s="38">
        <f t="shared" si="22"/>
        <v>-60</v>
      </c>
      <c r="L202" s="38"/>
      <c r="M202" s="40">
        <f t="shared" si="23"/>
        <v>0</v>
      </c>
    </row>
    <row r="203" spans="1:13" x14ac:dyDescent="0.25">
      <c r="A203" s="59"/>
      <c r="G203" s="16"/>
      <c r="H203" s="38">
        <v>198</v>
      </c>
      <c r="I203" s="39" t="str">
        <f t="shared" si="21"/>
        <v/>
      </c>
      <c r="J203" s="38">
        <f t="shared" si="24"/>
        <v>-6</v>
      </c>
      <c r="K203" s="38">
        <f t="shared" si="22"/>
        <v>-60</v>
      </c>
      <c r="L203" s="38"/>
      <c r="M203" s="40">
        <f t="shared" si="23"/>
        <v>0</v>
      </c>
    </row>
    <row r="204" spans="1:13" x14ac:dyDescent="0.25">
      <c r="A204" s="59"/>
      <c r="G204" s="16"/>
      <c r="H204" s="38">
        <v>199</v>
      </c>
      <c r="I204" s="39" t="str">
        <f t="shared" si="21"/>
        <v/>
      </c>
      <c r="J204" s="38">
        <f t="shared" si="24"/>
        <v>-6</v>
      </c>
      <c r="K204" s="38">
        <f t="shared" si="22"/>
        <v>-60</v>
      </c>
      <c r="L204" s="38"/>
      <c r="M204" s="40">
        <f t="shared" si="23"/>
        <v>0</v>
      </c>
    </row>
    <row r="205" spans="1:13" x14ac:dyDescent="0.25">
      <c r="A205" s="59"/>
      <c r="G205" s="16"/>
      <c r="H205" s="38">
        <v>200</v>
      </c>
      <c r="I205" s="39" t="str">
        <f t="shared" si="21"/>
        <v/>
      </c>
      <c r="J205" s="38">
        <f t="shared" si="24"/>
        <v>-6</v>
      </c>
      <c r="K205" s="38">
        <f t="shared" si="22"/>
        <v>-60</v>
      </c>
      <c r="L205" s="38"/>
      <c r="M205" s="40">
        <f t="shared" si="23"/>
        <v>0</v>
      </c>
    </row>
    <row r="206" spans="1:13" x14ac:dyDescent="0.25">
      <c r="A206" s="59"/>
      <c r="G206" s="16"/>
      <c r="H206" s="38">
        <v>201</v>
      </c>
      <c r="I206" s="39" t="str">
        <f t="shared" si="21"/>
        <v/>
      </c>
      <c r="J206" s="38">
        <f t="shared" si="24"/>
        <v>-6</v>
      </c>
      <c r="K206" s="38">
        <f t="shared" si="22"/>
        <v>-60</v>
      </c>
      <c r="L206" s="38"/>
      <c r="M206" s="40">
        <f t="shared" si="23"/>
        <v>0</v>
      </c>
    </row>
    <row r="207" spans="1:13" x14ac:dyDescent="0.25">
      <c r="A207" s="59"/>
      <c r="G207" s="16"/>
      <c r="H207" s="38">
        <v>202</v>
      </c>
      <c r="I207" s="39" t="str">
        <f t="shared" si="21"/>
        <v/>
      </c>
      <c r="J207" s="38">
        <f t="shared" si="24"/>
        <v>-6</v>
      </c>
      <c r="K207" s="38">
        <f t="shared" si="22"/>
        <v>-60</v>
      </c>
      <c r="L207" s="38"/>
      <c r="M207" s="40">
        <f t="shared" si="23"/>
        <v>0</v>
      </c>
    </row>
    <row r="208" spans="1:13" x14ac:dyDescent="0.25">
      <c r="A208" s="59"/>
      <c r="G208" s="16"/>
      <c r="H208" s="38">
        <v>203</v>
      </c>
      <c r="I208" s="39" t="str">
        <f t="shared" si="21"/>
        <v/>
      </c>
      <c r="J208" s="38">
        <f t="shared" si="24"/>
        <v>-6</v>
      </c>
      <c r="K208" s="38">
        <f t="shared" si="22"/>
        <v>-60</v>
      </c>
      <c r="L208" s="38"/>
      <c r="M208" s="40">
        <f t="shared" si="23"/>
        <v>0</v>
      </c>
    </row>
    <row r="209" spans="1:13" x14ac:dyDescent="0.25">
      <c r="A209" s="59"/>
      <c r="G209" s="16"/>
      <c r="H209" s="38">
        <v>204</v>
      </c>
      <c r="I209" s="39" t="str">
        <f t="shared" si="21"/>
        <v/>
      </c>
      <c r="J209" s="38">
        <f t="shared" si="24"/>
        <v>-6</v>
      </c>
      <c r="K209" s="38">
        <f t="shared" si="22"/>
        <v>-60</v>
      </c>
      <c r="L209" s="38"/>
      <c r="M209" s="40">
        <f t="shared" si="23"/>
        <v>0</v>
      </c>
    </row>
    <row r="210" spans="1:13" x14ac:dyDescent="0.25">
      <c r="A210" s="59"/>
      <c r="G210" s="16"/>
      <c r="H210" s="38">
        <v>205</v>
      </c>
      <c r="I210" s="39" t="str">
        <f t="shared" si="21"/>
        <v/>
      </c>
      <c r="J210" s="38">
        <f t="shared" si="24"/>
        <v>-6</v>
      </c>
      <c r="K210" s="38">
        <f t="shared" si="22"/>
        <v>-60</v>
      </c>
      <c r="L210" s="38"/>
      <c r="M210" s="40">
        <f t="shared" si="23"/>
        <v>0</v>
      </c>
    </row>
    <row r="211" spans="1:13" x14ac:dyDescent="0.25">
      <c r="A211" s="59"/>
      <c r="G211" s="16"/>
      <c r="H211" s="38">
        <v>206</v>
      </c>
      <c r="I211" s="39" t="str">
        <f t="shared" si="21"/>
        <v/>
      </c>
      <c r="J211" s="38">
        <f t="shared" si="24"/>
        <v>-6</v>
      </c>
      <c r="K211" s="38">
        <f t="shared" si="22"/>
        <v>-60</v>
      </c>
      <c r="L211" s="38"/>
      <c r="M211" s="40">
        <f t="shared" si="23"/>
        <v>0</v>
      </c>
    </row>
    <row r="212" spans="1:13" x14ac:dyDescent="0.25">
      <c r="A212" s="59"/>
      <c r="G212" s="16"/>
      <c r="H212" s="38">
        <v>207</v>
      </c>
      <c r="I212" s="39" t="str">
        <f t="shared" si="21"/>
        <v/>
      </c>
      <c r="J212" s="38">
        <f t="shared" si="24"/>
        <v>-6</v>
      </c>
      <c r="K212" s="38">
        <f t="shared" si="22"/>
        <v>-60</v>
      </c>
      <c r="L212" s="38"/>
      <c r="M212" s="40">
        <f t="shared" si="23"/>
        <v>0</v>
      </c>
    </row>
    <row r="213" spans="1:13" x14ac:dyDescent="0.25">
      <c r="A213" s="59"/>
      <c r="G213" s="16"/>
      <c r="H213" s="38">
        <v>208</v>
      </c>
      <c r="I213" s="39" t="str">
        <f t="shared" si="21"/>
        <v/>
      </c>
      <c r="J213" s="38">
        <f t="shared" si="24"/>
        <v>-6</v>
      </c>
      <c r="K213" s="38">
        <f t="shared" si="22"/>
        <v>-60</v>
      </c>
      <c r="L213" s="38"/>
      <c r="M213" s="40">
        <f t="shared" si="23"/>
        <v>0</v>
      </c>
    </row>
    <row r="214" spans="1:13" x14ac:dyDescent="0.25">
      <c r="A214" s="59"/>
      <c r="G214" s="16"/>
      <c r="H214" s="38">
        <v>209</v>
      </c>
      <c r="I214" s="39" t="str">
        <f t="shared" si="21"/>
        <v/>
      </c>
      <c r="J214" s="38">
        <f t="shared" si="24"/>
        <v>-6</v>
      </c>
      <c r="K214" s="38">
        <f t="shared" si="22"/>
        <v>-60</v>
      </c>
      <c r="L214" s="38"/>
      <c r="M214" s="40">
        <f t="shared" si="23"/>
        <v>0</v>
      </c>
    </row>
    <row r="215" spans="1:13" x14ac:dyDescent="0.25">
      <c r="A215" s="59"/>
      <c r="G215" s="16"/>
      <c r="H215" s="38">
        <v>210</v>
      </c>
      <c r="I215" s="39" t="str">
        <f t="shared" si="21"/>
        <v/>
      </c>
      <c r="J215" s="38">
        <f t="shared" si="24"/>
        <v>-6</v>
      </c>
      <c r="K215" s="38">
        <f t="shared" si="22"/>
        <v>-60</v>
      </c>
      <c r="L215" s="38"/>
      <c r="M215" s="40">
        <f t="shared" si="23"/>
        <v>0</v>
      </c>
    </row>
    <row r="216" spans="1:13" x14ac:dyDescent="0.25">
      <c r="A216" s="59"/>
      <c r="G216" s="16"/>
      <c r="H216" s="38">
        <v>211</v>
      </c>
      <c r="I216" s="39" t="str">
        <f t="shared" si="21"/>
        <v/>
      </c>
      <c r="J216" s="38">
        <f t="shared" si="24"/>
        <v>-6</v>
      </c>
      <c r="K216" s="38">
        <f t="shared" si="22"/>
        <v>-60</v>
      </c>
      <c r="L216" s="38"/>
      <c r="M216" s="40">
        <f t="shared" si="23"/>
        <v>0</v>
      </c>
    </row>
    <row r="217" spans="1:13" x14ac:dyDescent="0.25">
      <c r="A217" s="59"/>
      <c r="G217" s="16"/>
      <c r="H217" s="38">
        <v>212</v>
      </c>
      <c r="I217" s="39" t="str">
        <f t="shared" si="21"/>
        <v/>
      </c>
      <c r="J217" s="38">
        <f t="shared" si="24"/>
        <v>-6</v>
      </c>
      <c r="K217" s="38">
        <f t="shared" si="22"/>
        <v>-60</v>
      </c>
      <c r="L217" s="38"/>
      <c r="M217" s="40">
        <f t="shared" si="23"/>
        <v>0</v>
      </c>
    </row>
    <row r="218" spans="1:13" x14ac:dyDescent="0.25">
      <c r="A218" s="59"/>
      <c r="G218" s="16"/>
      <c r="H218" s="38">
        <v>213</v>
      </c>
      <c r="I218" s="39" t="str">
        <f t="shared" si="21"/>
        <v/>
      </c>
      <c r="J218" s="38">
        <f t="shared" si="24"/>
        <v>-6</v>
      </c>
      <c r="K218" s="38">
        <f t="shared" si="22"/>
        <v>-60</v>
      </c>
      <c r="L218" s="38"/>
      <c r="M218" s="40">
        <f t="shared" si="23"/>
        <v>0</v>
      </c>
    </row>
    <row r="219" spans="1:13" x14ac:dyDescent="0.25">
      <c r="A219" s="59"/>
      <c r="G219" s="16"/>
      <c r="H219" s="38">
        <v>214</v>
      </c>
      <c r="I219" s="39" t="str">
        <f t="shared" si="21"/>
        <v/>
      </c>
      <c r="J219" s="38">
        <f t="shared" si="24"/>
        <v>-6</v>
      </c>
      <c r="K219" s="38">
        <f t="shared" si="22"/>
        <v>-60</v>
      </c>
      <c r="L219" s="38"/>
      <c r="M219" s="40">
        <f t="shared" si="23"/>
        <v>0</v>
      </c>
    </row>
    <row r="220" spans="1:13" x14ac:dyDescent="0.25">
      <c r="A220" s="59"/>
      <c r="G220" s="16"/>
      <c r="H220" s="38">
        <v>215</v>
      </c>
      <c r="I220" s="39" t="str">
        <f t="shared" si="21"/>
        <v/>
      </c>
      <c r="J220" s="38">
        <f t="shared" si="24"/>
        <v>-6</v>
      </c>
      <c r="K220" s="38">
        <f t="shared" si="22"/>
        <v>-60</v>
      </c>
      <c r="L220" s="38"/>
      <c r="M220" s="40">
        <f t="shared" si="23"/>
        <v>0</v>
      </c>
    </row>
    <row r="221" spans="1:13" x14ac:dyDescent="0.25">
      <c r="A221" s="59"/>
      <c r="G221" s="16"/>
      <c r="H221" s="38">
        <v>216</v>
      </c>
      <c r="I221" s="39" t="str">
        <f t="shared" si="21"/>
        <v/>
      </c>
      <c r="J221" s="38">
        <f t="shared" si="24"/>
        <v>-6</v>
      </c>
      <c r="K221" s="38">
        <f t="shared" si="22"/>
        <v>-60</v>
      </c>
      <c r="L221" s="38"/>
      <c r="M221" s="40">
        <f t="shared" si="23"/>
        <v>0</v>
      </c>
    </row>
    <row r="222" spans="1:13" x14ac:dyDescent="0.25">
      <c r="A222" s="59"/>
      <c r="G222" s="16"/>
      <c r="H222" s="38">
        <v>217</v>
      </c>
      <c r="I222" s="39" t="str">
        <f t="shared" si="21"/>
        <v/>
      </c>
      <c r="J222" s="38">
        <f t="shared" si="24"/>
        <v>-6</v>
      </c>
      <c r="K222" s="38">
        <f t="shared" si="22"/>
        <v>-60</v>
      </c>
      <c r="L222" s="38"/>
      <c r="M222" s="40">
        <f t="shared" si="23"/>
        <v>0</v>
      </c>
    </row>
    <row r="223" spans="1:13" x14ac:dyDescent="0.25">
      <c r="A223" s="59"/>
      <c r="G223" s="16"/>
      <c r="H223" s="38">
        <v>218</v>
      </c>
      <c r="I223" s="39" t="str">
        <f t="shared" si="21"/>
        <v/>
      </c>
      <c r="J223" s="38">
        <f t="shared" si="24"/>
        <v>-6</v>
      </c>
      <c r="K223" s="38">
        <f t="shared" si="22"/>
        <v>-60</v>
      </c>
      <c r="L223" s="38"/>
      <c r="M223" s="40">
        <f t="shared" si="23"/>
        <v>0</v>
      </c>
    </row>
    <row r="224" spans="1:13" x14ac:dyDescent="0.25">
      <c r="A224" s="59"/>
      <c r="G224" s="16"/>
      <c r="H224" s="38">
        <v>219</v>
      </c>
      <c r="I224" s="39" t="str">
        <f t="shared" si="21"/>
        <v/>
      </c>
      <c r="J224" s="38">
        <f t="shared" si="24"/>
        <v>-6</v>
      </c>
      <c r="K224" s="38">
        <f t="shared" si="22"/>
        <v>-60</v>
      </c>
      <c r="L224" s="38"/>
      <c r="M224" s="40">
        <f t="shared" si="23"/>
        <v>0</v>
      </c>
    </row>
    <row r="225" spans="1:13" x14ac:dyDescent="0.25">
      <c r="A225" s="59"/>
      <c r="G225" s="16"/>
      <c r="H225" s="38">
        <v>220</v>
      </c>
      <c r="I225" s="39" t="str">
        <f t="shared" si="21"/>
        <v/>
      </c>
      <c r="J225" s="38">
        <f t="shared" si="24"/>
        <v>-6</v>
      </c>
      <c r="K225" s="38">
        <f t="shared" si="22"/>
        <v>-60</v>
      </c>
      <c r="L225" s="38"/>
      <c r="M225" s="40">
        <f t="shared" si="23"/>
        <v>0</v>
      </c>
    </row>
    <row r="226" spans="1:13" x14ac:dyDescent="0.25">
      <c r="A226" s="59"/>
      <c r="G226" s="16"/>
      <c r="H226" s="38">
        <v>221</v>
      </c>
      <c r="I226" s="39" t="str">
        <f t="shared" si="21"/>
        <v/>
      </c>
      <c r="J226" s="38">
        <f t="shared" si="24"/>
        <v>-6</v>
      </c>
      <c r="K226" s="38">
        <f t="shared" si="22"/>
        <v>-60</v>
      </c>
      <c r="L226" s="38"/>
      <c r="M226" s="40">
        <f t="shared" si="23"/>
        <v>0</v>
      </c>
    </row>
    <row r="227" spans="1:13" x14ac:dyDescent="0.25">
      <c r="A227" s="59"/>
      <c r="G227" s="16"/>
      <c r="H227" s="38">
        <v>222</v>
      </c>
      <c r="I227" s="39" t="str">
        <f t="shared" si="21"/>
        <v/>
      </c>
      <c r="J227" s="38">
        <f t="shared" si="24"/>
        <v>-6</v>
      </c>
      <c r="K227" s="38">
        <f t="shared" si="22"/>
        <v>-60</v>
      </c>
      <c r="L227" s="38"/>
      <c r="M227" s="40">
        <f t="shared" si="23"/>
        <v>0</v>
      </c>
    </row>
    <row r="228" spans="1:13" x14ac:dyDescent="0.25">
      <c r="A228" s="59"/>
      <c r="G228" s="16"/>
      <c r="H228" s="38">
        <v>223</v>
      </c>
      <c r="I228" s="39" t="str">
        <f t="shared" si="21"/>
        <v/>
      </c>
      <c r="J228" s="38">
        <f t="shared" si="24"/>
        <v>-6</v>
      </c>
      <c r="K228" s="38">
        <f t="shared" si="22"/>
        <v>-60</v>
      </c>
      <c r="L228" s="38"/>
      <c r="M228" s="40">
        <f t="shared" si="23"/>
        <v>0</v>
      </c>
    </row>
    <row r="229" spans="1:13" x14ac:dyDescent="0.25">
      <c r="A229" s="59"/>
      <c r="G229" s="16"/>
      <c r="H229" s="38">
        <v>224</v>
      </c>
      <c r="I229" s="39" t="str">
        <f t="shared" si="21"/>
        <v/>
      </c>
      <c r="J229" s="38">
        <f t="shared" si="24"/>
        <v>-6</v>
      </c>
      <c r="K229" s="38">
        <f t="shared" si="22"/>
        <v>-60</v>
      </c>
      <c r="L229" s="38"/>
      <c r="M229" s="40">
        <f t="shared" si="23"/>
        <v>0</v>
      </c>
    </row>
    <row r="230" spans="1:13" x14ac:dyDescent="0.25">
      <c r="A230" s="59"/>
      <c r="G230" s="16"/>
      <c r="H230" s="38">
        <v>225</v>
      </c>
      <c r="I230" s="39" t="str">
        <f t="shared" si="21"/>
        <v/>
      </c>
      <c r="J230" s="38">
        <f t="shared" si="24"/>
        <v>-6</v>
      </c>
      <c r="K230" s="38">
        <f t="shared" si="22"/>
        <v>-60</v>
      </c>
      <c r="L230" s="38"/>
      <c r="M230" s="40">
        <f t="shared" si="23"/>
        <v>0</v>
      </c>
    </row>
    <row r="231" spans="1:13" x14ac:dyDescent="0.25">
      <c r="A231" s="59"/>
      <c r="G231" s="16"/>
      <c r="H231" s="38">
        <v>226</v>
      </c>
      <c r="I231" s="39" t="str">
        <f t="shared" si="21"/>
        <v/>
      </c>
      <c r="J231" s="38">
        <f t="shared" si="24"/>
        <v>-6</v>
      </c>
      <c r="K231" s="38">
        <f t="shared" si="22"/>
        <v>-60</v>
      </c>
      <c r="L231" s="38"/>
      <c r="M231" s="40">
        <f t="shared" si="23"/>
        <v>0</v>
      </c>
    </row>
    <row r="232" spans="1:13" x14ac:dyDescent="0.25">
      <c r="A232" s="59"/>
      <c r="G232" s="16"/>
      <c r="H232" s="38">
        <v>227</v>
      </c>
      <c r="I232" s="39" t="str">
        <f t="shared" si="21"/>
        <v/>
      </c>
      <c r="J232" s="38">
        <f t="shared" si="24"/>
        <v>-6</v>
      </c>
      <c r="K232" s="38">
        <f t="shared" si="22"/>
        <v>-60</v>
      </c>
      <c r="L232" s="38"/>
      <c r="M232" s="40">
        <f t="shared" si="23"/>
        <v>0</v>
      </c>
    </row>
    <row r="233" spans="1:13" x14ac:dyDescent="0.25">
      <c r="A233" s="59"/>
      <c r="G233" s="16"/>
      <c r="H233" s="38">
        <v>228</v>
      </c>
      <c r="I233" s="39" t="str">
        <f t="shared" si="21"/>
        <v/>
      </c>
      <c r="J233" s="38">
        <f t="shared" si="24"/>
        <v>-6</v>
      </c>
      <c r="K233" s="38">
        <f t="shared" si="22"/>
        <v>-60</v>
      </c>
      <c r="L233" s="38"/>
      <c r="M233" s="40">
        <f t="shared" si="23"/>
        <v>0</v>
      </c>
    </row>
    <row r="234" spans="1:13" x14ac:dyDescent="0.25">
      <c r="A234" s="59"/>
      <c r="G234" s="16"/>
      <c r="H234" s="38">
        <v>229</v>
      </c>
      <c r="I234" s="39" t="str">
        <f t="shared" si="21"/>
        <v/>
      </c>
      <c r="J234" s="38">
        <f t="shared" si="24"/>
        <v>-6</v>
      </c>
      <c r="K234" s="38">
        <f t="shared" si="22"/>
        <v>-60</v>
      </c>
      <c r="L234" s="38"/>
      <c r="M234" s="40">
        <f t="shared" si="23"/>
        <v>0</v>
      </c>
    </row>
    <row r="235" spans="1:13" x14ac:dyDescent="0.25">
      <c r="A235" s="59"/>
      <c r="G235" s="16"/>
      <c r="H235" s="38">
        <v>230</v>
      </c>
      <c r="I235" s="39" t="str">
        <f t="shared" si="21"/>
        <v/>
      </c>
      <c r="J235" s="38">
        <f t="shared" si="24"/>
        <v>-6</v>
      </c>
      <c r="K235" s="38">
        <f t="shared" si="22"/>
        <v>-60</v>
      </c>
      <c r="L235" s="38"/>
      <c r="M235" s="40">
        <f t="shared" si="23"/>
        <v>0</v>
      </c>
    </row>
    <row r="236" spans="1:13" x14ac:dyDescent="0.25">
      <c r="A236" s="59"/>
      <c r="G236" s="16"/>
      <c r="H236" s="38">
        <v>231</v>
      </c>
      <c r="I236" s="39" t="str">
        <f t="shared" si="21"/>
        <v/>
      </c>
      <c r="J236" s="38">
        <f t="shared" si="24"/>
        <v>-6</v>
      </c>
      <c r="K236" s="38">
        <f t="shared" si="22"/>
        <v>-60</v>
      </c>
      <c r="L236" s="38"/>
      <c r="M236" s="40">
        <f t="shared" si="23"/>
        <v>0</v>
      </c>
    </row>
    <row r="237" spans="1:13" x14ac:dyDescent="0.25">
      <c r="A237" s="59"/>
      <c r="G237" s="16"/>
      <c r="H237" s="38">
        <v>232</v>
      </c>
      <c r="I237" s="39" t="str">
        <f t="shared" si="21"/>
        <v/>
      </c>
      <c r="J237" s="38">
        <f t="shared" si="24"/>
        <v>-6</v>
      </c>
      <c r="K237" s="38">
        <f t="shared" si="22"/>
        <v>-60</v>
      </c>
      <c r="L237" s="38"/>
      <c r="M237" s="40">
        <f t="shared" si="23"/>
        <v>0</v>
      </c>
    </row>
    <row r="238" spans="1:13" x14ac:dyDescent="0.25">
      <c r="A238" s="59"/>
      <c r="G238" s="16"/>
      <c r="H238" s="38">
        <v>233</v>
      </c>
      <c r="I238" s="39" t="str">
        <f t="shared" si="21"/>
        <v/>
      </c>
      <c r="J238" s="38">
        <f t="shared" si="24"/>
        <v>-6</v>
      </c>
      <c r="K238" s="38">
        <f t="shared" si="22"/>
        <v>-60</v>
      </c>
      <c r="L238" s="38"/>
      <c r="M238" s="40">
        <f t="shared" si="23"/>
        <v>0</v>
      </c>
    </row>
    <row r="239" spans="1:13" x14ac:dyDescent="0.25">
      <c r="A239" s="59"/>
      <c r="G239" s="16"/>
      <c r="H239" s="38">
        <v>234</v>
      </c>
      <c r="I239" s="39" t="str">
        <f t="shared" si="21"/>
        <v/>
      </c>
      <c r="J239" s="38">
        <f t="shared" si="24"/>
        <v>-6</v>
      </c>
      <c r="K239" s="38">
        <f t="shared" si="22"/>
        <v>-60</v>
      </c>
      <c r="L239" s="38"/>
      <c r="M239" s="40">
        <f t="shared" si="23"/>
        <v>0</v>
      </c>
    </row>
    <row r="240" spans="1:13" x14ac:dyDescent="0.25">
      <c r="A240" s="59"/>
      <c r="G240" s="16"/>
      <c r="H240" s="38">
        <v>235</v>
      </c>
      <c r="I240" s="39" t="str">
        <f t="shared" si="21"/>
        <v/>
      </c>
      <c r="J240" s="38">
        <f t="shared" si="24"/>
        <v>-6</v>
      </c>
      <c r="K240" s="38">
        <f t="shared" si="22"/>
        <v>-60</v>
      </c>
      <c r="L240" s="38"/>
      <c r="M240" s="40">
        <f t="shared" si="23"/>
        <v>0</v>
      </c>
    </row>
    <row r="241" spans="1:13" x14ac:dyDescent="0.25">
      <c r="A241" s="59"/>
      <c r="G241" s="16"/>
      <c r="H241" s="38">
        <v>236</v>
      </c>
      <c r="I241" s="39" t="str">
        <f t="shared" si="21"/>
        <v/>
      </c>
      <c r="J241" s="38">
        <f t="shared" si="24"/>
        <v>-6</v>
      </c>
      <c r="K241" s="38">
        <f t="shared" si="22"/>
        <v>-60</v>
      </c>
      <c r="L241" s="38"/>
      <c r="M241" s="40">
        <f t="shared" si="23"/>
        <v>0</v>
      </c>
    </row>
    <row r="242" spans="1:13" x14ac:dyDescent="0.25">
      <c r="A242" s="59"/>
      <c r="G242" s="16"/>
      <c r="H242" s="38">
        <v>237</v>
      </c>
      <c r="I242" s="39" t="str">
        <f t="shared" si="21"/>
        <v/>
      </c>
      <c r="J242" s="38">
        <f t="shared" si="24"/>
        <v>-6</v>
      </c>
      <c r="K242" s="38">
        <f t="shared" si="22"/>
        <v>-60</v>
      </c>
      <c r="L242" s="38"/>
      <c r="M242" s="40">
        <f t="shared" si="23"/>
        <v>0</v>
      </c>
    </row>
    <row r="243" spans="1:13" x14ac:dyDescent="0.25">
      <c r="A243" s="59"/>
      <c r="G243" s="16"/>
      <c r="H243" s="38">
        <v>238</v>
      </c>
      <c r="I243" s="39" t="str">
        <f t="shared" si="21"/>
        <v/>
      </c>
      <c r="J243" s="38">
        <f t="shared" si="24"/>
        <v>-6</v>
      </c>
      <c r="K243" s="38">
        <f t="shared" si="22"/>
        <v>-60</v>
      </c>
      <c r="L243" s="38"/>
      <c r="M243" s="40">
        <f t="shared" si="23"/>
        <v>0</v>
      </c>
    </row>
    <row r="244" spans="1:13" x14ac:dyDescent="0.25">
      <c r="A244" s="59"/>
      <c r="G244" s="16"/>
      <c r="H244" s="38">
        <v>239</v>
      </c>
      <c r="I244" s="39" t="str">
        <f t="shared" si="21"/>
        <v/>
      </c>
      <c r="J244" s="38">
        <f t="shared" si="24"/>
        <v>-6</v>
      </c>
      <c r="K244" s="38">
        <f t="shared" si="22"/>
        <v>-60</v>
      </c>
      <c r="L244" s="38"/>
      <c r="M244" s="40">
        <f t="shared" si="23"/>
        <v>0</v>
      </c>
    </row>
    <row r="245" spans="1:13" x14ac:dyDescent="0.25">
      <c r="A245" s="59"/>
      <c r="G245" s="16"/>
      <c r="H245" s="38">
        <v>240</v>
      </c>
      <c r="I245" s="39" t="str">
        <f t="shared" si="21"/>
        <v/>
      </c>
      <c r="J245" s="38">
        <f t="shared" si="24"/>
        <v>-6</v>
      </c>
      <c r="K245" s="38">
        <f t="shared" si="22"/>
        <v>-60</v>
      </c>
      <c r="L245" s="38"/>
      <c r="M245" s="40">
        <f t="shared" si="23"/>
        <v>0</v>
      </c>
    </row>
    <row r="246" spans="1:13" x14ac:dyDescent="0.25">
      <c r="A246" s="59"/>
      <c r="G246" s="16"/>
      <c r="H246" s="38">
        <v>241</v>
      </c>
      <c r="I246" s="39" t="str">
        <f t="shared" si="21"/>
        <v/>
      </c>
      <c r="J246" s="38">
        <f t="shared" si="24"/>
        <v>-6</v>
      </c>
      <c r="K246" s="38">
        <f t="shared" si="22"/>
        <v>-60</v>
      </c>
      <c r="L246" s="38"/>
      <c r="M246" s="40">
        <f t="shared" si="23"/>
        <v>0</v>
      </c>
    </row>
    <row r="247" spans="1:13" x14ac:dyDescent="0.25">
      <c r="A247" s="59"/>
      <c r="G247" s="16"/>
      <c r="H247" s="38">
        <v>242</v>
      </c>
      <c r="I247" s="39" t="str">
        <f t="shared" si="21"/>
        <v/>
      </c>
      <c r="J247" s="38">
        <f t="shared" si="24"/>
        <v>-6</v>
      </c>
      <c r="K247" s="38">
        <f t="shared" si="22"/>
        <v>-60</v>
      </c>
      <c r="L247" s="38"/>
      <c r="M247" s="40">
        <f t="shared" si="23"/>
        <v>0</v>
      </c>
    </row>
    <row r="248" spans="1:13" x14ac:dyDescent="0.25">
      <c r="A248" s="59"/>
      <c r="G248" s="16"/>
      <c r="H248" s="38">
        <v>243</v>
      </c>
      <c r="I248" s="39" t="str">
        <f t="shared" si="21"/>
        <v/>
      </c>
      <c r="J248" s="38">
        <f t="shared" si="24"/>
        <v>-6</v>
      </c>
      <c r="K248" s="38">
        <f t="shared" si="22"/>
        <v>-60</v>
      </c>
      <c r="L248" s="38"/>
      <c r="M248" s="40">
        <f t="shared" si="23"/>
        <v>0</v>
      </c>
    </row>
    <row r="249" spans="1:13" x14ac:dyDescent="0.25">
      <c r="A249" s="59"/>
      <c r="G249" s="16"/>
      <c r="H249" s="38">
        <v>244</v>
      </c>
      <c r="I249" s="39" t="str">
        <f t="shared" si="21"/>
        <v/>
      </c>
      <c r="J249" s="38">
        <f t="shared" si="24"/>
        <v>-6</v>
      </c>
      <c r="K249" s="38">
        <f t="shared" si="22"/>
        <v>-60</v>
      </c>
      <c r="L249" s="38"/>
      <c r="M249" s="40">
        <f t="shared" si="23"/>
        <v>0</v>
      </c>
    </row>
    <row r="250" spans="1:13" x14ac:dyDescent="0.25">
      <c r="A250" s="59"/>
      <c r="G250" s="16"/>
      <c r="H250" s="38">
        <v>245</v>
      </c>
      <c r="I250" s="39" t="str">
        <f t="shared" si="21"/>
        <v/>
      </c>
      <c r="J250" s="38">
        <f t="shared" si="24"/>
        <v>-6</v>
      </c>
      <c r="K250" s="38">
        <f t="shared" si="22"/>
        <v>-60</v>
      </c>
      <c r="L250" s="38"/>
      <c r="M250" s="40">
        <f t="shared" si="23"/>
        <v>0</v>
      </c>
    </row>
    <row r="251" spans="1:13" x14ac:dyDescent="0.25">
      <c r="A251" s="59"/>
      <c r="G251" s="16"/>
      <c r="H251" s="38">
        <v>246</v>
      </c>
      <c r="I251" s="39" t="str">
        <f t="shared" si="21"/>
        <v/>
      </c>
      <c r="J251" s="38">
        <f t="shared" si="24"/>
        <v>-6</v>
      </c>
      <c r="K251" s="38">
        <f t="shared" si="22"/>
        <v>-60</v>
      </c>
      <c r="L251" s="38"/>
      <c r="M251" s="40">
        <f t="shared" si="23"/>
        <v>0</v>
      </c>
    </row>
    <row r="252" spans="1:13" x14ac:dyDescent="0.25">
      <c r="A252" s="59"/>
      <c r="G252" s="16"/>
      <c r="H252" s="38">
        <v>247</v>
      </c>
      <c r="I252" s="39" t="str">
        <f t="shared" si="21"/>
        <v/>
      </c>
      <c r="J252" s="38">
        <f t="shared" si="24"/>
        <v>-6</v>
      </c>
      <c r="K252" s="38">
        <f t="shared" si="22"/>
        <v>-60</v>
      </c>
      <c r="L252" s="38"/>
      <c r="M252" s="40">
        <f t="shared" si="23"/>
        <v>0</v>
      </c>
    </row>
    <row r="253" spans="1:13" x14ac:dyDescent="0.25">
      <c r="A253" s="59"/>
      <c r="G253" s="16"/>
      <c r="H253" s="38">
        <v>248</v>
      </c>
      <c r="I253" s="39" t="str">
        <f t="shared" si="21"/>
        <v/>
      </c>
      <c r="J253" s="38">
        <f t="shared" si="24"/>
        <v>-6</v>
      </c>
      <c r="K253" s="38">
        <f t="shared" si="22"/>
        <v>-60</v>
      </c>
      <c r="L253" s="38"/>
      <c r="M253" s="40">
        <f t="shared" si="23"/>
        <v>0</v>
      </c>
    </row>
    <row r="254" spans="1:13" x14ac:dyDescent="0.25">
      <c r="A254" s="59"/>
      <c r="G254" s="16"/>
      <c r="H254" s="38">
        <v>249</v>
      </c>
      <c r="I254" s="39" t="str">
        <f t="shared" si="21"/>
        <v/>
      </c>
      <c r="J254" s="38">
        <f t="shared" si="24"/>
        <v>-6</v>
      </c>
      <c r="K254" s="38">
        <f t="shared" si="22"/>
        <v>-60</v>
      </c>
      <c r="L254" s="38"/>
      <c r="M254" s="40">
        <f t="shared" si="23"/>
        <v>0</v>
      </c>
    </row>
    <row r="255" spans="1:13" x14ac:dyDescent="0.25">
      <c r="A255" s="59"/>
      <c r="G255" s="16"/>
      <c r="H255" s="38">
        <v>250</v>
      </c>
      <c r="I255" s="39" t="str">
        <f t="shared" si="21"/>
        <v/>
      </c>
      <c r="J255" s="38">
        <f t="shared" si="24"/>
        <v>-6</v>
      </c>
      <c r="K255" s="38">
        <f t="shared" si="22"/>
        <v>-60</v>
      </c>
      <c r="L255" s="38"/>
      <c r="M255" s="40">
        <f t="shared" si="23"/>
        <v>0</v>
      </c>
    </row>
    <row r="256" spans="1:13" x14ac:dyDescent="0.25">
      <c r="A256" s="59"/>
      <c r="G256" s="16"/>
      <c r="H256" s="38">
        <v>251</v>
      </c>
      <c r="I256" s="39" t="str">
        <f t="shared" si="21"/>
        <v/>
      </c>
      <c r="J256" s="38">
        <f t="shared" si="24"/>
        <v>-6</v>
      </c>
      <c r="K256" s="38">
        <f t="shared" si="22"/>
        <v>-60</v>
      </c>
      <c r="L256" s="38"/>
      <c r="M256" s="40">
        <f t="shared" si="23"/>
        <v>0</v>
      </c>
    </row>
    <row r="257" spans="1:13" x14ac:dyDescent="0.25">
      <c r="A257" s="59"/>
      <c r="G257" s="16"/>
      <c r="H257" s="38">
        <v>252</v>
      </c>
      <c r="I257" s="39" t="str">
        <f t="shared" si="21"/>
        <v/>
      </c>
      <c r="J257" s="38">
        <f t="shared" si="24"/>
        <v>-6</v>
      </c>
      <c r="K257" s="38">
        <f t="shared" si="22"/>
        <v>-60</v>
      </c>
      <c r="L257" s="38"/>
      <c r="M257" s="40">
        <f t="shared" si="23"/>
        <v>0</v>
      </c>
    </row>
    <row r="258" spans="1:13" x14ac:dyDescent="0.25">
      <c r="A258" s="59"/>
      <c r="G258" s="16"/>
      <c r="H258" s="38">
        <v>253</v>
      </c>
      <c r="I258" s="39" t="str">
        <f t="shared" si="21"/>
        <v/>
      </c>
      <c r="J258" s="38">
        <f t="shared" si="24"/>
        <v>-6</v>
      </c>
      <c r="K258" s="38">
        <f t="shared" si="22"/>
        <v>-60</v>
      </c>
      <c r="L258" s="38"/>
      <c r="M258" s="40">
        <f t="shared" si="23"/>
        <v>0</v>
      </c>
    </row>
    <row r="259" spans="1:13" x14ac:dyDescent="0.25">
      <c r="A259" s="59"/>
      <c r="G259" s="16"/>
      <c r="H259" s="38">
        <v>254</v>
      </c>
      <c r="I259" s="39" t="str">
        <f t="shared" si="21"/>
        <v/>
      </c>
      <c r="J259" s="38">
        <f t="shared" si="24"/>
        <v>-6</v>
      </c>
      <c r="K259" s="38">
        <f t="shared" si="22"/>
        <v>-60</v>
      </c>
      <c r="L259" s="38"/>
      <c r="M259" s="40">
        <f t="shared" si="23"/>
        <v>0</v>
      </c>
    </row>
    <row r="260" spans="1:13" x14ac:dyDescent="0.25">
      <c r="A260" s="59"/>
      <c r="G260" s="16"/>
      <c r="H260" s="38">
        <v>255</v>
      </c>
      <c r="I260" s="39" t="str">
        <f t="shared" si="21"/>
        <v/>
      </c>
      <c r="J260" s="38">
        <f t="shared" si="24"/>
        <v>-6</v>
      </c>
      <c r="K260" s="38">
        <f t="shared" si="22"/>
        <v>-60</v>
      </c>
      <c r="L260" s="38"/>
      <c r="M260" s="40">
        <f t="shared" si="23"/>
        <v>0</v>
      </c>
    </row>
    <row r="261" spans="1:13" x14ac:dyDescent="0.25">
      <c r="A261" s="59"/>
      <c r="G261" s="16"/>
      <c r="H261" s="38">
        <v>256</v>
      </c>
      <c r="I261" s="39" t="str">
        <f t="shared" si="21"/>
        <v/>
      </c>
      <c r="J261" s="38">
        <f t="shared" si="24"/>
        <v>-6</v>
      </c>
      <c r="K261" s="38">
        <f t="shared" si="22"/>
        <v>-60</v>
      </c>
      <c r="L261" s="38"/>
      <c r="M261" s="40">
        <f t="shared" si="23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25">IF(H262&lt;$H$2+1,($I$2-($I$2-1)*(LOG(H262)/LOG($H$2))),"")</f>
        <v/>
      </c>
      <c r="J262" s="38">
        <f t="shared" si="24"/>
        <v>-7</v>
      </c>
      <c r="K262" s="38">
        <f t="shared" ref="K262:K305" si="26">J262*$J$2</f>
        <v>-70</v>
      </c>
      <c r="L262" s="38"/>
      <c r="M262" s="40">
        <f t="shared" ref="M262:M305" si="27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25"/>
        <v/>
      </c>
      <c r="J263" s="38">
        <f t="shared" ref="J263:J305" si="28">INT(LOG($H$2,2))-ROUNDUP(LOG(H263,2),0)+IF(OR($H$2=1,$H$2=2,$H$2=4,$H$2=8,$H$2=16,$H$2=32,$H$2=64,$H$2=128,$H$2=256),1,0)</f>
        <v>-7</v>
      </c>
      <c r="K263" s="38">
        <f t="shared" si="26"/>
        <v>-70</v>
      </c>
      <c r="L263" s="38"/>
      <c r="M263" s="40">
        <f t="shared" si="27"/>
        <v>0</v>
      </c>
    </row>
    <row r="264" spans="1:13" x14ac:dyDescent="0.25">
      <c r="A264" s="59"/>
      <c r="G264" s="16"/>
      <c r="H264" s="38">
        <v>259</v>
      </c>
      <c r="I264" s="39" t="str">
        <f t="shared" si="25"/>
        <v/>
      </c>
      <c r="J264" s="38">
        <f t="shared" si="28"/>
        <v>-7</v>
      </c>
      <c r="K264" s="38">
        <f t="shared" si="26"/>
        <v>-70</v>
      </c>
      <c r="L264" s="38"/>
      <c r="M264" s="40">
        <f t="shared" si="27"/>
        <v>0</v>
      </c>
    </row>
    <row r="265" spans="1:13" x14ac:dyDescent="0.25">
      <c r="A265" s="59"/>
      <c r="G265" s="16"/>
      <c r="H265" s="38">
        <v>260</v>
      </c>
      <c r="I265" s="39" t="str">
        <f t="shared" si="25"/>
        <v/>
      </c>
      <c r="J265" s="38">
        <f t="shared" si="28"/>
        <v>-7</v>
      </c>
      <c r="K265" s="38">
        <f t="shared" si="26"/>
        <v>-70</v>
      </c>
      <c r="L265" s="38"/>
      <c r="M265" s="40">
        <f t="shared" si="27"/>
        <v>0</v>
      </c>
    </row>
    <row r="266" spans="1:13" x14ac:dyDescent="0.25">
      <c r="A266" s="59"/>
      <c r="G266" s="16"/>
      <c r="H266" s="38">
        <v>261</v>
      </c>
      <c r="I266" s="39" t="str">
        <f t="shared" si="25"/>
        <v/>
      </c>
      <c r="J266" s="38">
        <f t="shared" si="28"/>
        <v>-7</v>
      </c>
      <c r="K266" s="38">
        <f t="shared" si="26"/>
        <v>-70</v>
      </c>
      <c r="L266" s="38"/>
      <c r="M266" s="40">
        <f t="shared" si="27"/>
        <v>0</v>
      </c>
    </row>
    <row r="267" spans="1:13" x14ac:dyDescent="0.25">
      <c r="A267" s="59"/>
      <c r="G267" s="16"/>
      <c r="H267" s="38">
        <v>262</v>
      </c>
      <c r="I267" s="39" t="str">
        <f t="shared" si="25"/>
        <v/>
      </c>
      <c r="J267" s="38">
        <f t="shared" si="28"/>
        <v>-7</v>
      </c>
      <c r="K267" s="38">
        <f t="shared" si="26"/>
        <v>-70</v>
      </c>
      <c r="L267" s="38"/>
      <c r="M267" s="40">
        <f t="shared" si="27"/>
        <v>0</v>
      </c>
    </row>
    <row r="268" spans="1:13" x14ac:dyDescent="0.25">
      <c r="A268" s="59"/>
      <c r="G268" s="16"/>
      <c r="H268" s="38">
        <v>263</v>
      </c>
      <c r="I268" s="39" t="str">
        <f t="shared" si="25"/>
        <v/>
      </c>
      <c r="J268" s="38">
        <f t="shared" si="28"/>
        <v>-7</v>
      </c>
      <c r="K268" s="38">
        <f t="shared" si="26"/>
        <v>-70</v>
      </c>
      <c r="L268" s="38"/>
      <c r="M268" s="40">
        <f t="shared" si="27"/>
        <v>0</v>
      </c>
    </row>
    <row r="269" spans="1:13" x14ac:dyDescent="0.25">
      <c r="A269" s="59"/>
      <c r="G269" s="16"/>
      <c r="H269" s="38">
        <v>264</v>
      </c>
      <c r="I269" s="39" t="str">
        <f t="shared" si="25"/>
        <v/>
      </c>
      <c r="J269" s="38">
        <f t="shared" si="28"/>
        <v>-7</v>
      </c>
      <c r="K269" s="38">
        <f t="shared" si="26"/>
        <v>-70</v>
      </c>
      <c r="L269" s="38"/>
      <c r="M269" s="40">
        <f t="shared" si="27"/>
        <v>0</v>
      </c>
    </row>
    <row r="270" spans="1:13" x14ac:dyDescent="0.25">
      <c r="A270" s="59"/>
      <c r="G270" s="16"/>
      <c r="H270" s="38">
        <v>265</v>
      </c>
      <c r="I270" s="39" t="str">
        <f t="shared" si="25"/>
        <v/>
      </c>
      <c r="J270" s="38">
        <f t="shared" si="28"/>
        <v>-7</v>
      </c>
      <c r="K270" s="38">
        <f t="shared" si="26"/>
        <v>-70</v>
      </c>
      <c r="L270" s="38"/>
      <c r="M270" s="40">
        <f t="shared" si="27"/>
        <v>0</v>
      </c>
    </row>
    <row r="271" spans="1:13" x14ac:dyDescent="0.25">
      <c r="A271" s="59"/>
      <c r="G271" s="16"/>
      <c r="H271" s="38">
        <v>266</v>
      </c>
      <c r="I271" s="39" t="str">
        <f t="shared" si="25"/>
        <v/>
      </c>
      <c r="J271" s="38">
        <f t="shared" si="28"/>
        <v>-7</v>
      </c>
      <c r="K271" s="38">
        <f t="shared" si="26"/>
        <v>-70</v>
      </c>
      <c r="L271" s="38"/>
      <c r="M271" s="40">
        <f t="shared" si="27"/>
        <v>0</v>
      </c>
    </row>
    <row r="272" spans="1:13" x14ac:dyDescent="0.25">
      <c r="A272" s="59"/>
      <c r="G272" s="16"/>
      <c r="H272" s="38">
        <v>267</v>
      </c>
      <c r="I272" s="39" t="str">
        <f t="shared" si="25"/>
        <v/>
      </c>
      <c r="J272" s="38">
        <f t="shared" si="28"/>
        <v>-7</v>
      </c>
      <c r="K272" s="38">
        <f t="shared" si="26"/>
        <v>-70</v>
      </c>
      <c r="L272" s="38"/>
      <c r="M272" s="40">
        <f t="shared" si="27"/>
        <v>0</v>
      </c>
    </row>
    <row r="273" spans="1:13" x14ac:dyDescent="0.25">
      <c r="A273" s="59"/>
      <c r="G273" s="16"/>
      <c r="H273" s="38">
        <v>268</v>
      </c>
      <c r="I273" s="39" t="str">
        <f t="shared" si="25"/>
        <v/>
      </c>
      <c r="J273" s="38">
        <f t="shared" si="28"/>
        <v>-7</v>
      </c>
      <c r="K273" s="38">
        <f t="shared" si="26"/>
        <v>-70</v>
      </c>
      <c r="L273" s="38"/>
      <c r="M273" s="40">
        <f t="shared" si="27"/>
        <v>0</v>
      </c>
    </row>
    <row r="274" spans="1:13" x14ac:dyDescent="0.25">
      <c r="A274" s="59"/>
      <c r="G274" s="16"/>
      <c r="H274" s="38">
        <v>269</v>
      </c>
      <c r="I274" s="39" t="str">
        <f t="shared" si="25"/>
        <v/>
      </c>
      <c r="J274" s="38">
        <f t="shared" si="28"/>
        <v>-7</v>
      </c>
      <c r="K274" s="38">
        <f t="shared" si="26"/>
        <v>-70</v>
      </c>
      <c r="L274" s="38"/>
      <c r="M274" s="40">
        <f t="shared" si="27"/>
        <v>0</v>
      </c>
    </row>
    <row r="275" spans="1:13" x14ac:dyDescent="0.25">
      <c r="A275" s="59"/>
      <c r="G275" s="16"/>
      <c r="H275" s="38">
        <v>270</v>
      </c>
      <c r="I275" s="39" t="str">
        <f t="shared" si="25"/>
        <v/>
      </c>
      <c r="J275" s="38">
        <f t="shared" si="28"/>
        <v>-7</v>
      </c>
      <c r="K275" s="38">
        <f t="shared" si="26"/>
        <v>-70</v>
      </c>
      <c r="L275" s="38"/>
      <c r="M275" s="40">
        <f t="shared" si="27"/>
        <v>0</v>
      </c>
    </row>
    <row r="276" spans="1:13" x14ac:dyDescent="0.25">
      <c r="A276" s="59"/>
      <c r="G276" s="16"/>
      <c r="H276" s="38">
        <v>271</v>
      </c>
      <c r="I276" s="39" t="str">
        <f t="shared" si="25"/>
        <v/>
      </c>
      <c r="J276" s="38">
        <f t="shared" si="28"/>
        <v>-7</v>
      </c>
      <c r="K276" s="38">
        <f t="shared" si="26"/>
        <v>-70</v>
      </c>
      <c r="L276" s="38"/>
      <c r="M276" s="40">
        <f t="shared" si="27"/>
        <v>0</v>
      </c>
    </row>
    <row r="277" spans="1:13" x14ac:dyDescent="0.25">
      <c r="A277" s="59"/>
      <c r="G277" s="16"/>
      <c r="H277" s="38">
        <v>272</v>
      </c>
      <c r="I277" s="39" t="str">
        <f t="shared" si="25"/>
        <v/>
      </c>
      <c r="J277" s="38">
        <f t="shared" si="28"/>
        <v>-7</v>
      </c>
      <c r="K277" s="38">
        <f t="shared" si="26"/>
        <v>-70</v>
      </c>
      <c r="L277" s="38"/>
      <c r="M277" s="40">
        <f t="shared" si="27"/>
        <v>0</v>
      </c>
    </row>
    <row r="278" spans="1:13" x14ac:dyDescent="0.25">
      <c r="A278" s="59"/>
      <c r="G278" s="16"/>
      <c r="H278" s="38">
        <v>273</v>
      </c>
      <c r="I278" s="39" t="str">
        <f t="shared" si="25"/>
        <v/>
      </c>
      <c r="J278" s="38">
        <f t="shared" si="28"/>
        <v>-7</v>
      </c>
      <c r="K278" s="38">
        <f t="shared" si="26"/>
        <v>-70</v>
      </c>
      <c r="L278" s="38"/>
      <c r="M278" s="40">
        <f t="shared" si="27"/>
        <v>0</v>
      </c>
    </row>
    <row r="279" spans="1:13" x14ac:dyDescent="0.25">
      <c r="A279" s="59"/>
      <c r="G279" s="16"/>
      <c r="H279" s="38">
        <v>274</v>
      </c>
      <c r="I279" s="39" t="str">
        <f t="shared" si="25"/>
        <v/>
      </c>
      <c r="J279" s="38">
        <f t="shared" si="28"/>
        <v>-7</v>
      </c>
      <c r="K279" s="38">
        <f t="shared" si="26"/>
        <v>-70</v>
      </c>
      <c r="L279" s="38"/>
      <c r="M279" s="40">
        <f t="shared" si="27"/>
        <v>0</v>
      </c>
    </row>
    <row r="280" spans="1:13" x14ac:dyDescent="0.25">
      <c r="A280" s="59"/>
      <c r="G280" s="16"/>
      <c r="H280" s="38">
        <v>275</v>
      </c>
      <c r="I280" s="39" t="str">
        <f t="shared" si="25"/>
        <v/>
      </c>
      <c r="J280" s="38">
        <f t="shared" si="28"/>
        <v>-7</v>
      </c>
      <c r="K280" s="38">
        <f t="shared" si="26"/>
        <v>-70</v>
      </c>
      <c r="L280" s="38"/>
      <c r="M280" s="40">
        <f t="shared" si="27"/>
        <v>0</v>
      </c>
    </row>
    <row r="281" spans="1:13" x14ac:dyDescent="0.25">
      <c r="A281" s="59"/>
      <c r="G281" s="16"/>
      <c r="H281" s="38">
        <v>276</v>
      </c>
      <c r="I281" s="39" t="str">
        <f t="shared" si="25"/>
        <v/>
      </c>
      <c r="J281" s="38">
        <f t="shared" si="28"/>
        <v>-7</v>
      </c>
      <c r="K281" s="38">
        <f t="shared" si="26"/>
        <v>-70</v>
      </c>
      <c r="L281" s="38"/>
      <c r="M281" s="40">
        <f t="shared" si="27"/>
        <v>0</v>
      </c>
    </row>
    <row r="282" spans="1:13" x14ac:dyDescent="0.25">
      <c r="A282" s="59"/>
      <c r="G282" s="16"/>
      <c r="H282" s="38">
        <v>277</v>
      </c>
      <c r="I282" s="39" t="str">
        <f t="shared" si="25"/>
        <v/>
      </c>
      <c r="J282" s="38">
        <f t="shared" si="28"/>
        <v>-7</v>
      </c>
      <c r="K282" s="38">
        <f t="shared" si="26"/>
        <v>-70</v>
      </c>
      <c r="L282" s="38"/>
      <c r="M282" s="40">
        <f t="shared" si="27"/>
        <v>0</v>
      </c>
    </row>
    <row r="283" spans="1:13" x14ac:dyDescent="0.25">
      <c r="A283" s="59"/>
      <c r="G283" s="16"/>
      <c r="H283" s="38">
        <v>278</v>
      </c>
      <c r="I283" s="39" t="str">
        <f t="shared" si="25"/>
        <v/>
      </c>
      <c r="J283" s="38">
        <f t="shared" si="28"/>
        <v>-7</v>
      </c>
      <c r="K283" s="38">
        <f t="shared" si="26"/>
        <v>-70</v>
      </c>
      <c r="L283" s="38"/>
      <c r="M283" s="40">
        <f t="shared" si="27"/>
        <v>0</v>
      </c>
    </row>
    <row r="284" spans="1:13" x14ac:dyDescent="0.25">
      <c r="A284" s="59"/>
      <c r="G284" s="16"/>
      <c r="H284" s="38">
        <v>279</v>
      </c>
      <c r="I284" s="39" t="str">
        <f t="shared" si="25"/>
        <v/>
      </c>
      <c r="J284" s="38">
        <f t="shared" si="28"/>
        <v>-7</v>
      </c>
      <c r="K284" s="38">
        <f t="shared" si="26"/>
        <v>-70</v>
      </c>
      <c r="L284" s="38"/>
      <c r="M284" s="40">
        <f t="shared" si="27"/>
        <v>0</v>
      </c>
    </row>
    <row r="285" spans="1:13" x14ac:dyDescent="0.25">
      <c r="A285" s="59"/>
      <c r="G285" s="16"/>
      <c r="H285" s="38">
        <v>280</v>
      </c>
      <c r="I285" s="39" t="str">
        <f t="shared" si="25"/>
        <v/>
      </c>
      <c r="J285" s="38">
        <f t="shared" si="28"/>
        <v>-7</v>
      </c>
      <c r="K285" s="38">
        <f t="shared" si="26"/>
        <v>-70</v>
      </c>
      <c r="L285" s="38"/>
      <c r="M285" s="40">
        <f t="shared" si="27"/>
        <v>0</v>
      </c>
    </row>
    <row r="286" spans="1:13" x14ac:dyDescent="0.25">
      <c r="A286" s="59"/>
      <c r="G286" s="16"/>
      <c r="H286" s="38">
        <v>281</v>
      </c>
      <c r="I286" s="39" t="str">
        <f t="shared" si="25"/>
        <v/>
      </c>
      <c r="J286" s="38">
        <f t="shared" si="28"/>
        <v>-7</v>
      </c>
      <c r="K286" s="38">
        <f t="shared" si="26"/>
        <v>-70</v>
      </c>
      <c r="L286" s="38"/>
      <c r="M286" s="40">
        <f t="shared" si="27"/>
        <v>0</v>
      </c>
    </row>
    <row r="287" spans="1:13" x14ac:dyDescent="0.25">
      <c r="A287" s="59"/>
      <c r="G287" s="16"/>
      <c r="H287" s="38">
        <v>282</v>
      </c>
      <c r="I287" s="39" t="str">
        <f t="shared" si="25"/>
        <v/>
      </c>
      <c r="J287" s="38">
        <f t="shared" si="28"/>
        <v>-7</v>
      </c>
      <c r="K287" s="38">
        <f t="shared" si="26"/>
        <v>-70</v>
      </c>
      <c r="L287" s="38"/>
      <c r="M287" s="40">
        <f t="shared" si="27"/>
        <v>0</v>
      </c>
    </row>
    <row r="288" spans="1:13" x14ac:dyDescent="0.25">
      <c r="A288" s="59"/>
      <c r="G288" s="16"/>
      <c r="H288" s="38">
        <v>283</v>
      </c>
      <c r="I288" s="39" t="str">
        <f t="shared" si="25"/>
        <v/>
      </c>
      <c r="J288" s="38">
        <f t="shared" si="28"/>
        <v>-7</v>
      </c>
      <c r="K288" s="38">
        <f t="shared" si="26"/>
        <v>-70</v>
      </c>
      <c r="L288" s="38"/>
      <c r="M288" s="40">
        <f t="shared" si="27"/>
        <v>0</v>
      </c>
    </row>
    <row r="289" spans="1:13" x14ac:dyDescent="0.25">
      <c r="A289" s="59"/>
      <c r="G289" s="16"/>
      <c r="H289" s="38">
        <v>284</v>
      </c>
      <c r="I289" s="39" t="str">
        <f t="shared" si="25"/>
        <v/>
      </c>
      <c r="J289" s="38">
        <f t="shared" si="28"/>
        <v>-7</v>
      </c>
      <c r="K289" s="38">
        <f t="shared" si="26"/>
        <v>-70</v>
      </c>
      <c r="L289" s="38"/>
      <c r="M289" s="40">
        <f t="shared" si="27"/>
        <v>0</v>
      </c>
    </row>
    <row r="290" spans="1:13" x14ac:dyDescent="0.25">
      <c r="A290" s="59"/>
      <c r="G290" s="16"/>
      <c r="H290" s="38">
        <v>285</v>
      </c>
      <c r="I290" s="39" t="str">
        <f t="shared" si="25"/>
        <v/>
      </c>
      <c r="J290" s="38">
        <f t="shared" si="28"/>
        <v>-7</v>
      </c>
      <c r="K290" s="38">
        <f t="shared" si="26"/>
        <v>-70</v>
      </c>
      <c r="L290" s="38"/>
      <c r="M290" s="40">
        <f t="shared" si="27"/>
        <v>0</v>
      </c>
    </row>
    <row r="291" spans="1:13" x14ac:dyDescent="0.25">
      <c r="A291" s="59"/>
      <c r="G291" s="16"/>
      <c r="H291" s="38">
        <v>286</v>
      </c>
      <c r="I291" s="39" t="str">
        <f t="shared" si="25"/>
        <v/>
      </c>
      <c r="J291" s="38">
        <f t="shared" si="28"/>
        <v>-7</v>
      </c>
      <c r="K291" s="38">
        <f t="shared" si="26"/>
        <v>-70</v>
      </c>
      <c r="L291" s="38"/>
      <c r="M291" s="40">
        <f t="shared" si="27"/>
        <v>0</v>
      </c>
    </row>
    <row r="292" spans="1:13" x14ac:dyDescent="0.25">
      <c r="A292" s="59"/>
      <c r="G292" s="16"/>
      <c r="H292" s="38">
        <v>287</v>
      </c>
      <c r="I292" s="39" t="str">
        <f t="shared" si="25"/>
        <v/>
      </c>
      <c r="J292" s="38">
        <f t="shared" si="28"/>
        <v>-7</v>
      </c>
      <c r="K292" s="38">
        <f t="shared" si="26"/>
        <v>-70</v>
      </c>
      <c r="L292" s="38"/>
      <c r="M292" s="40">
        <f t="shared" si="27"/>
        <v>0</v>
      </c>
    </row>
    <row r="293" spans="1:13" x14ac:dyDescent="0.25">
      <c r="A293" s="59"/>
      <c r="G293" s="16"/>
      <c r="H293" s="38">
        <v>288</v>
      </c>
      <c r="I293" s="39" t="str">
        <f t="shared" si="25"/>
        <v/>
      </c>
      <c r="J293" s="38">
        <f t="shared" si="28"/>
        <v>-7</v>
      </c>
      <c r="K293" s="38">
        <f t="shared" si="26"/>
        <v>-70</v>
      </c>
      <c r="L293" s="38"/>
      <c r="M293" s="40">
        <f t="shared" si="27"/>
        <v>0</v>
      </c>
    </row>
    <row r="294" spans="1:13" x14ac:dyDescent="0.25">
      <c r="A294" s="59"/>
      <c r="G294" s="16"/>
      <c r="H294" s="38">
        <v>289</v>
      </c>
      <c r="I294" s="39" t="str">
        <f t="shared" si="25"/>
        <v/>
      </c>
      <c r="J294" s="38">
        <f t="shared" si="28"/>
        <v>-7</v>
      </c>
      <c r="K294" s="38">
        <f t="shared" si="26"/>
        <v>-70</v>
      </c>
      <c r="L294" s="38"/>
      <c r="M294" s="40">
        <f t="shared" si="27"/>
        <v>0</v>
      </c>
    </row>
    <row r="295" spans="1:13" x14ac:dyDescent="0.25">
      <c r="A295" s="59"/>
      <c r="G295" s="16"/>
      <c r="H295" s="38">
        <v>290</v>
      </c>
      <c r="I295" s="39" t="str">
        <f t="shared" si="25"/>
        <v/>
      </c>
      <c r="J295" s="38">
        <f t="shared" si="28"/>
        <v>-7</v>
      </c>
      <c r="K295" s="38">
        <f t="shared" si="26"/>
        <v>-70</v>
      </c>
      <c r="L295" s="38"/>
      <c r="M295" s="40">
        <f t="shared" si="27"/>
        <v>0</v>
      </c>
    </row>
    <row r="296" spans="1:13" x14ac:dyDescent="0.25">
      <c r="A296" s="59"/>
      <c r="G296" s="16"/>
      <c r="H296" s="38">
        <v>291</v>
      </c>
      <c r="I296" s="39" t="str">
        <f t="shared" si="25"/>
        <v/>
      </c>
      <c r="J296" s="38">
        <f t="shared" si="28"/>
        <v>-7</v>
      </c>
      <c r="K296" s="38">
        <f t="shared" si="26"/>
        <v>-70</v>
      </c>
      <c r="L296" s="38"/>
      <c r="M296" s="40">
        <f t="shared" si="27"/>
        <v>0</v>
      </c>
    </row>
    <row r="297" spans="1:13" x14ac:dyDescent="0.25">
      <c r="A297" s="59"/>
      <c r="G297" s="16"/>
      <c r="H297" s="38">
        <v>292</v>
      </c>
      <c r="I297" s="39" t="str">
        <f t="shared" si="25"/>
        <v/>
      </c>
      <c r="J297" s="38">
        <f t="shared" si="28"/>
        <v>-7</v>
      </c>
      <c r="K297" s="38">
        <f t="shared" si="26"/>
        <v>-70</v>
      </c>
      <c r="L297" s="38"/>
      <c r="M297" s="40">
        <f t="shared" si="27"/>
        <v>0</v>
      </c>
    </row>
    <row r="298" spans="1:13" x14ac:dyDescent="0.25">
      <c r="A298" s="59"/>
      <c r="G298" s="16"/>
      <c r="H298" s="38">
        <v>293</v>
      </c>
      <c r="I298" s="39" t="str">
        <f t="shared" si="25"/>
        <v/>
      </c>
      <c r="J298" s="38">
        <f t="shared" si="28"/>
        <v>-7</v>
      </c>
      <c r="K298" s="38">
        <f t="shared" si="26"/>
        <v>-70</v>
      </c>
      <c r="L298" s="38"/>
      <c r="M298" s="40">
        <f t="shared" si="27"/>
        <v>0</v>
      </c>
    </row>
    <row r="299" spans="1:13" x14ac:dyDescent="0.25">
      <c r="A299" s="59"/>
      <c r="G299" s="16"/>
      <c r="H299" s="38">
        <v>294</v>
      </c>
      <c r="I299" s="39" t="str">
        <f t="shared" si="25"/>
        <v/>
      </c>
      <c r="J299" s="38">
        <f t="shared" si="28"/>
        <v>-7</v>
      </c>
      <c r="K299" s="38">
        <f t="shared" si="26"/>
        <v>-70</v>
      </c>
      <c r="L299" s="38"/>
      <c r="M299" s="40">
        <f t="shared" si="27"/>
        <v>0</v>
      </c>
    </row>
    <row r="300" spans="1:13" x14ac:dyDescent="0.25">
      <c r="A300" s="59"/>
      <c r="G300" s="16"/>
      <c r="H300" s="38">
        <v>295</v>
      </c>
      <c r="I300" s="39" t="str">
        <f t="shared" si="25"/>
        <v/>
      </c>
      <c r="J300" s="38">
        <f t="shared" si="28"/>
        <v>-7</v>
      </c>
      <c r="K300" s="38">
        <f t="shared" si="26"/>
        <v>-70</v>
      </c>
      <c r="L300" s="38"/>
      <c r="M300" s="40">
        <f t="shared" si="27"/>
        <v>0</v>
      </c>
    </row>
    <row r="301" spans="1:13" x14ac:dyDescent="0.25">
      <c r="A301" s="59"/>
      <c r="G301" s="16"/>
      <c r="H301" s="38">
        <v>296</v>
      </c>
      <c r="I301" s="39" t="str">
        <f t="shared" si="25"/>
        <v/>
      </c>
      <c r="J301" s="38">
        <f t="shared" si="28"/>
        <v>-7</v>
      </c>
      <c r="K301" s="38">
        <f t="shared" si="26"/>
        <v>-70</v>
      </c>
      <c r="L301" s="38"/>
      <c r="M301" s="40">
        <f t="shared" si="27"/>
        <v>0</v>
      </c>
    </row>
    <row r="302" spans="1:13" x14ac:dyDescent="0.25">
      <c r="A302" s="59"/>
      <c r="G302" s="16"/>
      <c r="H302" s="38">
        <v>297</v>
      </c>
      <c r="I302" s="39" t="str">
        <f t="shared" si="25"/>
        <v/>
      </c>
      <c r="J302" s="38">
        <f t="shared" si="28"/>
        <v>-7</v>
      </c>
      <c r="K302" s="38">
        <f t="shared" si="26"/>
        <v>-70</v>
      </c>
      <c r="L302" s="38"/>
      <c r="M302" s="40">
        <f t="shared" si="27"/>
        <v>0</v>
      </c>
    </row>
    <row r="303" spans="1:13" x14ac:dyDescent="0.25">
      <c r="A303" s="59"/>
      <c r="G303" s="16"/>
      <c r="H303" s="38">
        <v>298</v>
      </c>
      <c r="I303" s="39" t="str">
        <f t="shared" si="25"/>
        <v/>
      </c>
      <c r="J303" s="38">
        <f t="shared" si="28"/>
        <v>-7</v>
      </c>
      <c r="K303" s="38">
        <f t="shared" si="26"/>
        <v>-70</v>
      </c>
      <c r="L303" s="38"/>
      <c r="M303" s="40">
        <f t="shared" si="27"/>
        <v>0</v>
      </c>
    </row>
    <row r="304" spans="1:13" x14ac:dyDescent="0.25">
      <c r="A304" s="59"/>
      <c r="G304" s="16"/>
      <c r="H304" s="38">
        <v>299</v>
      </c>
      <c r="I304" s="39" t="str">
        <f t="shared" si="25"/>
        <v/>
      </c>
      <c r="J304" s="38">
        <f t="shared" si="28"/>
        <v>-7</v>
      </c>
      <c r="K304" s="38">
        <f t="shared" si="26"/>
        <v>-70</v>
      </c>
      <c r="L304" s="38"/>
      <c r="M304" s="40">
        <f t="shared" si="27"/>
        <v>0</v>
      </c>
    </row>
    <row r="305" spans="1:16" x14ac:dyDescent="0.25">
      <c r="A305" s="59"/>
      <c r="G305" s="16"/>
      <c r="H305" s="38">
        <v>300</v>
      </c>
      <c r="I305" s="39" t="str">
        <f t="shared" si="25"/>
        <v/>
      </c>
      <c r="J305" s="38">
        <f t="shared" si="28"/>
        <v>-7</v>
      </c>
      <c r="K305" s="38">
        <f t="shared" si="26"/>
        <v>-70</v>
      </c>
      <c r="L305" s="38"/>
      <c r="M305" s="40">
        <f t="shared" si="27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display="PABIANICE" xr:uid="{67837297-E210-4673-A57C-A4503856075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0A97-EDE0-46CE-A48F-2BF8857DC3A6}">
  <sheetPr>
    <tabColor rgb="FF92D050"/>
  </sheetPr>
  <dimension ref="A1:AL317"/>
  <sheetViews>
    <sheetView workbookViewId="0">
      <selection activeCell="C28" sqref="C28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29</v>
      </c>
      <c r="L1" s="20"/>
      <c r="M1" s="20"/>
    </row>
    <row r="2" spans="1:36" x14ac:dyDescent="0.25">
      <c r="A2" s="16"/>
      <c r="B2" s="22" t="s">
        <v>30</v>
      </c>
      <c r="C2" s="289" t="s">
        <v>63</v>
      </c>
      <c r="D2" s="289"/>
      <c r="E2" s="23"/>
      <c r="F2" s="23"/>
      <c r="G2" s="23"/>
      <c r="H2" s="24">
        <v>6</v>
      </c>
      <c r="I2" s="25">
        <v>50</v>
      </c>
      <c r="J2" s="25">
        <v>10</v>
      </c>
      <c r="K2" s="26">
        <f>3*H2^(1/3)</f>
        <v>5.4513617784964188</v>
      </c>
      <c r="L2" s="20"/>
      <c r="M2" s="20"/>
    </row>
    <row r="3" spans="1:36" x14ac:dyDescent="0.25">
      <c r="A3" s="16"/>
      <c r="B3" s="27" t="s">
        <v>32</v>
      </c>
      <c r="C3" s="290" t="s">
        <v>64</v>
      </c>
      <c r="D3" s="290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</row>
    <row r="6" spans="1:36" ht="14.45" customHeight="1" x14ac:dyDescent="0.25">
      <c r="A6" s="35">
        <f>M6</f>
        <v>96.354085335489259</v>
      </c>
      <c r="B6" s="36">
        <v>1</v>
      </c>
      <c r="C6" s="37" t="s">
        <v>51</v>
      </c>
      <c r="D6" s="37" t="s">
        <v>52</v>
      </c>
      <c r="E6" s="37" t="s">
        <v>47</v>
      </c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3</v>
      </c>
      <c r="K6" s="38">
        <f t="shared" ref="K6:K69" si="0">J6*$J$2</f>
        <v>30</v>
      </c>
      <c r="L6" s="40">
        <f>3*K2</f>
        <v>16.354085335489255</v>
      </c>
      <c r="M6" s="39">
        <f t="shared" ref="M6:M69" si="1">IF(I6&lt;&gt;"",K6+I6+L6,0)</f>
        <v>96.354085335489259</v>
      </c>
    </row>
    <row r="7" spans="1:36" ht="14.45" customHeight="1" x14ac:dyDescent="0.25">
      <c r="A7" s="41">
        <f t="shared" ref="A7:A37" si="2">M7</f>
        <v>61.946936002500301</v>
      </c>
      <c r="B7" s="42">
        <v>2</v>
      </c>
      <c r="C7" s="43" t="s">
        <v>20</v>
      </c>
      <c r="D7" s="43" t="s">
        <v>54</v>
      </c>
      <c r="E7" s="43" t="s">
        <v>47</v>
      </c>
      <c r="F7" s="43"/>
      <c r="G7" s="30"/>
      <c r="H7" s="44">
        <v>2</v>
      </c>
      <c r="I7" s="45">
        <f t="shared" ref="I7:I69" si="3">IF(H7&lt;$H$2+1,($I$2-($I$2-1)*(LOG(H7)/LOG($H$2))),"")</f>
        <v>31.044212445507462</v>
      </c>
      <c r="J7" s="44">
        <f t="shared" ref="J7:J70" si="4">INT(LOG($H$2,2))-ROUNDUP(LOG(H7,2),0)+IF(OR($H$2=1,$H$2=2,$H$2=4,$H$2=8,$H$2=16,$H$2=32,$H$2=64,$H$2=128,$H$2=256),0,1)</f>
        <v>2</v>
      </c>
      <c r="K7" s="44">
        <f t="shared" si="0"/>
        <v>20</v>
      </c>
      <c r="L7" s="46">
        <f>2*K2</f>
        <v>10.902723556992838</v>
      </c>
      <c r="M7" s="46">
        <f t="shared" si="1"/>
        <v>61.946936002500301</v>
      </c>
    </row>
    <row r="8" spans="1:36" ht="14.45" customHeight="1" x14ac:dyDescent="0.25">
      <c r="A8" s="35">
        <f t="shared" si="2"/>
        <v>35.407149332988958</v>
      </c>
      <c r="B8" s="36">
        <v>3</v>
      </c>
      <c r="C8" s="37" t="s">
        <v>19</v>
      </c>
      <c r="D8" s="37" t="s">
        <v>46</v>
      </c>
      <c r="E8" s="37" t="s">
        <v>47</v>
      </c>
      <c r="F8" s="37"/>
      <c r="G8" s="30"/>
      <c r="H8" s="38">
        <v>3</v>
      </c>
      <c r="I8" s="39">
        <f t="shared" si="3"/>
        <v>19.955787554492538</v>
      </c>
      <c r="J8" s="38">
        <f t="shared" si="4"/>
        <v>1</v>
      </c>
      <c r="K8" s="38">
        <f t="shared" si="0"/>
        <v>10</v>
      </c>
      <c r="L8" s="40">
        <f>K2</f>
        <v>5.4513617784964188</v>
      </c>
      <c r="M8" s="40">
        <f t="shared" si="1"/>
        <v>35.407149332988958</v>
      </c>
    </row>
    <row r="9" spans="1:36" ht="14.45" customHeight="1" x14ac:dyDescent="0.25">
      <c r="A9" s="41">
        <f t="shared" si="2"/>
        <v>22.088424891014924</v>
      </c>
      <c r="B9" s="42">
        <v>4</v>
      </c>
      <c r="C9" s="43" t="s">
        <v>22</v>
      </c>
      <c r="D9" s="43" t="s">
        <v>56</v>
      </c>
      <c r="E9" s="43" t="s">
        <v>47</v>
      </c>
      <c r="F9" s="43"/>
      <c r="G9" s="30"/>
      <c r="H9" s="44">
        <v>4</v>
      </c>
      <c r="I9" s="45">
        <f t="shared" si="3"/>
        <v>12.088424891014924</v>
      </c>
      <c r="J9" s="44">
        <f t="shared" si="4"/>
        <v>1</v>
      </c>
      <c r="K9" s="44">
        <f t="shared" si="0"/>
        <v>10</v>
      </c>
      <c r="L9" s="46"/>
      <c r="M9" s="46">
        <f t="shared" si="1"/>
        <v>22.088424891014924</v>
      </c>
      <c r="V9" s="47"/>
      <c r="Z9" s="48"/>
      <c r="AA9" s="48"/>
      <c r="AG9" s="49"/>
      <c r="AH9" s="21" t="s">
        <v>53</v>
      </c>
      <c r="AI9" s="21">
        <v>23</v>
      </c>
    </row>
    <row r="10" spans="1:36" ht="14.45" customHeight="1" x14ac:dyDescent="0.25">
      <c r="A10" s="35">
        <f t="shared" si="2"/>
        <v>5.9860243165075602</v>
      </c>
      <c r="B10" s="36">
        <v>5</v>
      </c>
      <c r="C10" s="37" t="s">
        <v>24</v>
      </c>
      <c r="D10" s="37" t="s">
        <v>54</v>
      </c>
      <c r="E10" s="37" t="s">
        <v>47</v>
      </c>
      <c r="F10" s="37"/>
      <c r="G10" s="30"/>
      <c r="H10" s="38">
        <v>5</v>
      </c>
      <c r="I10" s="39">
        <f t="shared" si="3"/>
        <v>5.9860243165075602</v>
      </c>
      <c r="J10" s="38">
        <f t="shared" si="4"/>
        <v>0</v>
      </c>
      <c r="K10" s="38">
        <f t="shared" si="0"/>
        <v>0</v>
      </c>
      <c r="L10" s="38"/>
      <c r="M10" s="40">
        <f t="shared" si="1"/>
        <v>5.9860243165075602</v>
      </c>
      <c r="V10" s="47"/>
      <c r="Z10" s="48"/>
      <c r="AA10" s="48"/>
      <c r="AG10" s="49"/>
      <c r="AH10" s="21" t="s">
        <v>55</v>
      </c>
      <c r="AI10" s="21">
        <v>45</v>
      </c>
    </row>
    <row r="11" spans="1:36" ht="14.45" customHeight="1" x14ac:dyDescent="0.25">
      <c r="A11" s="41">
        <f t="shared" si="2"/>
        <v>1</v>
      </c>
      <c r="B11" s="42">
        <v>6</v>
      </c>
      <c r="C11" s="43" t="s">
        <v>25</v>
      </c>
      <c r="D11" s="43" t="s">
        <v>46</v>
      </c>
      <c r="E11" s="43" t="s">
        <v>47</v>
      </c>
      <c r="F11" s="43"/>
      <c r="G11" s="30"/>
      <c r="H11" s="44">
        <v>6</v>
      </c>
      <c r="I11" s="45">
        <f t="shared" si="3"/>
        <v>1</v>
      </c>
      <c r="J11" s="44">
        <f t="shared" si="4"/>
        <v>0</v>
      </c>
      <c r="K11" s="44">
        <f t="shared" si="0"/>
        <v>0</v>
      </c>
      <c r="L11" s="44"/>
      <c r="M11" s="46">
        <f t="shared" si="1"/>
        <v>1</v>
      </c>
      <c r="V11" s="50"/>
      <c r="Z11" s="48"/>
      <c r="AA11" s="48"/>
      <c r="AG11" s="49"/>
      <c r="AH11" s="21" t="s">
        <v>57</v>
      </c>
      <c r="AI11" s="21">
        <v>50</v>
      </c>
    </row>
    <row r="12" spans="1:36" ht="14.45" customHeight="1" x14ac:dyDescent="0.25">
      <c r="A12" s="35">
        <f t="shared" si="2"/>
        <v>0</v>
      </c>
      <c r="B12" s="36"/>
      <c r="C12" s="37"/>
      <c r="D12" s="37"/>
      <c r="E12" s="37"/>
      <c r="F12" s="37"/>
      <c r="G12" s="30"/>
      <c r="H12" s="38">
        <v>7</v>
      </c>
      <c r="I12" s="39" t="str">
        <f t="shared" si="3"/>
        <v/>
      </c>
      <c r="J12" s="38">
        <f t="shared" si="4"/>
        <v>0</v>
      </c>
      <c r="K12" s="38">
        <f t="shared" si="0"/>
        <v>0</v>
      </c>
      <c r="L12" s="38"/>
      <c r="M12" s="40">
        <f t="shared" si="1"/>
        <v>0</v>
      </c>
      <c r="Z12" s="48"/>
      <c r="AA12" s="48"/>
      <c r="AG12" s="49"/>
      <c r="AH12" s="21" t="s">
        <v>58</v>
      </c>
      <c r="AI12" s="21">
        <f>AI11-1</f>
        <v>49</v>
      </c>
    </row>
    <row r="13" spans="1:36" ht="14.45" customHeight="1" x14ac:dyDescent="0.25">
      <c r="A13" s="51">
        <f t="shared" si="2"/>
        <v>0</v>
      </c>
      <c r="B13" s="42"/>
      <c r="C13" s="43"/>
      <c r="D13" s="43"/>
      <c r="E13" s="43"/>
      <c r="F13" s="43"/>
      <c r="G13" s="30"/>
      <c r="H13" s="44">
        <v>8</v>
      </c>
      <c r="I13" s="45" t="str">
        <f t="shared" si="3"/>
        <v/>
      </c>
      <c r="J13" s="44">
        <f t="shared" si="4"/>
        <v>0</v>
      </c>
      <c r="K13" s="44">
        <f t="shared" si="0"/>
        <v>0</v>
      </c>
      <c r="L13" s="44"/>
      <c r="M13" s="46">
        <f t="shared" si="1"/>
        <v>0</v>
      </c>
      <c r="X13" s="47"/>
      <c r="AG13" s="49"/>
      <c r="AH13" s="21" t="s">
        <v>59</v>
      </c>
      <c r="AI13" s="21">
        <f>LOG(AI9)</f>
        <v>1.3617278360175928</v>
      </c>
    </row>
    <row r="14" spans="1:36" x14ac:dyDescent="0.25">
      <c r="A14" s="52">
        <f t="shared" si="2"/>
        <v>0</v>
      </c>
      <c r="B14" s="36"/>
      <c r="C14" s="37"/>
      <c r="D14" s="37"/>
      <c r="E14" s="37"/>
      <c r="F14" s="37"/>
      <c r="G14" s="30"/>
      <c r="H14" s="38">
        <v>9</v>
      </c>
      <c r="I14" s="39" t="str">
        <f t="shared" si="3"/>
        <v/>
      </c>
      <c r="J14" s="38">
        <f t="shared" si="4"/>
        <v>-1</v>
      </c>
      <c r="K14" s="38">
        <f t="shared" si="0"/>
        <v>-10</v>
      </c>
      <c r="L14" s="38"/>
      <c r="M14" s="40">
        <f t="shared" si="1"/>
        <v>0</v>
      </c>
      <c r="X14" s="53"/>
      <c r="Z14" s="48"/>
      <c r="AA14" s="48"/>
      <c r="AG14" s="49"/>
      <c r="AH14" s="21" t="s">
        <v>65</v>
      </c>
      <c r="AI14" s="21">
        <f>LOG(AI10)</f>
        <v>1.6532125137753437</v>
      </c>
    </row>
    <row r="15" spans="1:36" x14ac:dyDescent="0.25">
      <c r="A15" s="51">
        <f t="shared" si="2"/>
        <v>0</v>
      </c>
      <c r="B15" s="42" t="str">
        <f t="shared" ref="B15:B65" si="5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3"/>
        <v/>
      </c>
      <c r="J15" s="44">
        <f t="shared" si="4"/>
        <v>-1</v>
      </c>
      <c r="K15" s="44">
        <f t="shared" si="0"/>
        <v>-10</v>
      </c>
      <c r="L15" s="44"/>
      <c r="M15" s="46">
        <f t="shared" si="1"/>
        <v>0</v>
      </c>
      <c r="X15" s="47"/>
      <c r="Z15" s="48"/>
      <c r="AA15" s="48"/>
    </row>
    <row r="16" spans="1:36" x14ac:dyDescent="0.25">
      <c r="A16" s="52">
        <f t="shared" si="2"/>
        <v>0</v>
      </c>
      <c r="B16" s="36" t="str">
        <f t="shared" si="5"/>
        <v/>
      </c>
      <c r="C16" s="37"/>
      <c r="D16" s="37"/>
      <c r="E16" s="37"/>
      <c r="F16" s="37"/>
      <c r="G16" s="30"/>
      <c r="H16" s="38">
        <v>11</v>
      </c>
      <c r="I16" s="39" t="str">
        <f t="shared" si="3"/>
        <v/>
      </c>
      <c r="J16" s="38">
        <f t="shared" si="4"/>
        <v>-1</v>
      </c>
      <c r="K16" s="38">
        <f t="shared" si="0"/>
        <v>-10</v>
      </c>
      <c r="L16" s="38"/>
      <c r="M16" s="40">
        <f t="shared" si="1"/>
        <v>0</v>
      </c>
      <c r="R16" s="54"/>
      <c r="Z16" s="48"/>
      <c r="AA16" s="48"/>
      <c r="AH16" s="55" t="s">
        <v>61</v>
      </c>
      <c r="AI16" s="21">
        <f>AI11-AI12*AI13/AI14</f>
        <v>9.6393909380186855</v>
      </c>
      <c r="AJ16" s="21" t="s">
        <v>62</v>
      </c>
    </row>
    <row r="17" spans="1:19" x14ac:dyDescent="0.25">
      <c r="A17" s="51">
        <f t="shared" si="2"/>
        <v>0</v>
      </c>
      <c r="B17" s="42" t="str">
        <f t="shared" si="5"/>
        <v/>
      </c>
      <c r="C17" s="43"/>
      <c r="D17" s="43"/>
      <c r="E17" s="43"/>
      <c r="F17" s="43"/>
      <c r="G17" s="30"/>
      <c r="H17" s="44">
        <v>12</v>
      </c>
      <c r="I17" s="45" t="str">
        <f t="shared" si="3"/>
        <v/>
      </c>
      <c r="J17" s="44">
        <f t="shared" si="4"/>
        <v>-1</v>
      </c>
      <c r="K17" s="44">
        <f t="shared" si="0"/>
        <v>-10</v>
      </c>
      <c r="L17" s="44"/>
      <c r="M17" s="46">
        <f t="shared" si="1"/>
        <v>0</v>
      </c>
    </row>
    <row r="18" spans="1:19" x14ac:dyDescent="0.25">
      <c r="A18" s="52">
        <f t="shared" si="2"/>
        <v>0</v>
      </c>
      <c r="B18" s="36" t="str">
        <f t="shared" si="5"/>
        <v/>
      </c>
      <c r="C18" s="37"/>
      <c r="D18" s="37"/>
      <c r="E18" s="37"/>
      <c r="F18" s="37"/>
      <c r="G18" s="30"/>
      <c r="H18" s="38">
        <v>13</v>
      </c>
      <c r="I18" s="39" t="str">
        <f t="shared" si="3"/>
        <v/>
      </c>
      <c r="J18" s="38">
        <f t="shared" si="4"/>
        <v>-1</v>
      </c>
      <c r="K18" s="38">
        <f t="shared" si="0"/>
        <v>-10</v>
      </c>
      <c r="L18" s="38"/>
      <c r="M18" s="40">
        <f t="shared" si="1"/>
        <v>0</v>
      </c>
    </row>
    <row r="19" spans="1:19" x14ac:dyDescent="0.25">
      <c r="A19" s="51">
        <f t="shared" si="2"/>
        <v>0</v>
      </c>
      <c r="B19" s="42" t="str">
        <f t="shared" si="5"/>
        <v/>
      </c>
      <c r="C19" s="43"/>
      <c r="D19" s="43"/>
      <c r="E19" s="43"/>
      <c r="F19" s="43"/>
      <c r="G19" s="30"/>
      <c r="H19" s="44">
        <v>14</v>
      </c>
      <c r="I19" s="45" t="str">
        <f t="shared" si="3"/>
        <v/>
      </c>
      <c r="J19" s="44">
        <f t="shared" si="4"/>
        <v>-1</v>
      </c>
      <c r="K19" s="44">
        <f t="shared" si="0"/>
        <v>-10</v>
      </c>
      <c r="L19" s="44"/>
      <c r="M19" s="46">
        <f t="shared" si="1"/>
        <v>0</v>
      </c>
    </row>
    <row r="20" spans="1:19" x14ac:dyDescent="0.25">
      <c r="A20" s="52">
        <f t="shared" si="2"/>
        <v>0</v>
      </c>
      <c r="B20" s="36" t="str">
        <f t="shared" si="5"/>
        <v/>
      </c>
      <c r="C20" s="37"/>
      <c r="D20" s="37"/>
      <c r="E20" s="37"/>
      <c r="F20" s="37"/>
      <c r="G20" s="30"/>
      <c r="H20" s="38">
        <v>15</v>
      </c>
      <c r="I20" s="39" t="str">
        <f t="shared" si="3"/>
        <v/>
      </c>
      <c r="J20" s="38">
        <f t="shared" si="4"/>
        <v>-1</v>
      </c>
      <c r="K20" s="38">
        <f t="shared" si="0"/>
        <v>-10</v>
      </c>
      <c r="L20" s="38"/>
      <c r="M20" s="40">
        <f t="shared" si="1"/>
        <v>0</v>
      </c>
      <c r="R20" s="56"/>
      <c r="S20" s="57"/>
    </row>
    <row r="21" spans="1:19" x14ac:dyDescent="0.25">
      <c r="A21" s="51">
        <f t="shared" si="2"/>
        <v>0</v>
      </c>
      <c r="B21" s="42" t="str">
        <f t="shared" si="5"/>
        <v/>
      </c>
      <c r="C21" s="43"/>
      <c r="D21" s="43"/>
      <c r="E21" s="43"/>
      <c r="F21" s="43"/>
      <c r="G21" s="30"/>
      <c r="H21" s="44">
        <v>16</v>
      </c>
      <c r="I21" s="45" t="str">
        <f t="shared" si="3"/>
        <v/>
      </c>
      <c r="J21" s="44">
        <f t="shared" si="4"/>
        <v>-1</v>
      </c>
      <c r="K21" s="44">
        <f t="shared" si="0"/>
        <v>-10</v>
      </c>
      <c r="L21" s="44"/>
      <c r="M21" s="46">
        <f t="shared" si="1"/>
        <v>0</v>
      </c>
    </row>
    <row r="22" spans="1:19" x14ac:dyDescent="0.25">
      <c r="A22" s="52">
        <f t="shared" si="2"/>
        <v>0</v>
      </c>
      <c r="B22" s="36" t="str">
        <f t="shared" si="5"/>
        <v/>
      </c>
      <c r="C22" s="37"/>
      <c r="D22" s="37"/>
      <c r="E22" s="37"/>
      <c r="F22" s="37"/>
      <c r="G22" s="30"/>
      <c r="H22" s="38">
        <v>17</v>
      </c>
      <c r="I22" s="39" t="str">
        <f t="shared" si="3"/>
        <v/>
      </c>
      <c r="J22" s="38">
        <f t="shared" si="4"/>
        <v>-2</v>
      </c>
      <c r="K22" s="38">
        <f t="shared" si="0"/>
        <v>-20</v>
      </c>
      <c r="L22" s="38"/>
      <c r="M22" s="40">
        <f t="shared" si="1"/>
        <v>0</v>
      </c>
    </row>
    <row r="23" spans="1:19" x14ac:dyDescent="0.25">
      <c r="A23" s="51">
        <f t="shared" si="2"/>
        <v>0</v>
      </c>
      <c r="B23" s="42" t="str">
        <f t="shared" si="5"/>
        <v/>
      </c>
      <c r="C23" s="43"/>
      <c r="D23" s="43"/>
      <c r="E23" s="43"/>
      <c r="F23" s="43"/>
      <c r="G23" s="30"/>
      <c r="H23" s="44">
        <v>18</v>
      </c>
      <c r="I23" s="45" t="str">
        <f t="shared" si="3"/>
        <v/>
      </c>
      <c r="J23" s="44">
        <f t="shared" si="4"/>
        <v>-2</v>
      </c>
      <c r="K23" s="44">
        <f t="shared" si="0"/>
        <v>-20</v>
      </c>
      <c r="L23" s="44"/>
      <c r="M23" s="46">
        <f t="shared" si="1"/>
        <v>0</v>
      </c>
    </row>
    <row r="24" spans="1:19" x14ac:dyDescent="0.25">
      <c r="A24" s="52">
        <f t="shared" si="2"/>
        <v>0</v>
      </c>
      <c r="B24" s="36" t="str">
        <f t="shared" si="5"/>
        <v/>
      </c>
      <c r="C24" s="37"/>
      <c r="D24" s="37"/>
      <c r="E24" s="37"/>
      <c r="F24" s="37"/>
      <c r="G24" s="30"/>
      <c r="H24" s="38">
        <v>19</v>
      </c>
      <c r="I24" s="39" t="str">
        <f t="shared" si="3"/>
        <v/>
      </c>
      <c r="J24" s="38">
        <f t="shared" si="4"/>
        <v>-2</v>
      </c>
      <c r="K24" s="38">
        <f t="shared" si="0"/>
        <v>-20</v>
      </c>
      <c r="L24" s="38"/>
      <c r="M24" s="40">
        <f t="shared" si="1"/>
        <v>0</v>
      </c>
      <c r="R24" s="56"/>
      <c r="S24" s="57"/>
    </row>
    <row r="25" spans="1:19" x14ac:dyDescent="0.25">
      <c r="A25" s="51">
        <f t="shared" si="2"/>
        <v>0</v>
      </c>
      <c r="B25" s="42" t="str">
        <f t="shared" si="5"/>
        <v/>
      </c>
      <c r="C25" s="43"/>
      <c r="D25" s="43"/>
      <c r="E25" s="43"/>
      <c r="F25" s="43"/>
      <c r="G25" s="30"/>
      <c r="H25" s="44">
        <v>20</v>
      </c>
      <c r="I25" s="45" t="str">
        <f t="shared" si="3"/>
        <v/>
      </c>
      <c r="J25" s="44">
        <f t="shared" si="4"/>
        <v>-2</v>
      </c>
      <c r="K25" s="44">
        <f t="shared" si="0"/>
        <v>-20</v>
      </c>
      <c r="L25" s="44"/>
      <c r="M25" s="46">
        <f t="shared" si="1"/>
        <v>0</v>
      </c>
    </row>
    <row r="26" spans="1:19" x14ac:dyDescent="0.25">
      <c r="A26" s="52">
        <f t="shared" si="2"/>
        <v>0</v>
      </c>
      <c r="B26" s="36" t="str">
        <f t="shared" si="5"/>
        <v/>
      </c>
      <c r="C26" s="37"/>
      <c r="D26" s="37"/>
      <c r="E26" s="37"/>
      <c r="F26" s="37"/>
      <c r="G26" s="30"/>
      <c r="H26" s="38">
        <v>21</v>
      </c>
      <c r="I26" s="39" t="str">
        <f t="shared" si="3"/>
        <v/>
      </c>
      <c r="J26" s="38">
        <f t="shared" si="4"/>
        <v>-2</v>
      </c>
      <c r="K26" s="38">
        <f t="shared" si="0"/>
        <v>-20</v>
      </c>
      <c r="L26" s="38"/>
      <c r="M26" s="40">
        <f t="shared" si="1"/>
        <v>0</v>
      </c>
    </row>
    <row r="27" spans="1:19" x14ac:dyDescent="0.25">
      <c r="A27" s="51">
        <f t="shared" si="2"/>
        <v>0</v>
      </c>
      <c r="B27" s="42" t="str">
        <f t="shared" si="5"/>
        <v/>
      </c>
      <c r="C27" s="43"/>
      <c r="D27" s="43"/>
      <c r="E27" s="43"/>
      <c r="F27" s="43"/>
      <c r="G27" s="30"/>
      <c r="H27" s="44">
        <v>22</v>
      </c>
      <c r="I27" s="45" t="str">
        <f t="shared" si="3"/>
        <v/>
      </c>
      <c r="J27" s="44">
        <f t="shared" si="4"/>
        <v>-2</v>
      </c>
      <c r="K27" s="44">
        <f t="shared" si="0"/>
        <v>-20</v>
      </c>
      <c r="L27" s="44"/>
      <c r="M27" s="46">
        <f t="shared" si="1"/>
        <v>0</v>
      </c>
    </row>
    <row r="28" spans="1:19" x14ac:dyDescent="0.25">
      <c r="A28" s="52">
        <f t="shared" si="2"/>
        <v>0</v>
      </c>
      <c r="B28" s="36" t="str">
        <f t="shared" si="5"/>
        <v/>
      </c>
      <c r="C28" s="37"/>
      <c r="D28" s="37"/>
      <c r="E28" s="37"/>
      <c r="F28" s="37"/>
      <c r="G28" s="30"/>
      <c r="H28" s="38">
        <v>23</v>
      </c>
      <c r="I28" s="39" t="str">
        <f t="shared" si="3"/>
        <v/>
      </c>
      <c r="J28" s="38">
        <f t="shared" si="4"/>
        <v>-2</v>
      </c>
      <c r="K28" s="38">
        <f t="shared" si="0"/>
        <v>-20</v>
      </c>
      <c r="L28" s="38"/>
      <c r="M28" s="40">
        <f t="shared" si="1"/>
        <v>0</v>
      </c>
      <c r="R28" s="56"/>
      <c r="S28" s="57"/>
    </row>
    <row r="29" spans="1:19" x14ac:dyDescent="0.25">
      <c r="A29" s="51">
        <f t="shared" si="2"/>
        <v>0</v>
      </c>
      <c r="B29" s="42" t="str">
        <f t="shared" si="5"/>
        <v/>
      </c>
      <c r="C29" s="43"/>
      <c r="D29" s="43"/>
      <c r="E29" s="43"/>
      <c r="F29" s="43"/>
      <c r="G29" s="16"/>
      <c r="H29" s="44">
        <v>24</v>
      </c>
      <c r="I29" s="45" t="str">
        <f t="shared" si="3"/>
        <v/>
      </c>
      <c r="J29" s="44">
        <f t="shared" si="4"/>
        <v>-2</v>
      </c>
      <c r="K29" s="44">
        <f t="shared" si="0"/>
        <v>-20</v>
      </c>
      <c r="L29" s="44"/>
      <c r="M29" s="46">
        <f t="shared" si="1"/>
        <v>0</v>
      </c>
    </row>
    <row r="30" spans="1:19" x14ac:dyDescent="0.25">
      <c r="A30" s="52">
        <f t="shared" si="2"/>
        <v>0</v>
      </c>
      <c r="B30" s="36" t="str">
        <f t="shared" si="5"/>
        <v/>
      </c>
      <c r="C30" s="37"/>
      <c r="D30" s="37"/>
      <c r="E30" s="37"/>
      <c r="F30" s="37"/>
      <c r="G30" s="16"/>
      <c r="H30" s="38">
        <v>25</v>
      </c>
      <c r="I30" s="39" t="str">
        <f t="shared" si="3"/>
        <v/>
      </c>
      <c r="J30" s="38">
        <f t="shared" si="4"/>
        <v>-2</v>
      </c>
      <c r="K30" s="38">
        <f t="shared" si="0"/>
        <v>-20</v>
      </c>
      <c r="L30" s="38"/>
      <c r="M30" s="40">
        <f t="shared" si="1"/>
        <v>0</v>
      </c>
    </row>
    <row r="31" spans="1:19" x14ac:dyDescent="0.25">
      <c r="A31" s="51">
        <f t="shared" si="2"/>
        <v>0</v>
      </c>
      <c r="B31" s="42" t="str">
        <f t="shared" si="5"/>
        <v/>
      </c>
      <c r="C31" s="43"/>
      <c r="D31" s="43"/>
      <c r="E31" s="43"/>
      <c r="F31" s="43"/>
      <c r="G31" s="16"/>
      <c r="H31" s="44">
        <v>26</v>
      </c>
      <c r="I31" s="45" t="str">
        <f t="shared" si="3"/>
        <v/>
      </c>
      <c r="J31" s="44">
        <f t="shared" si="4"/>
        <v>-2</v>
      </c>
      <c r="K31" s="44">
        <f t="shared" si="0"/>
        <v>-20</v>
      </c>
      <c r="L31" s="44"/>
      <c r="M31" s="46">
        <f t="shared" si="1"/>
        <v>0</v>
      </c>
    </row>
    <row r="32" spans="1:19" x14ac:dyDescent="0.25">
      <c r="A32" s="52">
        <f t="shared" si="2"/>
        <v>0</v>
      </c>
      <c r="B32" s="36" t="str">
        <f t="shared" si="5"/>
        <v/>
      </c>
      <c r="C32" s="37"/>
      <c r="D32" s="37"/>
      <c r="E32" s="37"/>
      <c r="F32" s="37"/>
      <c r="G32" s="16"/>
      <c r="H32" s="38">
        <v>27</v>
      </c>
      <c r="I32" s="39" t="str">
        <f t="shared" si="3"/>
        <v/>
      </c>
      <c r="J32" s="38">
        <f t="shared" si="4"/>
        <v>-2</v>
      </c>
      <c r="K32" s="38">
        <f t="shared" si="0"/>
        <v>-20</v>
      </c>
      <c r="L32" s="38"/>
      <c r="M32" s="40">
        <f t="shared" si="1"/>
        <v>0</v>
      </c>
      <c r="R32" s="56"/>
      <c r="S32" s="57"/>
    </row>
    <row r="33" spans="1:21" x14ac:dyDescent="0.25">
      <c r="A33" s="51">
        <f t="shared" si="2"/>
        <v>0</v>
      </c>
      <c r="B33" s="42" t="str">
        <f t="shared" si="5"/>
        <v/>
      </c>
      <c r="C33" s="43"/>
      <c r="D33" s="43"/>
      <c r="E33" s="43"/>
      <c r="F33" s="43"/>
      <c r="G33" s="16"/>
      <c r="H33" s="44">
        <v>28</v>
      </c>
      <c r="I33" s="45" t="str">
        <f t="shared" si="3"/>
        <v/>
      </c>
      <c r="J33" s="44">
        <f t="shared" si="4"/>
        <v>-2</v>
      </c>
      <c r="K33" s="44">
        <f t="shared" si="0"/>
        <v>-20</v>
      </c>
      <c r="L33" s="44"/>
      <c r="M33" s="46">
        <f t="shared" si="1"/>
        <v>0</v>
      </c>
    </row>
    <row r="34" spans="1:21" x14ac:dyDescent="0.25">
      <c r="A34" s="52">
        <f t="shared" si="2"/>
        <v>0</v>
      </c>
      <c r="B34" s="36" t="str">
        <f t="shared" si="5"/>
        <v/>
      </c>
      <c r="C34" s="37"/>
      <c r="D34" s="37"/>
      <c r="E34" s="37"/>
      <c r="F34" s="37"/>
      <c r="G34" s="16"/>
      <c r="H34" s="38">
        <v>29</v>
      </c>
      <c r="I34" s="39" t="str">
        <f t="shared" si="3"/>
        <v/>
      </c>
      <c r="J34" s="38">
        <f t="shared" si="4"/>
        <v>-2</v>
      </c>
      <c r="K34" s="38">
        <f t="shared" si="0"/>
        <v>-20</v>
      </c>
      <c r="L34" s="38"/>
      <c r="M34" s="40">
        <f t="shared" si="1"/>
        <v>0</v>
      </c>
    </row>
    <row r="35" spans="1:21" x14ac:dyDescent="0.25">
      <c r="A35" s="51">
        <f t="shared" si="2"/>
        <v>0</v>
      </c>
      <c r="B35" s="42" t="str">
        <f t="shared" si="5"/>
        <v/>
      </c>
      <c r="C35" s="43"/>
      <c r="D35" s="43"/>
      <c r="E35" s="43"/>
      <c r="F35" s="43"/>
      <c r="G35" s="16"/>
      <c r="H35" s="44">
        <v>30</v>
      </c>
      <c r="I35" s="45" t="str">
        <f t="shared" si="3"/>
        <v/>
      </c>
      <c r="J35" s="44">
        <f t="shared" si="4"/>
        <v>-2</v>
      </c>
      <c r="K35" s="44">
        <f t="shared" si="0"/>
        <v>-20</v>
      </c>
      <c r="L35" s="44"/>
      <c r="M35" s="46">
        <f t="shared" si="1"/>
        <v>0</v>
      </c>
    </row>
    <row r="36" spans="1:21" x14ac:dyDescent="0.25">
      <c r="A36" s="52">
        <f t="shared" si="2"/>
        <v>0</v>
      </c>
      <c r="B36" s="36" t="str">
        <f t="shared" si="5"/>
        <v/>
      </c>
      <c r="C36" s="37"/>
      <c r="D36" s="37"/>
      <c r="E36" s="37"/>
      <c r="F36" s="37"/>
      <c r="G36" s="16"/>
      <c r="H36" s="38">
        <v>31</v>
      </c>
      <c r="I36" s="39" t="str">
        <f t="shared" si="3"/>
        <v/>
      </c>
      <c r="J36" s="38">
        <f t="shared" si="4"/>
        <v>-2</v>
      </c>
      <c r="K36" s="38">
        <f t="shared" si="0"/>
        <v>-20</v>
      </c>
      <c r="L36" s="38"/>
      <c r="M36" s="40">
        <f t="shared" si="1"/>
        <v>0</v>
      </c>
      <c r="R36" s="56"/>
      <c r="S36" s="57"/>
    </row>
    <row r="37" spans="1:21" x14ac:dyDescent="0.25">
      <c r="A37" s="51">
        <f t="shared" si="2"/>
        <v>0</v>
      </c>
      <c r="B37" s="42" t="str">
        <f t="shared" si="5"/>
        <v/>
      </c>
      <c r="C37" s="43"/>
      <c r="D37" s="43"/>
      <c r="E37" s="43"/>
      <c r="F37" s="43"/>
      <c r="G37" s="16"/>
      <c r="H37" s="44">
        <v>32</v>
      </c>
      <c r="I37" s="45" t="str">
        <f t="shared" si="3"/>
        <v/>
      </c>
      <c r="J37" s="44">
        <f t="shared" si="4"/>
        <v>-2</v>
      </c>
      <c r="K37" s="44">
        <f t="shared" si="0"/>
        <v>-20</v>
      </c>
      <c r="L37" s="44"/>
      <c r="M37" s="46">
        <f t="shared" si="1"/>
        <v>0</v>
      </c>
    </row>
    <row r="38" spans="1:21" x14ac:dyDescent="0.25">
      <c r="A38" s="52"/>
      <c r="B38" s="36" t="str">
        <f t="shared" si="5"/>
        <v/>
      </c>
      <c r="C38" s="37"/>
      <c r="D38" s="37"/>
      <c r="E38" s="37"/>
      <c r="F38" s="37"/>
      <c r="G38" s="16"/>
      <c r="H38" s="38">
        <v>33</v>
      </c>
      <c r="I38" s="39" t="str">
        <f t="shared" si="3"/>
        <v/>
      </c>
      <c r="J38" s="38">
        <f t="shared" si="4"/>
        <v>-3</v>
      </c>
      <c r="K38" s="38">
        <f t="shared" si="0"/>
        <v>-30</v>
      </c>
      <c r="L38" s="38"/>
      <c r="M38" s="40">
        <f t="shared" si="1"/>
        <v>0</v>
      </c>
    </row>
    <row r="39" spans="1:21" x14ac:dyDescent="0.25">
      <c r="A39" s="51"/>
      <c r="B39" s="42" t="str">
        <f t="shared" si="5"/>
        <v/>
      </c>
      <c r="C39" s="43"/>
      <c r="D39" s="43"/>
      <c r="E39" s="43"/>
      <c r="F39" s="43"/>
      <c r="G39" s="16"/>
      <c r="H39" s="44">
        <v>34</v>
      </c>
      <c r="I39" s="45" t="str">
        <f t="shared" si="3"/>
        <v/>
      </c>
      <c r="J39" s="44">
        <f t="shared" si="4"/>
        <v>-3</v>
      </c>
      <c r="K39" s="44">
        <f t="shared" si="0"/>
        <v>-30</v>
      </c>
      <c r="L39" s="44"/>
      <c r="M39" s="46">
        <f t="shared" si="1"/>
        <v>0</v>
      </c>
    </row>
    <row r="40" spans="1:21" x14ac:dyDescent="0.25">
      <c r="A40" s="52"/>
      <c r="B40" s="36" t="str">
        <f t="shared" si="5"/>
        <v/>
      </c>
      <c r="C40" s="37"/>
      <c r="D40" s="37"/>
      <c r="E40" s="37"/>
      <c r="F40" s="37"/>
      <c r="G40" s="16"/>
      <c r="H40" s="38">
        <v>35</v>
      </c>
      <c r="I40" s="39" t="str">
        <f t="shared" si="3"/>
        <v/>
      </c>
      <c r="J40" s="38">
        <f t="shared" si="4"/>
        <v>-3</v>
      </c>
      <c r="K40" s="38">
        <f t="shared" si="0"/>
        <v>-30</v>
      </c>
      <c r="L40" s="38"/>
      <c r="M40" s="40">
        <f t="shared" si="1"/>
        <v>0</v>
      </c>
    </row>
    <row r="41" spans="1:21" x14ac:dyDescent="0.25">
      <c r="A41" s="51"/>
      <c r="B41" s="42" t="str">
        <f t="shared" si="5"/>
        <v/>
      </c>
      <c r="C41" s="43"/>
      <c r="D41" s="43"/>
      <c r="E41" s="43"/>
      <c r="F41" s="43"/>
      <c r="G41" s="16"/>
      <c r="H41" s="44">
        <v>36</v>
      </c>
      <c r="I41" s="45" t="str">
        <f t="shared" si="3"/>
        <v/>
      </c>
      <c r="J41" s="44">
        <f t="shared" si="4"/>
        <v>-3</v>
      </c>
      <c r="K41" s="44">
        <f t="shared" si="0"/>
        <v>-30</v>
      </c>
      <c r="L41" s="44"/>
      <c r="M41" s="46">
        <f t="shared" si="1"/>
        <v>0</v>
      </c>
      <c r="S41" s="58"/>
    </row>
    <row r="42" spans="1:21" x14ac:dyDescent="0.25">
      <c r="A42" s="52"/>
      <c r="B42" s="36" t="str">
        <f t="shared" si="5"/>
        <v/>
      </c>
      <c r="C42" s="37"/>
      <c r="D42" s="37"/>
      <c r="E42" s="37"/>
      <c r="F42" s="37"/>
      <c r="G42" s="16"/>
      <c r="H42" s="38">
        <v>37</v>
      </c>
      <c r="I42" s="39" t="str">
        <f t="shared" si="3"/>
        <v/>
      </c>
      <c r="J42" s="38">
        <f t="shared" si="4"/>
        <v>-3</v>
      </c>
      <c r="K42" s="38">
        <f t="shared" si="0"/>
        <v>-30</v>
      </c>
      <c r="L42" s="38"/>
      <c r="M42" s="40">
        <f t="shared" si="1"/>
        <v>0</v>
      </c>
    </row>
    <row r="43" spans="1:21" x14ac:dyDescent="0.25">
      <c r="A43" s="51"/>
      <c r="B43" s="42" t="str">
        <f t="shared" si="5"/>
        <v/>
      </c>
      <c r="C43" s="43"/>
      <c r="D43" s="43"/>
      <c r="E43" s="43"/>
      <c r="F43" s="43"/>
      <c r="G43" s="16"/>
      <c r="H43" s="44">
        <v>38</v>
      </c>
      <c r="I43" s="45" t="str">
        <f t="shared" si="3"/>
        <v/>
      </c>
      <c r="J43" s="44">
        <f t="shared" si="4"/>
        <v>-3</v>
      </c>
      <c r="K43" s="44">
        <f t="shared" si="0"/>
        <v>-30</v>
      </c>
      <c r="L43" s="44"/>
      <c r="M43" s="46">
        <f t="shared" si="1"/>
        <v>0</v>
      </c>
    </row>
    <row r="44" spans="1:21" x14ac:dyDescent="0.25">
      <c r="A44" s="52"/>
      <c r="B44" s="36" t="str">
        <f t="shared" si="5"/>
        <v/>
      </c>
      <c r="C44" s="37"/>
      <c r="D44" s="37"/>
      <c r="E44" s="37"/>
      <c r="F44" s="37"/>
      <c r="G44" s="16"/>
      <c r="H44" s="38">
        <v>39</v>
      </c>
      <c r="I44" s="39" t="str">
        <f t="shared" si="3"/>
        <v/>
      </c>
      <c r="J44" s="38">
        <f t="shared" si="4"/>
        <v>-3</v>
      </c>
      <c r="K44" s="38">
        <f t="shared" si="0"/>
        <v>-30</v>
      </c>
      <c r="L44" s="38"/>
      <c r="M44" s="40">
        <f t="shared" si="1"/>
        <v>0</v>
      </c>
    </row>
    <row r="45" spans="1:21" x14ac:dyDescent="0.25">
      <c r="A45" s="51"/>
      <c r="B45" s="42" t="str">
        <f t="shared" si="5"/>
        <v/>
      </c>
      <c r="C45" s="43"/>
      <c r="D45" s="43"/>
      <c r="E45" s="43"/>
      <c r="F45" s="43"/>
      <c r="G45" s="16"/>
      <c r="H45" s="44">
        <v>40</v>
      </c>
      <c r="I45" s="45" t="str">
        <f t="shared" si="3"/>
        <v/>
      </c>
      <c r="J45" s="44">
        <f t="shared" si="4"/>
        <v>-3</v>
      </c>
      <c r="K45" s="44">
        <f t="shared" si="0"/>
        <v>-30</v>
      </c>
      <c r="L45" s="44"/>
      <c r="M45" s="46">
        <f t="shared" si="1"/>
        <v>0</v>
      </c>
    </row>
    <row r="46" spans="1:21" x14ac:dyDescent="0.25">
      <c r="A46" s="52"/>
      <c r="B46" s="36" t="str">
        <f t="shared" si="5"/>
        <v/>
      </c>
      <c r="C46" s="37"/>
      <c r="D46" s="37"/>
      <c r="E46" s="37"/>
      <c r="F46" s="37"/>
      <c r="G46" s="16"/>
      <c r="H46" s="38">
        <v>41</v>
      </c>
      <c r="I46" s="39" t="str">
        <f t="shared" si="3"/>
        <v/>
      </c>
      <c r="J46" s="38">
        <f t="shared" si="4"/>
        <v>-3</v>
      </c>
      <c r="K46" s="38">
        <f t="shared" si="0"/>
        <v>-30</v>
      </c>
      <c r="L46" s="38"/>
      <c r="M46" s="40">
        <f t="shared" si="1"/>
        <v>0</v>
      </c>
      <c r="R46" s="16">
        <f>LOG($H$2,2)</f>
        <v>2.5849625007211561</v>
      </c>
      <c r="T46" s="21">
        <f>LOG(H38,2)</f>
        <v>5.0443941193584534</v>
      </c>
      <c r="U46" s="21">
        <f>R46-T46</f>
        <v>-2.4594316186372973</v>
      </c>
    </row>
    <row r="47" spans="1:21" x14ac:dyDescent="0.25">
      <c r="A47" s="51"/>
      <c r="B47" s="42" t="str">
        <f t="shared" si="5"/>
        <v/>
      </c>
      <c r="C47" s="43"/>
      <c r="D47" s="43"/>
      <c r="E47" s="43"/>
      <c r="F47" s="43"/>
      <c r="G47" s="16"/>
      <c r="H47" s="44">
        <v>42</v>
      </c>
      <c r="I47" s="45" t="str">
        <f t="shared" si="3"/>
        <v/>
      </c>
      <c r="J47" s="44">
        <f t="shared" si="4"/>
        <v>-3</v>
      </c>
      <c r="K47" s="44">
        <f t="shared" si="0"/>
        <v>-30</v>
      </c>
      <c r="L47" s="44"/>
      <c r="M47" s="46">
        <f t="shared" si="1"/>
        <v>0</v>
      </c>
    </row>
    <row r="48" spans="1:21" x14ac:dyDescent="0.25">
      <c r="A48" s="52"/>
      <c r="B48" s="36" t="str">
        <f t="shared" si="5"/>
        <v/>
      </c>
      <c r="C48" s="37"/>
      <c r="D48" s="37"/>
      <c r="E48" s="37"/>
      <c r="F48" s="37"/>
      <c r="G48" s="16"/>
      <c r="H48" s="38">
        <v>43</v>
      </c>
      <c r="I48" s="39" t="str">
        <f t="shared" si="3"/>
        <v/>
      </c>
      <c r="J48" s="38">
        <f t="shared" si="4"/>
        <v>-3</v>
      </c>
      <c r="K48" s="38">
        <f t="shared" si="0"/>
        <v>-30</v>
      </c>
      <c r="L48" s="38"/>
      <c r="M48" s="40">
        <f t="shared" si="1"/>
        <v>0</v>
      </c>
    </row>
    <row r="49" spans="1:13" x14ac:dyDescent="0.25">
      <c r="A49" s="51"/>
      <c r="B49" s="42" t="str">
        <f t="shared" si="5"/>
        <v/>
      </c>
      <c r="C49" s="43"/>
      <c r="D49" s="43"/>
      <c r="E49" s="43"/>
      <c r="F49" s="43"/>
      <c r="G49" s="16"/>
      <c r="H49" s="44">
        <v>44</v>
      </c>
      <c r="I49" s="45" t="str">
        <f t="shared" si="3"/>
        <v/>
      </c>
      <c r="J49" s="44">
        <f t="shared" si="4"/>
        <v>-3</v>
      </c>
      <c r="K49" s="44">
        <f t="shared" si="0"/>
        <v>-30</v>
      </c>
      <c r="L49" s="44"/>
      <c r="M49" s="46">
        <f t="shared" si="1"/>
        <v>0</v>
      </c>
    </row>
    <row r="50" spans="1:13" x14ac:dyDescent="0.25">
      <c r="A50" s="52"/>
      <c r="B50" s="36" t="str">
        <f t="shared" si="5"/>
        <v/>
      </c>
      <c r="C50" s="37"/>
      <c r="D50" s="37"/>
      <c r="E50" s="37"/>
      <c r="F50" s="37"/>
      <c r="G50" s="16"/>
      <c r="H50" s="38">
        <v>45</v>
      </c>
      <c r="I50" s="39" t="str">
        <f t="shared" si="3"/>
        <v/>
      </c>
      <c r="J50" s="38">
        <f t="shared" si="4"/>
        <v>-3</v>
      </c>
      <c r="K50" s="38">
        <f t="shared" si="0"/>
        <v>-30</v>
      </c>
      <c r="L50" s="38"/>
      <c r="M50" s="40">
        <f t="shared" si="1"/>
        <v>0</v>
      </c>
    </row>
    <row r="51" spans="1:13" x14ac:dyDescent="0.25">
      <c r="A51" s="51"/>
      <c r="B51" s="42" t="str">
        <f t="shared" si="5"/>
        <v/>
      </c>
      <c r="C51" s="43"/>
      <c r="D51" s="43"/>
      <c r="E51" s="43"/>
      <c r="F51" s="43"/>
      <c r="G51" s="16"/>
      <c r="H51" s="44">
        <v>46</v>
      </c>
      <c r="I51" s="45" t="str">
        <f t="shared" si="3"/>
        <v/>
      </c>
      <c r="J51" s="44">
        <f t="shared" si="4"/>
        <v>-3</v>
      </c>
      <c r="K51" s="44">
        <f t="shared" si="0"/>
        <v>-30</v>
      </c>
      <c r="L51" s="44"/>
      <c r="M51" s="46">
        <f t="shared" si="1"/>
        <v>0</v>
      </c>
    </row>
    <row r="52" spans="1:13" x14ac:dyDescent="0.25">
      <c r="A52" s="52"/>
      <c r="B52" s="36" t="str">
        <f t="shared" si="5"/>
        <v/>
      </c>
      <c r="C52" s="37"/>
      <c r="D52" s="37"/>
      <c r="E52" s="37"/>
      <c r="F52" s="37"/>
      <c r="G52" s="16"/>
      <c r="H52" s="38">
        <v>47</v>
      </c>
      <c r="I52" s="39" t="str">
        <f t="shared" si="3"/>
        <v/>
      </c>
      <c r="J52" s="38">
        <f t="shared" si="4"/>
        <v>-3</v>
      </c>
      <c r="K52" s="38">
        <f t="shared" si="0"/>
        <v>-30</v>
      </c>
      <c r="L52" s="38"/>
      <c r="M52" s="40">
        <f t="shared" si="1"/>
        <v>0</v>
      </c>
    </row>
    <row r="53" spans="1:13" x14ac:dyDescent="0.25">
      <c r="A53" s="51"/>
      <c r="B53" s="42" t="str">
        <f t="shared" si="5"/>
        <v/>
      </c>
      <c r="C53" s="43"/>
      <c r="D53" s="43"/>
      <c r="E53" s="43"/>
      <c r="F53" s="43"/>
      <c r="G53" s="16"/>
      <c r="H53" s="44">
        <v>48</v>
      </c>
      <c r="I53" s="45" t="str">
        <f t="shared" si="3"/>
        <v/>
      </c>
      <c r="J53" s="44">
        <f t="shared" si="4"/>
        <v>-3</v>
      </c>
      <c r="K53" s="44">
        <f t="shared" si="0"/>
        <v>-30</v>
      </c>
      <c r="L53" s="44"/>
      <c r="M53" s="46">
        <f t="shared" si="1"/>
        <v>0</v>
      </c>
    </row>
    <row r="54" spans="1:13" x14ac:dyDescent="0.25">
      <c r="A54" s="52"/>
      <c r="B54" s="36" t="str">
        <f t="shared" si="5"/>
        <v/>
      </c>
      <c r="C54" s="37"/>
      <c r="D54" s="37"/>
      <c r="E54" s="37"/>
      <c r="F54" s="37"/>
      <c r="G54" s="16"/>
      <c r="H54" s="38">
        <v>49</v>
      </c>
      <c r="I54" s="39" t="str">
        <f t="shared" si="3"/>
        <v/>
      </c>
      <c r="J54" s="38">
        <f t="shared" si="4"/>
        <v>-3</v>
      </c>
      <c r="K54" s="38">
        <f t="shared" si="0"/>
        <v>-30</v>
      </c>
      <c r="L54" s="38"/>
      <c r="M54" s="40">
        <f t="shared" si="1"/>
        <v>0</v>
      </c>
    </row>
    <row r="55" spans="1:13" x14ac:dyDescent="0.25">
      <c r="A55" s="51"/>
      <c r="B55" s="42" t="str">
        <f t="shared" si="5"/>
        <v/>
      </c>
      <c r="C55" s="43"/>
      <c r="D55" s="43"/>
      <c r="E55" s="43"/>
      <c r="F55" s="43"/>
      <c r="G55" s="16"/>
      <c r="H55" s="44">
        <v>50</v>
      </c>
      <c r="I55" s="45" t="str">
        <f t="shared" si="3"/>
        <v/>
      </c>
      <c r="J55" s="44">
        <f t="shared" si="4"/>
        <v>-3</v>
      </c>
      <c r="K55" s="44">
        <f t="shared" si="0"/>
        <v>-30</v>
      </c>
      <c r="L55" s="44"/>
      <c r="M55" s="46">
        <f t="shared" si="1"/>
        <v>0</v>
      </c>
    </row>
    <row r="56" spans="1:13" x14ac:dyDescent="0.25">
      <c r="A56" s="52"/>
      <c r="B56" s="36" t="str">
        <f t="shared" si="5"/>
        <v/>
      </c>
      <c r="C56" s="37"/>
      <c r="D56" s="37"/>
      <c r="E56" s="37"/>
      <c r="F56" s="37"/>
      <c r="G56" s="16"/>
      <c r="H56" s="38">
        <v>51</v>
      </c>
      <c r="I56" s="39" t="str">
        <f t="shared" si="3"/>
        <v/>
      </c>
      <c r="J56" s="38">
        <f t="shared" si="4"/>
        <v>-3</v>
      </c>
      <c r="K56" s="38">
        <f t="shared" si="0"/>
        <v>-30</v>
      </c>
      <c r="L56" s="38"/>
      <c r="M56" s="40">
        <f t="shared" si="1"/>
        <v>0</v>
      </c>
    </row>
    <row r="57" spans="1:13" x14ac:dyDescent="0.25">
      <c r="A57" s="51"/>
      <c r="B57" s="42" t="str">
        <f t="shared" si="5"/>
        <v/>
      </c>
      <c r="C57" s="43"/>
      <c r="D57" s="43"/>
      <c r="E57" s="43"/>
      <c r="F57" s="43"/>
      <c r="G57" s="16"/>
      <c r="H57" s="44">
        <v>52</v>
      </c>
      <c r="I57" s="45" t="str">
        <f t="shared" si="3"/>
        <v/>
      </c>
      <c r="J57" s="44">
        <f t="shared" si="4"/>
        <v>-3</v>
      </c>
      <c r="K57" s="44">
        <f t="shared" si="0"/>
        <v>-30</v>
      </c>
      <c r="L57" s="44"/>
      <c r="M57" s="46">
        <f t="shared" si="1"/>
        <v>0</v>
      </c>
    </row>
    <row r="58" spans="1:13" x14ac:dyDescent="0.25">
      <c r="A58" s="52"/>
      <c r="B58" s="36" t="str">
        <f t="shared" si="5"/>
        <v/>
      </c>
      <c r="C58" s="37"/>
      <c r="D58" s="37"/>
      <c r="E58" s="37"/>
      <c r="F58" s="37"/>
      <c r="G58" s="16"/>
      <c r="H58" s="38">
        <v>53</v>
      </c>
      <c r="I58" s="39" t="str">
        <f t="shared" si="3"/>
        <v/>
      </c>
      <c r="J58" s="38">
        <f t="shared" si="4"/>
        <v>-3</v>
      </c>
      <c r="K58" s="38">
        <f t="shared" si="0"/>
        <v>-30</v>
      </c>
      <c r="L58" s="38"/>
      <c r="M58" s="40">
        <f t="shared" si="1"/>
        <v>0</v>
      </c>
    </row>
    <row r="59" spans="1:13" x14ac:dyDescent="0.25">
      <c r="A59" s="51"/>
      <c r="B59" s="42" t="str">
        <f t="shared" si="5"/>
        <v/>
      </c>
      <c r="C59" s="43"/>
      <c r="D59" s="43"/>
      <c r="E59" s="43"/>
      <c r="F59" s="43"/>
      <c r="G59" s="16"/>
      <c r="H59" s="44">
        <v>54</v>
      </c>
      <c r="I59" s="45" t="str">
        <f t="shared" si="3"/>
        <v/>
      </c>
      <c r="J59" s="44">
        <f t="shared" si="4"/>
        <v>-3</v>
      </c>
      <c r="K59" s="44">
        <f t="shared" si="0"/>
        <v>-30</v>
      </c>
      <c r="L59" s="44"/>
      <c r="M59" s="46">
        <f t="shared" si="1"/>
        <v>0</v>
      </c>
    </row>
    <row r="60" spans="1:13" x14ac:dyDescent="0.25">
      <c r="A60" s="52"/>
      <c r="B60" s="36" t="str">
        <f t="shared" si="5"/>
        <v/>
      </c>
      <c r="C60" s="37"/>
      <c r="D60" s="37"/>
      <c r="E60" s="37"/>
      <c r="F60" s="37"/>
      <c r="G60" s="16"/>
      <c r="H60" s="38">
        <v>55</v>
      </c>
      <c r="I60" s="39" t="str">
        <f t="shared" si="3"/>
        <v/>
      </c>
      <c r="J60" s="38">
        <f t="shared" si="4"/>
        <v>-3</v>
      </c>
      <c r="K60" s="38">
        <f t="shared" si="0"/>
        <v>-30</v>
      </c>
      <c r="L60" s="38"/>
      <c r="M60" s="40">
        <f t="shared" si="1"/>
        <v>0</v>
      </c>
    </row>
    <row r="61" spans="1:13" x14ac:dyDescent="0.25">
      <c r="A61" s="51"/>
      <c r="B61" s="42" t="str">
        <f t="shared" si="5"/>
        <v/>
      </c>
      <c r="C61" s="43"/>
      <c r="D61" s="43"/>
      <c r="E61" s="43"/>
      <c r="F61" s="43"/>
      <c r="G61" s="16"/>
      <c r="H61" s="44">
        <v>56</v>
      </c>
      <c r="I61" s="45" t="str">
        <f t="shared" si="3"/>
        <v/>
      </c>
      <c r="J61" s="44">
        <f t="shared" si="4"/>
        <v>-3</v>
      </c>
      <c r="K61" s="44">
        <f t="shared" si="0"/>
        <v>-30</v>
      </c>
      <c r="L61" s="44"/>
      <c r="M61" s="46">
        <f t="shared" si="1"/>
        <v>0</v>
      </c>
    </row>
    <row r="62" spans="1:13" x14ac:dyDescent="0.25">
      <c r="A62" s="52"/>
      <c r="B62" s="36" t="str">
        <f t="shared" si="5"/>
        <v/>
      </c>
      <c r="C62" s="37"/>
      <c r="D62" s="37"/>
      <c r="E62" s="37"/>
      <c r="F62" s="37"/>
      <c r="G62" s="16"/>
      <c r="H62" s="38">
        <v>57</v>
      </c>
      <c r="I62" s="39" t="str">
        <f t="shared" si="3"/>
        <v/>
      </c>
      <c r="J62" s="38">
        <f t="shared" si="4"/>
        <v>-3</v>
      </c>
      <c r="K62" s="38">
        <f t="shared" si="0"/>
        <v>-30</v>
      </c>
      <c r="L62" s="38"/>
      <c r="M62" s="40">
        <f t="shared" si="1"/>
        <v>0</v>
      </c>
    </row>
    <row r="63" spans="1:13" x14ac:dyDescent="0.25">
      <c r="A63" s="51"/>
      <c r="B63" s="42" t="str">
        <f t="shared" si="5"/>
        <v/>
      </c>
      <c r="C63" s="43"/>
      <c r="D63" s="43"/>
      <c r="E63" s="43"/>
      <c r="F63" s="43"/>
      <c r="G63" s="16"/>
      <c r="H63" s="44">
        <v>58</v>
      </c>
      <c r="I63" s="45" t="str">
        <f t="shared" si="3"/>
        <v/>
      </c>
      <c r="J63" s="44">
        <f t="shared" si="4"/>
        <v>-3</v>
      </c>
      <c r="K63" s="44">
        <f t="shared" si="0"/>
        <v>-30</v>
      </c>
      <c r="L63" s="44"/>
      <c r="M63" s="46">
        <f t="shared" si="1"/>
        <v>0</v>
      </c>
    </row>
    <row r="64" spans="1:13" x14ac:dyDescent="0.25">
      <c r="A64" s="52"/>
      <c r="B64" s="36" t="str">
        <f t="shared" si="5"/>
        <v/>
      </c>
      <c r="C64" s="37"/>
      <c r="D64" s="37"/>
      <c r="E64" s="37"/>
      <c r="F64" s="37"/>
      <c r="G64" s="16"/>
      <c r="H64" s="38">
        <v>59</v>
      </c>
      <c r="I64" s="39" t="str">
        <f t="shared" si="3"/>
        <v/>
      </c>
      <c r="J64" s="38">
        <f t="shared" si="4"/>
        <v>-3</v>
      </c>
      <c r="K64" s="38">
        <f t="shared" si="0"/>
        <v>-30</v>
      </c>
      <c r="L64" s="38"/>
      <c r="M64" s="40">
        <f t="shared" si="1"/>
        <v>0</v>
      </c>
    </row>
    <row r="65" spans="1:13" x14ac:dyDescent="0.25">
      <c r="A65" s="51"/>
      <c r="B65" s="42" t="str">
        <f t="shared" si="5"/>
        <v/>
      </c>
      <c r="C65" s="43"/>
      <c r="D65" s="43"/>
      <c r="E65" s="43"/>
      <c r="F65" s="43"/>
      <c r="G65" s="16"/>
      <c r="H65" s="44">
        <v>60</v>
      </c>
      <c r="I65" s="45" t="str">
        <f t="shared" si="3"/>
        <v/>
      </c>
      <c r="J65" s="44">
        <f t="shared" si="4"/>
        <v>-3</v>
      </c>
      <c r="K65" s="44">
        <f t="shared" si="0"/>
        <v>-30</v>
      </c>
      <c r="L65" s="44"/>
      <c r="M65" s="46">
        <f t="shared" si="1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3"/>
        <v/>
      </c>
      <c r="J66" s="38">
        <f t="shared" si="4"/>
        <v>-3</v>
      </c>
      <c r="K66" s="38">
        <f t="shared" si="0"/>
        <v>-30</v>
      </c>
      <c r="L66" s="38"/>
      <c r="M66" s="40">
        <f t="shared" si="1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3"/>
        <v/>
      </c>
      <c r="J67" s="38">
        <f t="shared" si="4"/>
        <v>-3</v>
      </c>
      <c r="K67" s="38">
        <f t="shared" si="0"/>
        <v>-30</v>
      </c>
      <c r="L67" s="38"/>
      <c r="M67" s="40">
        <f t="shared" si="1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3"/>
        <v/>
      </c>
      <c r="J68" s="38">
        <f t="shared" si="4"/>
        <v>-3</v>
      </c>
      <c r="K68" s="38">
        <f t="shared" si="0"/>
        <v>-30</v>
      </c>
      <c r="L68" s="38"/>
      <c r="M68" s="40">
        <f t="shared" si="1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3"/>
        <v/>
      </c>
      <c r="J69" s="38">
        <f t="shared" si="4"/>
        <v>-3</v>
      </c>
      <c r="K69" s="38">
        <f t="shared" si="0"/>
        <v>-30</v>
      </c>
      <c r="L69" s="38"/>
      <c r="M69" s="40">
        <f t="shared" si="1"/>
        <v>0</v>
      </c>
    </row>
    <row r="70" spans="1:13" x14ac:dyDescent="0.25">
      <c r="A70" s="59"/>
      <c r="G70" s="16"/>
      <c r="H70" s="38">
        <v>65</v>
      </c>
      <c r="I70" s="39" t="str">
        <f t="shared" ref="I70:I133" si="6">IF(H70&lt;$H$2+1,($I$2-($I$2-1)*(LOG(H70)/LOG($H$2))),"")</f>
        <v/>
      </c>
      <c r="J70" s="38">
        <f t="shared" si="4"/>
        <v>-4</v>
      </c>
      <c r="K70" s="38">
        <f t="shared" ref="K70:K133" si="7">J70*$J$2</f>
        <v>-40</v>
      </c>
      <c r="L70" s="38"/>
      <c r="M70" s="40">
        <f t="shared" ref="M70:M133" si="8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6"/>
        <v/>
      </c>
      <c r="J71" s="38">
        <f t="shared" ref="J71:J126" si="9">INT(LOG($H$2,2))-ROUNDUP(LOG(H71,2),0)+IF(OR($H$2=1,$H$2=2,$H$2=4,$H$2=8,$H$2=16,$H$2=32,$H$2=64,$H$2=128,$H$2=256),0,1)</f>
        <v>-4</v>
      </c>
      <c r="K71" s="38">
        <f t="shared" si="7"/>
        <v>-40</v>
      </c>
      <c r="L71" s="38"/>
      <c r="M71" s="40">
        <f t="shared" si="8"/>
        <v>0</v>
      </c>
    </row>
    <row r="72" spans="1:13" x14ac:dyDescent="0.25">
      <c r="A72" s="59"/>
      <c r="G72" s="16"/>
      <c r="H72" s="38">
        <v>67</v>
      </c>
      <c r="I72" s="39" t="str">
        <f t="shared" si="6"/>
        <v/>
      </c>
      <c r="J72" s="38">
        <f t="shared" si="9"/>
        <v>-4</v>
      </c>
      <c r="K72" s="38">
        <f t="shared" si="7"/>
        <v>-40</v>
      </c>
      <c r="L72" s="38"/>
      <c r="M72" s="40">
        <f t="shared" si="8"/>
        <v>0</v>
      </c>
    </row>
    <row r="73" spans="1:13" x14ac:dyDescent="0.25">
      <c r="A73" s="59"/>
      <c r="G73" s="16"/>
      <c r="H73" s="38">
        <v>68</v>
      </c>
      <c r="I73" s="39" t="str">
        <f t="shared" si="6"/>
        <v/>
      </c>
      <c r="J73" s="38">
        <f t="shared" si="9"/>
        <v>-4</v>
      </c>
      <c r="K73" s="38">
        <f t="shared" si="7"/>
        <v>-40</v>
      </c>
      <c r="L73" s="38"/>
      <c r="M73" s="40">
        <f t="shared" si="8"/>
        <v>0</v>
      </c>
    </row>
    <row r="74" spans="1:13" x14ac:dyDescent="0.25">
      <c r="A74" s="59"/>
      <c r="G74" s="16"/>
      <c r="H74" s="38">
        <v>69</v>
      </c>
      <c r="I74" s="39" t="str">
        <f t="shared" si="6"/>
        <v/>
      </c>
      <c r="J74" s="38">
        <f t="shared" si="9"/>
        <v>-4</v>
      </c>
      <c r="K74" s="38">
        <f t="shared" si="7"/>
        <v>-40</v>
      </c>
      <c r="L74" s="38"/>
      <c r="M74" s="40">
        <f t="shared" si="8"/>
        <v>0</v>
      </c>
    </row>
    <row r="75" spans="1:13" x14ac:dyDescent="0.25">
      <c r="A75" s="59"/>
      <c r="G75" s="16"/>
      <c r="H75" s="38">
        <v>70</v>
      </c>
      <c r="I75" s="39" t="str">
        <f t="shared" si="6"/>
        <v/>
      </c>
      <c r="J75" s="38">
        <f t="shared" si="9"/>
        <v>-4</v>
      </c>
      <c r="K75" s="38">
        <f t="shared" si="7"/>
        <v>-40</v>
      </c>
      <c r="L75" s="38"/>
      <c r="M75" s="40">
        <f t="shared" si="8"/>
        <v>0</v>
      </c>
    </row>
    <row r="76" spans="1:13" x14ac:dyDescent="0.25">
      <c r="A76" s="59"/>
      <c r="G76" s="16"/>
      <c r="H76" s="38">
        <v>71</v>
      </c>
      <c r="I76" s="39" t="str">
        <f t="shared" si="6"/>
        <v/>
      </c>
      <c r="J76" s="38">
        <f t="shared" si="9"/>
        <v>-4</v>
      </c>
      <c r="K76" s="38">
        <f t="shared" si="7"/>
        <v>-40</v>
      </c>
      <c r="L76" s="38"/>
      <c r="M76" s="40">
        <f t="shared" si="8"/>
        <v>0</v>
      </c>
    </row>
    <row r="77" spans="1:13" x14ac:dyDescent="0.25">
      <c r="A77" s="59"/>
      <c r="G77" s="16"/>
      <c r="H77" s="38">
        <v>72</v>
      </c>
      <c r="I77" s="39" t="str">
        <f t="shared" si="6"/>
        <v/>
      </c>
      <c r="J77" s="38">
        <f t="shared" si="9"/>
        <v>-4</v>
      </c>
      <c r="K77" s="38">
        <f t="shared" si="7"/>
        <v>-40</v>
      </c>
      <c r="L77" s="38"/>
      <c r="M77" s="40">
        <f t="shared" si="8"/>
        <v>0</v>
      </c>
    </row>
    <row r="78" spans="1:13" x14ac:dyDescent="0.25">
      <c r="A78" s="59"/>
      <c r="G78" s="16"/>
      <c r="H78" s="38">
        <v>73</v>
      </c>
      <c r="I78" s="39" t="str">
        <f t="shared" si="6"/>
        <v/>
      </c>
      <c r="J78" s="38">
        <f t="shared" si="9"/>
        <v>-4</v>
      </c>
      <c r="K78" s="38">
        <f t="shared" si="7"/>
        <v>-40</v>
      </c>
      <c r="L78" s="38"/>
      <c r="M78" s="40">
        <f t="shared" si="8"/>
        <v>0</v>
      </c>
    </row>
    <row r="79" spans="1:13" x14ac:dyDescent="0.25">
      <c r="A79" s="59"/>
      <c r="G79" s="16"/>
      <c r="H79" s="38">
        <v>74</v>
      </c>
      <c r="I79" s="39" t="str">
        <f t="shared" si="6"/>
        <v/>
      </c>
      <c r="J79" s="38">
        <f t="shared" si="9"/>
        <v>-4</v>
      </c>
      <c r="K79" s="38">
        <f t="shared" si="7"/>
        <v>-40</v>
      </c>
      <c r="L79" s="38"/>
      <c r="M79" s="40">
        <f t="shared" si="8"/>
        <v>0</v>
      </c>
    </row>
    <row r="80" spans="1:13" x14ac:dyDescent="0.25">
      <c r="A80" s="59"/>
      <c r="G80" s="16"/>
      <c r="H80" s="38">
        <v>75</v>
      </c>
      <c r="I80" s="39" t="str">
        <f t="shared" si="6"/>
        <v/>
      </c>
      <c r="J80" s="38">
        <f t="shared" si="9"/>
        <v>-4</v>
      </c>
      <c r="K80" s="38">
        <f t="shared" si="7"/>
        <v>-40</v>
      </c>
      <c r="L80" s="38"/>
      <c r="M80" s="40">
        <f t="shared" si="8"/>
        <v>0</v>
      </c>
    </row>
    <row r="81" spans="1:13" x14ac:dyDescent="0.25">
      <c r="A81" s="59"/>
      <c r="G81" s="16"/>
      <c r="H81" s="38">
        <v>76</v>
      </c>
      <c r="I81" s="39" t="str">
        <f t="shared" si="6"/>
        <v/>
      </c>
      <c r="J81" s="38">
        <f t="shared" si="9"/>
        <v>-4</v>
      </c>
      <c r="K81" s="38">
        <f t="shared" si="7"/>
        <v>-40</v>
      </c>
      <c r="L81" s="38"/>
      <c r="M81" s="40">
        <f t="shared" si="8"/>
        <v>0</v>
      </c>
    </row>
    <row r="82" spans="1:13" x14ac:dyDescent="0.25">
      <c r="A82" s="59"/>
      <c r="G82" s="16"/>
      <c r="H82" s="38">
        <v>77</v>
      </c>
      <c r="I82" s="39" t="str">
        <f t="shared" si="6"/>
        <v/>
      </c>
      <c r="J82" s="38">
        <f t="shared" si="9"/>
        <v>-4</v>
      </c>
      <c r="K82" s="38">
        <f t="shared" si="7"/>
        <v>-40</v>
      </c>
      <c r="L82" s="38"/>
      <c r="M82" s="40">
        <f t="shared" si="8"/>
        <v>0</v>
      </c>
    </row>
    <row r="83" spans="1:13" x14ac:dyDescent="0.25">
      <c r="A83" s="59"/>
      <c r="G83" s="16"/>
      <c r="H83" s="38">
        <v>78</v>
      </c>
      <c r="I83" s="39" t="str">
        <f t="shared" si="6"/>
        <v/>
      </c>
      <c r="J83" s="38">
        <f t="shared" si="9"/>
        <v>-4</v>
      </c>
      <c r="K83" s="38">
        <f t="shared" si="7"/>
        <v>-40</v>
      </c>
      <c r="L83" s="38"/>
      <c r="M83" s="40">
        <f t="shared" si="8"/>
        <v>0</v>
      </c>
    </row>
    <row r="84" spans="1:13" x14ac:dyDescent="0.25">
      <c r="A84" s="59"/>
      <c r="G84" s="16"/>
      <c r="H84" s="38">
        <v>79</v>
      </c>
      <c r="I84" s="39" t="str">
        <f t="shared" si="6"/>
        <v/>
      </c>
      <c r="J84" s="38">
        <f t="shared" si="9"/>
        <v>-4</v>
      </c>
      <c r="K84" s="38">
        <f t="shared" si="7"/>
        <v>-40</v>
      </c>
      <c r="L84" s="38"/>
      <c r="M84" s="40">
        <f t="shared" si="8"/>
        <v>0</v>
      </c>
    </row>
    <row r="85" spans="1:13" x14ac:dyDescent="0.25">
      <c r="A85" s="59"/>
      <c r="G85" s="16"/>
      <c r="H85" s="38">
        <v>80</v>
      </c>
      <c r="I85" s="39" t="str">
        <f t="shared" si="6"/>
        <v/>
      </c>
      <c r="J85" s="38">
        <f t="shared" si="9"/>
        <v>-4</v>
      </c>
      <c r="K85" s="38">
        <f t="shared" si="7"/>
        <v>-40</v>
      </c>
      <c r="L85" s="38"/>
      <c r="M85" s="40">
        <f t="shared" si="8"/>
        <v>0</v>
      </c>
    </row>
    <row r="86" spans="1:13" x14ac:dyDescent="0.25">
      <c r="A86" s="59"/>
      <c r="G86" s="16"/>
      <c r="H86" s="38">
        <v>81</v>
      </c>
      <c r="I86" s="39" t="str">
        <f t="shared" si="6"/>
        <v/>
      </c>
      <c r="J86" s="38">
        <f t="shared" si="9"/>
        <v>-4</v>
      </c>
      <c r="K86" s="38">
        <f t="shared" si="7"/>
        <v>-40</v>
      </c>
      <c r="L86" s="38"/>
      <c r="M86" s="40">
        <f t="shared" si="8"/>
        <v>0</v>
      </c>
    </row>
    <row r="87" spans="1:13" x14ac:dyDescent="0.25">
      <c r="A87" s="59"/>
      <c r="G87" s="16"/>
      <c r="H87" s="38">
        <v>82</v>
      </c>
      <c r="I87" s="39" t="str">
        <f t="shared" si="6"/>
        <v/>
      </c>
      <c r="J87" s="38">
        <f t="shared" si="9"/>
        <v>-4</v>
      </c>
      <c r="K87" s="38">
        <f t="shared" si="7"/>
        <v>-40</v>
      </c>
      <c r="L87" s="38"/>
      <c r="M87" s="40">
        <f t="shared" si="8"/>
        <v>0</v>
      </c>
    </row>
    <row r="88" spans="1:13" x14ac:dyDescent="0.25">
      <c r="A88" s="59"/>
      <c r="G88" s="16"/>
      <c r="H88" s="38">
        <v>83</v>
      </c>
      <c r="I88" s="39" t="str">
        <f t="shared" si="6"/>
        <v/>
      </c>
      <c r="J88" s="38">
        <f t="shared" si="9"/>
        <v>-4</v>
      </c>
      <c r="K88" s="38">
        <f t="shared" si="7"/>
        <v>-40</v>
      </c>
      <c r="L88" s="38"/>
      <c r="M88" s="40">
        <f t="shared" si="8"/>
        <v>0</v>
      </c>
    </row>
    <row r="89" spans="1:13" x14ac:dyDescent="0.25">
      <c r="A89" s="59"/>
      <c r="G89" s="16"/>
      <c r="H89" s="38">
        <v>84</v>
      </c>
      <c r="I89" s="39" t="str">
        <f t="shared" si="6"/>
        <v/>
      </c>
      <c r="J89" s="38">
        <f t="shared" si="9"/>
        <v>-4</v>
      </c>
      <c r="K89" s="38">
        <f t="shared" si="7"/>
        <v>-40</v>
      </c>
      <c r="L89" s="38"/>
      <c r="M89" s="40">
        <f t="shared" si="8"/>
        <v>0</v>
      </c>
    </row>
    <row r="90" spans="1:13" x14ac:dyDescent="0.25">
      <c r="A90" s="59"/>
      <c r="G90" s="16"/>
      <c r="H90" s="38">
        <v>85</v>
      </c>
      <c r="I90" s="39" t="str">
        <f t="shared" si="6"/>
        <v/>
      </c>
      <c r="J90" s="38">
        <f t="shared" si="9"/>
        <v>-4</v>
      </c>
      <c r="K90" s="38">
        <f t="shared" si="7"/>
        <v>-40</v>
      </c>
      <c r="L90" s="38"/>
      <c r="M90" s="40">
        <f t="shared" si="8"/>
        <v>0</v>
      </c>
    </row>
    <row r="91" spans="1:13" x14ac:dyDescent="0.25">
      <c r="A91" s="59"/>
      <c r="G91" s="16"/>
      <c r="H91" s="38">
        <v>86</v>
      </c>
      <c r="I91" s="39" t="str">
        <f t="shared" si="6"/>
        <v/>
      </c>
      <c r="J91" s="38">
        <f t="shared" si="9"/>
        <v>-4</v>
      </c>
      <c r="K91" s="38">
        <f t="shared" si="7"/>
        <v>-40</v>
      </c>
      <c r="L91" s="38"/>
      <c r="M91" s="40">
        <f t="shared" si="8"/>
        <v>0</v>
      </c>
    </row>
    <row r="92" spans="1:13" x14ac:dyDescent="0.25">
      <c r="A92" s="59"/>
      <c r="G92" s="16"/>
      <c r="H92" s="38">
        <v>87</v>
      </c>
      <c r="I92" s="39" t="str">
        <f t="shared" si="6"/>
        <v/>
      </c>
      <c r="J92" s="38">
        <f t="shared" si="9"/>
        <v>-4</v>
      </c>
      <c r="K92" s="38">
        <f t="shared" si="7"/>
        <v>-40</v>
      </c>
      <c r="L92" s="38"/>
      <c r="M92" s="40">
        <f t="shared" si="8"/>
        <v>0</v>
      </c>
    </row>
    <row r="93" spans="1:13" x14ac:dyDescent="0.25">
      <c r="A93" s="59"/>
      <c r="G93" s="16"/>
      <c r="H93" s="38">
        <v>88</v>
      </c>
      <c r="I93" s="39" t="str">
        <f t="shared" si="6"/>
        <v/>
      </c>
      <c r="J93" s="38">
        <f t="shared" si="9"/>
        <v>-4</v>
      </c>
      <c r="K93" s="38">
        <f t="shared" si="7"/>
        <v>-40</v>
      </c>
      <c r="L93" s="38"/>
      <c r="M93" s="40">
        <f t="shared" si="8"/>
        <v>0</v>
      </c>
    </row>
    <row r="94" spans="1:13" x14ac:dyDescent="0.25">
      <c r="A94" s="59"/>
      <c r="G94" s="16"/>
      <c r="H94" s="38">
        <v>89</v>
      </c>
      <c r="I94" s="39" t="str">
        <f t="shared" si="6"/>
        <v/>
      </c>
      <c r="J94" s="38">
        <f t="shared" si="9"/>
        <v>-4</v>
      </c>
      <c r="K94" s="38">
        <f t="shared" si="7"/>
        <v>-40</v>
      </c>
      <c r="L94" s="38"/>
      <c r="M94" s="40">
        <f t="shared" si="8"/>
        <v>0</v>
      </c>
    </row>
    <row r="95" spans="1:13" x14ac:dyDescent="0.25">
      <c r="A95" s="59"/>
      <c r="G95" s="16"/>
      <c r="H95" s="38">
        <v>90</v>
      </c>
      <c r="I95" s="39" t="str">
        <f t="shared" si="6"/>
        <v/>
      </c>
      <c r="J95" s="38">
        <f t="shared" si="9"/>
        <v>-4</v>
      </c>
      <c r="K95" s="38">
        <f t="shared" si="7"/>
        <v>-40</v>
      </c>
      <c r="L95" s="38"/>
      <c r="M95" s="40">
        <f t="shared" si="8"/>
        <v>0</v>
      </c>
    </row>
    <row r="96" spans="1:13" x14ac:dyDescent="0.25">
      <c r="A96" s="59"/>
      <c r="G96" s="16"/>
      <c r="H96" s="38">
        <v>91</v>
      </c>
      <c r="I96" s="39" t="str">
        <f t="shared" si="6"/>
        <v/>
      </c>
      <c r="J96" s="38">
        <f t="shared" si="9"/>
        <v>-4</v>
      </c>
      <c r="K96" s="38">
        <f t="shared" si="7"/>
        <v>-40</v>
      </c>
      <c r="L96" s="38"/>
      <c r="M96" s="40">
        <f t="shared" si="8"/>
        <v>0</v>
      </c>
    </row>
    <row r="97" spans="1:13" x14ac:dyDescent="0.25">
      <c r="A97" s="59"/>
      <c r="G97" s="16"/>
      <c r="H97" s="38">
        <v>92</v>
      </c>
      <c r="I97" s="39" t="str">
        <f t="shared" si="6"/>
        <v/>
      </c>
      <c r="J97" s="38">
        <f t="shared" si="9"/>
        <v>-4</v>
      </c>
      <c r="K97" s="38">
        <f t="shared" si="7"/>
        <v>-40</v>
      </c>
      <c r="L97" s="38"/>
      <c r="M97" s="40">
        <f t="shared" si="8"/>
        <v>0</v>
      </c>
    </row>
    <row r="98" spans="1:13" x14ac:dyDescent="0.25">
      <c r="A98" s="59"/>
      <c r="G98" s="16"/>
      <c r="H98" s="38">
        <v>93</v>
      </c>
      <c r="I98" s="39" t="str">
        <f t="shared" si="6"/>
        <v/>
      </c>
      <c r="J98" s="38">
        <f t="shared" si="9"/>
        <v>-4</v>
      </c>
      <c r="K98" s="38">
        <f t="shared" si="7"/>
        <v>-40</v>
      </c>
      <c r="L98" s="38"/>
      <c r="M98" s="40">
        <f t="shared" si="8"/>
        <v>0</v>
      </c>
    </row>
    <row r="99" spans="1:13" x14ac:dyDescent="0.25">
      <c r="A99" s="59"/>
      <c r="G99" s="16"/>
      <c r="H99" s="38">
        <v>94</v>
      </c>
      <c r="I99" s="39" t="str">
        <f t="shared" si="6"/>
        <v/>
      </c>
      <c r="J99" s="38">
        <f t="shared" si="9"/>
        <v>-4</v>
      </c>
      <c r="K99" s="38">
        <f t="shared" si="7"/>
        <v>-40</v>
      </c>
      <c r="L99" s="38"/>
      <c r="M99" s="40">
        <f t="shared" si="8"/>
        <v>0</v>
      </c>
    </row>
    <row r="100" spans="1:13" x14ac:dyDescent="0.25">
      <c r="A100" s="59"/>
      <c r="G100" s="16"/>
      <c r="H100" s="38">
        <v>95</v>
      </c>
      <c r="I100" s="39" t="str">
        <f t="shared" si="6"/>
        <v/>
      </c>
      <c r="J100" s="38">
        <f t="shared" si="9"/>
        <v>-4</v>
      </c>
      <c r="K100" s="38">
        <f t="shared" si="7"/>
        <v>-40</v>
      </c>
      <c r="L100" s="38"/>
      <c r="M100" s="40">
        <f t="shared" si="8"/>
        <v>0</v>
      </c>
    </row>
    <row r="101" spans="1:13" x14ac:dyDescent="0.25">
      <c r="A101" s="59"/>
      <c r="G101" s="16"/>
      <c r="H101" s="38">
        <v>96</v>
      </c>
      <c r="I101" s="39" t="str">
        <f t="shared" si="6"/>
        <v/>
      </c>
      <c r="J101" s="38">
        <f t="shared" si="9"/>
        <v>-4</v>
      </c>
      <c r="K101" s="38">
        <f t="shared" si="7"/>
        <v>-40</v>
      </c>
      <c r="L101" s="38"/>
      <c r="M101" s="40">
        <f t="shared" si="8"/>
        <v>0</v>
      </c>
    </row>
    <row r="102" spans="1:13" x14ac:dyDescent="0.25">
      <c r="A102" s="59"/>
      <c r="G102" s="16"/>
      <c r="H102" s="38">
        <v>97</v>
      </c>
      <c r="I102" s="39" t="str">
        <f t="shared" si="6"/>
        <v/>
      </c>
      <c r="J102" s="38">
        <f t="shared" si="9"/>
        <v>-4</v>
      </c>
      <c r="K102" s="38">
        <f t="shared" si="7"/>
        <v>-40</v>
      </c>
      <c r="L102" s="38"/>
      <c r="M102" s="40">
        <f t="shared" si="8"/>
        <v>0</v>
      </c>
    </row>
    <row r="103" spans="1:13" x14ac:dyDescent="0.25">
      <c r="A103" s="59"/>
      <c r="G103" s="16"/>
      <c r="H103" s="38">
        <v>98</v>
      </c>
      <c r="I103" s="39" t="str">
        <f t="shared" si="6"/>
        <v/>
      </c>
      <c r="J103" s="38">
        <f t="shared" si="9"/>
        <v>-4</v>
      </c>
      <c r="K103" s="38">
        <f t="shared" si="7"/>
        <v>-40</v>
      </c>
      <c r="L103" s="38"/>
      <c r="M103" s="40">
        <f t="shared" si="8"/>
        <v>0</v>
      </c>
    </row>
    <row r="104" spans="1:13" x14ac:dyDescent="0.25">
      <c r="A104" s="59"/>
      <c r="G104" s="16"/>
      <c r="H104" s="38">
        <v>99</v>
      </c>
      <c r="I104" s="39" t="str">
        <f t="shared" si="6"/>
        <v/>
      </c>
      <c r="J104" s="38">
        <f t="shared" si="9"/>
        <v>-4</v>
      </c>
      <c r="K104" s="38">
        <f t="shared" si="7"/>
        <v>-40</v>
      </c>
      <c r="L104" s="38"/>
      <c r="M104" s="40">
        <f t="shared" si="8"/>
        <v>0</v>
      </c>
    </row>
    <row r="105" spans="1:13" x14ac:dyDescent="0.25">
      <c r="A105" s="59"/>
      <c r="G105" s="16"/>
      <c r="H105" s="38">
        <v>100</v>
      </c>
      <c r="I105" s="39" t="str">
        <f t="shared" si="6"/>
        <v/>
      </c>
      <c r="J105" s="38">
        <f t="shared" si="9"/>
        <v>-4</v>
      </c>
      <c r="K105" s="38">
        <f t="shared" si="7"/>
        <v>-40</v>
      </c>
      <c r="L105" s="38"/>
      <c r="M105" s="40">
        <f t="shared" si="8"/>
        <v>0</v>
      </c>
    </row>
    <row r="106" spans="1:13" x14ac:dyDescent="0.25">
      <c r="A106" s="59"/>
      <c r="G106" s="16"/>
      <c r="H106" s="38">
        <v>101</v>
      </c>
      <c r="I106" s="39" t="str">
        <f t="shared" si="6"/>
        <v/>
      </c>
      <c r="J106" s="38">
        <f t="shared" si="9"/>
        <v>-4</v>
      </c>
      <c r="K106" s="38">
        <f t="shared" si="7"/>
        <v>-40</v>
      </c>
      <c r="L106" s="38"/>
      <c r="M106" s="40">
        <f t="shared" si="8"/>
        <v>0</v>
      </c>
    </row>
    <row r="107" spans="1:13" x14ac:dyDescent="0.25">
      <c r="A107" s="59"/>
      <c r="G107" s="16"/>
      <c r="H107" s="38">
        <v>102</v>
      </c>
      <c r="I107" s="39" t="str">
        <f t="shared" si="6"/>
        <v/>
      </c>
      <c r="J107" s="38">
        <f t="shared" si="9"/>
        <v>-4</v>
      </c>
      <c r="K107" s="38">
        <f t="shared" si="7"/>
        <v>-40</v>
      </c>
      <c r="L107" s="38"/>
      <c r="M107" s="40">
        <f t="shared" si="8"/>
        <v>0</v>
      </c>
    </row>
    <row r="108" spans="1:13" x14ac:dyDescent="0.25">
      <c r="A108" s="59"/>
      <c r="G108" s="16"/>
      <c r="H108" s="38">
        <v>103</v>
      </c>
      <c r="I108" s="39" t="str">
        <f t="shared" si="6"/>
        <v/>
      </c>
      <c r="J108" s="38">
        <f t="shared" si="9"/>
        <v>-4</v>
      </c>
      <c r="K108" s="38">
        <f t="shared" si="7"/>
        <v>-40</v>
      </c>
      <c r="L108" s="38"/>
      <c r="M108" s="40">
        <f t="shared" si="8"/>
        <v>0</v>
      </c>
    </row>
    <row r="109" spans="1:13" x14ac:dyDescent="0.25">
      <c r="A109" s="59"/>
      <c r="G109" s="16"/>
      <c r="H109" s="38">
        <v>104</v>
      </c>
      <c r="I109" s="39" t="str">
        <f t="shared" si="6"/>
        <v/>
      </c>
      <c r="J109" s="38">
        <f t="shared" si="9"/>
        <v>-4</v>
      </c>
      <c r="K109" s="38">
        <f t="shared" si="7"/>
        <v>-40</v>
      </c>
      <c r="L109" s="38"/>
      <c r="M109" s="40">
        <f t="shared" si="8"/>
        <v>0</v>
      </c>
    </row>
    <row r="110" spans="1:13" x14ac:dyDescent="0.25">
      <c r="A110" s="59"/>
      <c r="G110" s="16"/>
      <c r="H110" s="38">
        <v>105</v>
      </c>
      <c r="I110" s="39" t="str">
        <f t="shared" si="6"/>
        <v/>
      </c>
      <c r="J110" s="38">
        <f t="shared" si="9"/>
        <v>-4</v>
      </c>
      <c r="K110" s="38">
        <f t="shared" si="7"/>
        <v>-40</v>
      </c>
      <c r="L110" s="38"/>
      <c r="M110" s="40">
        <f t="shared" si="8"/>
        <v>0</v>
      </c>
    </row>
    <row r="111" spans="1:13" x14ac:dyDescent="0.25">
      <c r="A111" s="59"/>
      <c r="G111" s="16"/>
      <c r="H111" s="38">
        <v>106</v>
      </c>
      <c r="I111" s="39" t="str">
        <f t="shared" si="6"/>
        <v/>
      </c>
      <c r="J111" s="38">
        <f t="shared" si="9"/>
        <v>-4</v>
      </c>
      <c r="K111" s="38">
        <f t="shared" si="7"/>
        <v>-40</v>
      </c>
      <c r="L111" s="38"/>
      <c r="M111" s="40">
        <f t="shared" si="8"/>
        <v>0</v>
      </c>
    </row>
    <row r="112" spans="1:13" x14ac:dyDescent="0.25">
      <c r="A112" s="59"/>
      <c r="G112" s="16"/>
      <c r="H112" s="38">
        <v>107</v>
      </c>
      <c r="I112" s="39" t="str">
        <f t="shared" si="6"/>
        <v/>
      </c>
      <c r="J112" s="38">
        <f t="shared" si="9"/>
        <v>-4</v>
      </c>
      <c r="K112" s="38">
        <f t="shared" si="7"/>
        <v>-40</v>
      </c>
      <c r="L112" s="38"/>
      <c r="M112" s="40">
        <f t="shared" si="8"/>
        <v>0</v>
      </c>
    </row>
    <row r="113" spans="1:13" x14ac:dyDescent="0.25">
      <c r="A113" s="59"/>
      <c r="G113" s="16"/>
      <c r="H113" s="38">
        <v>108</v>
      </c>
      <c r="I113" s="39" t="str">
        <f t="shared" si="6"/>
        <v/>
      </c>
      <c r="J113" s="38">
        <f t="shared" si="9"/>
        <v>-4</v>
      </c>
      <c r="K113" s="38">
        <f t="shared" si="7"/>
        <v>-40</v>
      </c>
      <c r="L113" s="38"/>
      <c r="M113" s="40">
        <f t="shared" si="8"/>
        <v>0</v>
      </c>
    </row>
    <row r="114" spans="1:13" x14ac:dyDescent="0.25">
      <c r="A114" s="59"/>
      <c r="G114" s="16"/>
      <c r="H114" s="38">
        <v>109</v>
      </c>
      <c r="I114" s="39" t="str">
        <f t="shared" si="6"/>
        <v/>
      </c>
      <c r="J114" s="38">
        <f t="shared" si="9"/>
        <v>-4</v>
      </c>
      <c r="K114" s="38">
        <f t="shared" si="7"/>
        <v>-40</v>
      </c>
      <c r="L114" s="38"/>
      <c r="M114" s="40">
        <f t="shared" si="8"/>
        <v>0</v>
      </c>
    </row>
    <row r="115" spans="1:13" x14ac:dyDescent="0.25">
      <c r="A115" s="59"/>
      <c r="G115" s="16"/>
      <c r="H115" s="38">
        <v>110</v>
      </c>
      <c r="I115" s="39" t="str">
        <f t="shared" si="6"/>
        <v/>
      </c>
      <c r="J115" s="38">
        <f t="shared" si="9"/>
        <v>-4</v>
      </c>
      <c r="K115" s="38">
        <f t="shared" si="7"/>
        <v>-40</v>
      </c>
      <c r="L115" s="38"/>
      <c r="M115" s="40">
        <f t="shared" si="8"/>
        <v>0</v>
      </c>
    </row>
    <row r="116" spans="1:13" x14ac:dyDescent="0.25">
      <c r="A116" s="59"/>
      <c r="G116" s="16"/>
      <c r="H116" s="38">
        <v>111</v>
      </c>
      <c r="I116" s="39" t="str">
        <f t="shared" si="6"/>
        <v/>
      </c>
      <c r="J116" s="38">
        <f t="shared" si="9"/>
        <v>-4</v>
      </c>
      <c r="K116" s="38">
        <f t="shared" si="7"/>
        <v>-40</v>
      </c>
      <c r="L116" s="38"/>
      <c r="M116" s="40">
        <f t="shared" si="8"/>
        <v>0</v>
      </c>
    </row>
    <row r="117" spans="1:13" x14ac:dyDescent="0.25">
      <c r="A117" s="59"/>
      <c r="G117" s="16"/>
      <c r="H117" s="38">
        <v>112</v>
      </c>
      <c r="I117" s="39" t="str">
        <f t="shared" si="6"/>
        <v/>
      </c>
      <c r="J117" s="38">
        <f t="shared" si="9"/>
        <v>-4</v>
      </c>
      <c r="K117" s="38">
        <f t="shared" si="7"/>
        <v>-40</v>
      </c>
      <c r="L117" s="38"/>
      <c r="M117" s="40">
        <f t="shared" si="8"/>
        <v>0</v>
      </c>
    </row>
    <row r="118" spans="1:13" x14ac:dyDescent="0.25">
      <c r="A118" s="59"/>
      <c r="G118" s="16"/>
      <c r="H118" s="38">
        <v>113</v>
      </c>
      <c r="I118" s="39" t="str">
        <f t="shared" si="6"/>
        <v/>
      </c>
      <c r="J118" s="38">
        <f t="shared" si="9"/>
        <v>-4</v>
      </c>
      <c r="K118" s="38">
        <f t="shared" si="7"/>
        <v>-40</v>
      </c>
      <c r="L118" s="38"/>
      <c r="M118" s="40">
        <f t="shared" si="8"/>
        <v>0</v>
      </c>
    </row>
    <row r="119" spans="1:13" x14ac:dyDescent="0.25">
      <c r="A119" s="59"/>
      <c r="G119" s="16"/>
      <c r="H119" s="38">
        <v>114</v>
      </c>
      <c r="I119" s="39" t="str">
        <f t="shared" si="6"/>
        <v/>
      </c>
      <c r="J119" s="38">
        <f t="shared" si="9"/>
        <v>-4</v>
      </c>
      <c r="K119" s="38">
        <f t="shared" si="7"/>
        <v>-40</v>
      </c>
      <c r="L119" s="38"/>
      <c r="M119" s="40">
        <f t="shared" si="8"/>
        <v>0</v>
      </c>
    </row>
    <row r="120" spans="1:13" x14ac:dyDescent="0.25">
      <c r="A120" s="59"/>
      <c r="G120" s="16"/>
      <c r="H120" s="38">
        <v>115</v>
      </c>
      <c r="I120" s="39" t="str">
        <f t="shared" si="6"/>
        <v/>
      </c>
      <c r="J120" s="38">
        <f t="shared" si="9"/>
        <v>-4</v>
      </c>
      <c r="K120" s="38">
        <f t="shared" si="7"/>
        <v>-40</v>
      </c>
      <c r="L120" s="38"/>
      <c r="M120" s="40">
        <f t="shared" si="8"/>
        <v>0</v>
      </c>
    </row>
    <row r="121" spans="1:13" x14ac:dyDescent="0.25">
      <c r="A121" s="59"/>
      <c r="G121" s="16"/>
      <c r="H121" s="38">
        <v>116</v>
      </c>
      <c r="I121" s="39" t="str">
        <f t="shared" si="6"/>
        <v/>
      </c>
      <c r="J121" s="38">
        <f t="shared" si="9"/>
        <v>-4</v>
      </c>
      <c r="K121" s="38">
        <f t="shared" si="7"/>
        <v>-40</v>
      </c>
      <c r="L121" s="38"/>
      <c r="M121" s="40">
        <f t="shared" si="8"/>
        <v>0</v>
      </c>
    </row>
    <row r="122" spans="1:13" x14ac:dyDescent="0.25">
      <c r="A122" s="59"/>
      <c r="G122" s="16"/>
      <c r="H122" s="38">
        <v>117</v>
      </c>
      <c r="I122" s="39" t="str">
        <f t="shared" si="6"/>
        <v/>
      </c>
      <c r="J122" s="38">
        <f t="shared" si="9"/>
        <v>-4</v>
      </c>
      <c r="K122" s="38">
        <f t="shared" si="7"/>
        <v>-40</v>
      </c>
      <c r="L122" s="38"/>
      <c r="M122" s="40">
        <f t="shared" si="8"/>
        <v>0</v>
      </c>
    </row>
    <row r="123" spans="1:13" x14ac:dyDescent="0.25">
      <c r="A123" s="59"/>
      <c r="G123" s="16"/>
      <c r="H123" s="38">
        <v>118</v>
      </c>
      <c r="I123" s="39" t="str">
        <f t="shared" si="6"/>
        <v/>
      </c>
      <c r="J123" s="38">
        <f t="shared" si="9"/>
        <v>-4</v>
      </c>
      <c r="K123" s="38">
        <f t="shared" si="7"/>
        <v>-40</v>
      </c>
      <c r="L123" s="38"/>
      <c r="M123" s="40">
        <f t="shared" si="8"/>
        <v>0</v>
      </c>
    </row>
    <row r="124" spans="1:13" x14ac:dyDescent="0.25">
      <c r="A124" s="59"/>
      <c r="G124" s="16"/>
      <c r="H124" s="38">
        <v>119</v>
      </c>
      <c r="I124" s="39" t="str">
        <f t="shared" si="6"/>
        <v/>
      </c>
      <c r="J124" s="38">
        <f t="shared" si="9"/>
        <v>-4</v>
      </c>
      <c r="K124" s="38">
        <f t="shared" si="7"/>
        <v>-40</v>
      </c>
      <c r="L124" s="38"/>
      <c r="M124" s="40">
        <f t="shared" si="8"/>
        <v>0</v>
      </c>
    </row>
    <row r="125" spans="1:13" x14ac:dyDescent="0.25">
      <c r="A125" s="59"/>
      <c r="G125" s="16"/>
      <c r="H125" s="38">
        <v>120</v>
      </c>
      <c r="I125" s="39" t="str">
        <f t="shared" si="6"/>
        <v/>
      </c>
      <c r="J125" s="38">
        <f t="shared" si="9"/>
        <v>-4</v>
      </c>
      <c r="K125" s="38">
        <f t="shared" si="7"/>
        <v>-40</v>
      </c>
      <c r="L125" s="38"/>
      <c r="M125" s="40">
        <f t="shared" si="8"/>
        <v>0</v>
      </c>
    </row>
    <row r="126" spans="1:13" x14ac:dyDescent="0.25">
      <c r="A126" s="59"/>
      <c r="G126" s="16"/>
      <c r="H126" s="38">
        <v>121</v>
      </c>
      <c r="I126" s="39" t="str">
        <f t="shared" si="6"/>
        <v/>
      </c>
      <c r="J126" s="38">
        <f t="shared" si="9"/>
        <v>-4</v>
      </c>
      <c r="K126" s="38">
        <f t="shared" si="7"/>
        <v>-40</v>
      </c>
      <c r="L126" s="38"/>
      <c r="M126" s="40">
        <f t="shared" si="8"/>
        <v>0</v>
      </c>
    </row>
    <row r="127" spans="1:13" x14ac:dyDescent="0.25">
      <c r="A127" s="59"/>
      <c r="G127" s="16"/>
      <c r="H127" s="38">
        <v>122</v>
      </c>
      <c r="I127" s="39" t="str">
        <f t="shared" si="6"/>
        <v/>
      </c>
      <c r="J127" s="38">
        <f t="shared" ref="J127:J134" si="10">INT(LOG($H$2,2))-ROUNDUP(LOG(H127,2),0)+IF(OR($H$2=1,$H$2=2,$H$2=4,$H$2=8,$H$2=16,$H$2=32,$H$2=64,$H$2=128,$H$2=256),1,0)</f>
        <v>-5</v>
      </c>
      <c r="K127" s="38">
        <f t="shared" si="7"/>
        <v>-50</v>
      </c>
      <c r="L127" s="38"/>
      <c r="M127" s="40">
        <f t="shared" si="8"/>
        <v>0</v>
      </c>
    </row>
    <row r="128" spans="1:13" x14ac:dyDescent="0.25">
      <c r="A128" s="59"/>
      <c r="G128" s="16"/>
      <c r="H128" s="38">
        <v>123</v>
      </c>
      <c r="I128" s="39" t="str">
        <f t="shared" si="6"/>
        <v/>
      </c>
      <c r="J128" s="38">
        <f t="shared" si="10"/>
        <v>-5</v>
      </c>
      <c r="K128" s="38">
        <f t="shared" si="7"/>
        <v>-50</v>
      </c>
      <c r="L128" s="38"/>
      <c r="M128" s="40">
        <f t="shared" si="8"/>
        <v>0</v>
      </c>
    </row>
    <row r="129" spans="1:13" x14ac:dyDescent="0.25">
      <c r="A129" s="59"/>
      <c r="G129" s="16"/>
      <c r="H129" s="38">
        <v>124</v>
      </c>
      <c r="I129" s="39" t="str">
        <f t="shared" si="6"/>
        <v/>
      </c>
      <c r="J129" s="38">
        <f t="shared" si="10"/>
        <v>-5</v>
      </c>
      <c r="K129" s="38">
        <f t="shared" si="7"/>
        <v>-50</v>
      </c>
      <c r="L129" s="38"/>
      <c r="M129" s="40">
        <f t="shared" si="8"/>
        <v>0</v>
      </c>
    </row>
    <row r="130" spans="1:13" x14ac:dyDescent="0.25">
      <c r="A130" s="59"/>
      <c r="G130" s="16"/>
      <c r="H130" s="38">
        <v>125</v>
      </c>
      <c r="I130" s="39" t="str">
        <f t="shared" si="6"/>
        <v/>
      </c>
      <c r="J130" s="38">
        <f t="shared" si="10"/>
        <v>-5</v>
      </c>
      <c r="K130" s="38">
        <f t="shared" si="7"/>
        <v>-50</v>
      </c>
      <c r="L130" s="38"/>
      <c r="M130" s="40">
        <f t="shared" si="8"/>
        <v>0</v>
      </c>
    </row>
    <row r="131" spans="1:13" x14ac:dyDescent="0.25">
      <c r="A131" s="59"/>
      <c r="G131" s="16"/>
      <c r="H131" s="38">
        <v>126</v>
      </c>
      <c r="I131" s="39" t="str">
        <f t="shared" si="6"/>
        <v/>
      </c>
      <c r="J131" s="38">
        <f t="shared" si="10"/>
        <v>-5</v>
      </c>
      <c r="K131" s="38">
        <f t="shared" si="7"/>
        <v>-50</v>
      </c>
      <c r="L131" s="38"/>
      <c r="M131" s="40">
        <f t="shared" si="8"/>
        <v>0</v>
      </c>
    </row>
    <row r="132" spans="1:13" x14ac:dyDescent="0.25">
      <c r="A132" s="59"/>
      <c r="G132" s="16"/>
      <c r="H132" s="38">
        <v>127</v>
      </c>
      <c r="I132" s="39" t="str">
        <f t="shared" si="6"/>
        <v/>
      </c>
      <c r="J132" s="38">
        <f t="shared" si="10"/>
        <v>-5</v>
      </c>
      <c r="K132" s="38">
        <f t="shared" si="7"/>
        <v>-50</v>
      </c>
      <c r="L132" s="38"/>
      <c r="M132" s="40">
        <f t="shared" si="8"/>
        <v>0</v>
      </c>
    </row>
    <row r="133" spans="1:13" x14ac:dyDescent="0.25">
      <c r="A133" s="59"/>
      <c r="G133" s="16"/>
      <c r="H133" s="38">
        <v>128</v>
      </c>
      <c r="I133" s="39" t="str">
        <f t="shared" si="6"/>
        <v/>
      </c>
      <c r="J133" s="38">
        <f t="shared" si="10"/>
        <v>-5</v>
      </c>
      <c r="K133" s="38">
        <f t="shared" si="7"/>
        <v>-50</v>
      </c>
      <c r="L133" s="38"/>
      <c r="M133" s="40">
        <f t="shared" si="8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-6</v>
      </c>
      <c r="K134" s="38">
        <f t="shared" ref="K134:K197" si="12">J134*$J$2</f>
        <v>-60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INT(LOG($H$2,2))-ROUNDUP(LOG(H135,2),0)+IF(OR($H$2=1,$H$2=2,$H$2=4,$H$2=8,$H$2=16,$H$2=32,$H$2=64,$H$2=128,$H$2=256),1,0)</f>
        <v>-6</v>
      </c>
      <c r="K135" s="38">
        <f t="shared" si="12"/>
        <v>-60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>
        <f t="shared" si="14"/>
        <v>-6</v>
      </c>
      <c r="K136" s="38">
        <f t="shared" si="12"/>
        <v>-60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>
        <f t="shared" si="14"/>
        <v>-6</v>
      </c>
      <c r="K137" s="38">
        <f t="shared" si="12"/>
        <v>-60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>
        <f t="shared" si="14"/>
        <v>-6</v>
      </c>
      <c r="K138" s="38">
        <f t="shared" si="12"/>
        <v>-60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>
        <f t="shared" si="14"/>
        <v>-6</v>
      </c>
      <c r="K139" s="38">
        <f t="shared" si="12"/>
        <v>-60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>
        <f t="shared" si="14"/>
        <v>-6</v>
      </c>
      <c r="K140" s="38">
        <f t="shared" si="12"/>
        <v>-60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>
        <f t="shared" si="14"/>
        <v>-6</v>
      </c>
      <c r="K141" s="38">
        <f t="shared" si="12"/>
        <v>-60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>
        <f t="shared" si="14"/>
        <v>-6</v>
      </c>
      <c r="K142" s="38">
        <f t="shared" si="12"/>
        <v>-60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>
        <f t="shared" si="14"/>
        <v>-6</v>
      </c>
      <c r="K143" s="38">
        <f t="shared" si="12"/>
        <v>-60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>
        <f t="shared" si="14"/>
        <v>-6</v>
      </c>
      <c r="K144" s="38">
        <f t="shared" si="12"/>
        <v>-60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>
        <f t="shared" si="14"/>
        <v>-6</v>
      </c>
      <c r="K145" s="38">
        <f t="shared" si="12"/>
        <v>-60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>
        <f t="shared" si="14"/>
        <v>-6</v>
      </c>
      <c r="K146" s="38">
        <f t="shared" si="12"/>
        <v>-60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>
        <f t="shared" si="14"/>
        <v>-6</v>
      </c>
      <c r="K147" s="38">
        <f t="shared" si="12"/>
        <v>-60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>
        <f t="shared" si="14"/>
        <v>-6</v>
      </c>
      <c r="K148" s="38">
        <f t="shared" si="12"/>
        <v>-60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>
        <f t="shared" si="14"/>
        <v>-6</v>
      </c>
      <c r="K149" s="38">
        <f t="shared" si="12"/>
        <v>-60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>
        <f t="shared" si="14"/>
        <v>-6</v>
      </c>
      <c r="K150" s="38">
        <f t="shared" si="12"/>
        <v>-60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>
        <f t="shared" si="14"/>
        <v>-6</v>
      </c>
      <c r="K151" s="38">
        <f t="shared" si="12"/>
        <v>-60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>
        <f t="shared" si="14"/>
        <v>-6</v>
      </c>
      <c r="K152" s="38">
        <f t="shared" si="12"/>
        <v>-60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>
        <f t="shared" si="14"/>
        <v>-6</v>
      </c>
      <c r="K153" s="38">
        <f t="shared" si="12"/>
        <v>-60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>
        <f t="shared" si="14"/>
        <v>-6</v>
      </c>
      <c r="K154" s="38">
        <f t="shared" si="12"/>
        <v>-60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>
        <f t="shared" si="14"/>
        <v>-6</v>
      </c>
      <c r="K155" s="38">
        <f t="shared" si="12"/>
        <v>-60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>
        <f t="shared" si="14"/>
        <v>-6</v>
      </c>
      <c r="K156" s="38">
        <f t="shared" si="12"/>
        <v>-60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>
        <f t="shared" si="14"/>
        <v>-6</v>
      </c>
      <c r="K157" s="38">
        <f t="shared" si="12"/>
        <v>-60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>
        <f t="shared" si="14"/>
        <v>-6</v>
      </c>
      <c r="K158" s="38">
        <f t="shared" si="12"/>
        <v>-60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>
        <f t="shared" si="14"/>
        <v>-6</v>
      </c>
      <c r="K159" s="38">
        <f t="shared" si="12"/>
        <v>-60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>
        <f t="shared" si="14"/>
        <v>-6</v>
      </c>
      <c r="K160" s="38">
        <f t="shared" si="12"/>
        <v>-60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>
        <f t="shared" si="14"/>
        <v>-6</v>
      </c>
      <c r="K161" s="38">
        <f t="shared" si="12"/>
        <v>-60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>
        <f t="shared" si="14"/>
        <v>-6</v>
      </c>
      <c r="K162" s="38">
        <f t="shared" si="12"/>
        <v>-60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>
        <f t="shared" si="14"/>
        <v>-6</v>
      </c>
      <c r="K163" s="38">
        <f t="shared" si="12"/>
        <v>-60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>
        <f t="shared" si="14"/>
        <v>-6</v>
      </c>
      <c r="K164" s="38">
        <f t="shared" si="12"/>
        <v>-60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>
        <f t="shared" si="14"/>
        <v>-6</v>
      </c>
      <c r="K165" s="38">
        <f t="shared" si="12"/>
        <v>-60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>
        <f t="shared" si="14"/>
        <v>-6</v>
      </c>
      <c r="K166" s="38">
        <f t="shared" si="12"/>
        <v>-60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>
        <f t="shared" si="14"/>
        <v>-6</v>
      </c>
      <c r="K167" s="38">
        <f t="shared" si="12"/>
        <v>-60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>
        <f t="shared" si="14"/>
        <v>-6</v>
      </c>
      <c r="K168" s="38">
        <f t="shared" si="12"/>
        <v>-60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>
        <f t="shared" si="14"/>
        <v>-6</v>
      </c>
      <c r="K169" s="38">
        <f t="shared" si="12"/>
        <v>-60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>
        <f t="shared" si="14"/>
        <v>-6</v>
      </c>
      <c r="K170" s="38">
        <f t="shared" si="12"/>
        <v>-60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>
        <f t="shared" si="14"/>
        <v>-6</v>
      </c>
      <c r="K171" s="38">
        <f t="shared" si="12"/>
        <v>-60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>
        <f t="shared" si="14"/>
        <v>-6</v>
      </c>
      <c r="K172" s="38">
        <f t="shared" si="12"/>
        <v>-60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>
        <f t="shared" si="14"/>
        <v>-6</v>
      </c>
      <c r="K173" s="38">
        <f t="shared" si="12"/>
        <v>-60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>
        <f t="shared" si="14"/>
        <v>-6</v>
      </c>
      <c r="K174" s="38">
        <f t="shared" si="12"/>
        <v>-60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>
        <f t="shared" si="14"/>
        <v>-6</v>
      </c>
      <c r="K175" s="38">
        <f t="shared" si="12"/>
        <v>-60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>
        <f t="shared" si="14"/>
        <v>-6</v>
      </c>
      <c r="K176" s="38">
        <f t="shared" si="12"/>
        <v>-60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>
        <f t="shared" si="14"/>
        <v>-6</v>
      </c>
      <c r="K177" s="38">
        <f t="shared" si="12"/>
        <v>-60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>
        <f t="shared" si="14"/>
        <v>-6</v>
      </c>
      <c r="K178" s="38">
        <f t="shared" si="12"/>
        <v>-60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>
        <f t="shared" si="14"/>
        <v>-6</v>
      </c>
      <c r="K179" s="38">
        <f t="shared" si="12"/>
        <v>-60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>
        <f t="shared" si="14"/>
        <v>-6</v>
      </c>
      <c r="K180" s="38">
        <f t="shared" si="12"/>
        <v>-60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>
        <f t="shared" si="14"/>
        <v>-6</v>
      </c>
      <c r="K181" s="38">
        <f t="shared" si="12"/>
        <v>-60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>
        <f t="shared" si="14"/>
        <v>-6</v>
      </c>
      <c r="K182" s="38">
        <f t="shared" si="12"/>
        <v>-60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>
        <f t="shared" si="14"/>
        <v>-6</v>
      </c>
      <c r="K183" s="38">
        <f t="shared" si="12"/>
        <v>-60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>
        <f t="shared" si="14"/>
        <v>-6</v>
      </c>
      <c r="K184" s="38">
        <f t="shared" si="12"/>
        <v>-60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>
        <f t="shared" si="14"/>
        <v>-6</v>
      </c>
      <c r="K185" s="38">
        <f t="shared" si="12"/>
        <v>-60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>
        <f t="shared" si="14"/>
        <v>-6</v>
      </c>
      <c r="K186" s="38">
        <f t="shared" si="12"/>
        <v>-60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>
        <f t="shared" si="14"/>
        <v>-6</v>
      </c>
      <c r="K187" s="38">
        <f t="shared" si="12"/>
        <v>-60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>
        <f t="shared" si="14"/>
        <v>-6</v>
      </c>
      <c r="K188" s="38">
        <f t="shared" si="12"/>
        <v>-60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>
        <f t="shared" si="14"/>
        <v>-6</v>
      </c>
      <c r="K189" s="38">
        <f t="shared" si="12"/>
        <v>-60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>
        <f t="shared" si="14"/>
        <v>-6</v>
      </c>
      <c r="K190" s="38">
        <f t="shared" si="12"/>
        <v>-60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>
        <f t="shared" si="14"/>
        <v>-6</v>
      </c>
      <c r="K191" s="38">
        <f t="shared" si="12"/>
        <v>-60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>
        <f t="shared" si="14"/>
        <v>-6</v>
      </c>
      <c r="K192" s="38">
        <f t="shared" si="12"/>
        <v>-60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>
        <f t="shared" si="14"/>
        <v>-6</v>
      </c>
      <c r="K193" s="38">
        <f t="shared" si="12"/>
        <v>-60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>
        <f t="shared" si="14"/>
        <v>-6</v>
      </c>
      <c r="K194" s="38">
        <f t="shared" si="12"/>
        <v>-60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>
        <f t="shared" si="14"/>
        <v>-6</v>
      </c>
      <c r="K195" s="38">
        <f t="shared" si="12"/>
        <v>-60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>
        <f t="shared" si="14"/>
        <v>-6</v>
      </c>
      <c r="K196" s="38">
        <f t="shared" si="12"/>
        <v>-60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>
        <f t="shared" si="14"/>
        <v>-6</v>
      </c>
      <c r="K197" s="38">
        <f t="shared" si="12"/>
        <v>-60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-6</v>
      </c>
      <c r="K198" s="38">
        <f t="shared" ref="K198:K261" si="16">J198*$J$2</f>
        <v>-60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INT(LOG($H$2,2))-ROUNDUP(LOG(H199,2),0)+IF(OR($H$2=1,$H$2=2,$H$2=4,$H$2=8,$H$2=16,$H$2=32,$H$2=64,$H$2=128,$H$2=256),1,0)</f>
        <v>-6</v>
      </c>
      <c r="K199" s="38">
        <f t="shared" si="16"/>
        <v>-60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>
        <f t="shared" si="18"/>
        <v>-6</v>
      </c>
      <c r="K200" s="38">
        <f t="shared" si="16"/>
        <v>-60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>
        <f t="shared" si="18"/>
        <v>-6</v>
      </c>
      <c r="K201" s="38">
        <f t="shared" si="16"/>
        <v>-60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>
        <f t="shared" si="18"/>
        <v>-6</v>
      </c>
      <c r="K202" s="38">
        <f t="shared" si="16"/>
        <v>-60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>
        <f t="shared" si="18"/>
        <v>-6</v>
      </c>
      <c r="K203" s="38">
        <f t="shared" si="16"/>
        <v>-60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>
        <f t="shared" si="18"/>
        <v>-6</v>
      </c>
      <c r="K204" s="38">
        <f t="shared" si="16"/>
        <v>-60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>
        <f t="shared" si="18"/>
        <v>-6</v>
      </c>
      <c r="K205" s="38">
        <f t="shared" si="16"/>
        <v>-60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>
        <f t="shared" si="18"/>
        <v>-6</v>
      </c>
      <c r="K206" s="38">
        <f t="shared" si="16"/>
        <v>-60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>
        <f t="shared" si="18"/>
        <v>-6</v>
      </c>
      <c r="K207" s="38">
        <f t="shared" si="16"/>
        <v>-60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>
        <f t="shared" si="18"/>
        <v>-6</v>
      </c>
      <c r="K208" s="38">
        <f t="shared" si="16"/>
        <v>-60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>
        <f t="shared" si="18"/>
        <v>-6</v>
      </c>
      <c r="K209" s="38">
        <f t="shared" si="16"/>
        <v>-60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>
        <f t="shared" si="18"/>
        <v>-6</v>
      </c>
      <c r="K210" s="38">
        <f t="shared" si="16"/>
        <v>-60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>
        <f t="shared" si="18"/>
        <v>-6</v>
      </c>
      <c r="K211" s="38">
        <f t="shared" si="16"/>
        <v>-60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>
        <f t="shared" si="18"/>
        <v>-6</v>
      </c>
      <c r="K212" s="38">
        <f t="shared" si="16"/>
        <v>-60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>
        <f t="shared" si="18"/>
        <v>-6</v>
      </c>
      <c r="K213" s="38">
        <f t="shared" si="16"/>
        <v>-60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>
        <f t="shared" si="18"/>
        <v>-6</v>
      </c>
      <c r="K214" s="38">
        <f t="shared" si="16"/>
        <v>-60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>
        <f t="shared" si="18"/>
        <v>-6</v>
      </c>
      <c r="K215" s="38">
        <f t="shared" si="16"/>
        <v>-60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>
        <f t="shared" si="18"/>
        <v>-6</v>
      </c>
      <c r="K216" s="38">
        <f t="shared" si="16"/>
        <v>-60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>
        <f t="shared" si="18"/>
        <v>-6</v>
      </c>
      <c r="K217" s="38">
        <f t="shared" si="16"/>
        <v>-60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>
        <f t="shared" si="18"/>
        <v>-6</v>
      </c>
      <c r="K218" s="38">
        <f t="shared" si="16"/>
        <v>-60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>
        <f t="shared" si="18"/>
        <v>-6</v>
      </c>
      <c r="K219" s="38">
        <f t="shared" si="16"/>
        <v>-60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>
        <f t="shared" si="18"/>
        <v>-6</v>
      </c>
      <c r="K220" s="38">
        <f t="shared" si="16"/>
        <v>-60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>
        <f t="shared" si="18"/>
        <v>-6</v>
      </c>
      <c r="K221" s="38">
        <f t="shared" si="16"/>
        <v>-60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>
        <f t="shared" si="18"/>
        <v>-6</v>
      </c>
      <c r="K222" s="38">
        <f t="shared" si="16"/>
        <v>-60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>
        <f t="shared" si="18"/>
        <v>-6</v>
      </c>
      <c r="K223" s="38">
        <f t="shared" si="16"/>
        <v>-60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>
        <f t="shared" si="18"/>
        <v>-6</v>
      </c>
      <c r="K224" s="38">
        <f t="shared" si="16"/>
        <v>-60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>
        <f t="shared" si="18"/>
        <v>-6</v>
      </c>
      <c r="K225" s="38">
        <f t="shared" si="16"/>
        <v>-60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>
        <f t="shared" si="18"/>
        <v>-6</v>
      </c>
      <c r="K226" s="38">
        <f t="shared" si="16"/>
        <v>-60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>
        <f t="shared" si="18"/>
        <v>-6</v>
      </c>
      <c r="K227" s="38">
        <f t="shared" si="16"/>
        <v>-60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>
        <f t="shared" si="18"/>
        <v>-6</v>
      </c>
      <c r="K228" s="38">
        <f t="shared" si="16"/>
        <v>-60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>
        <f t="shared" si="18"/>
        <v>-6</v>
      </c>
      <c r="K229" s="38">
        <f t="shared" si="16"/>
        <v>-60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>
        <f t="shared" si="18"/>
        <v>-6</v>
      </c>
      <c r="K230" s="38">
        <f t="shared" si="16"/>
        <v>-60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>
        <f t="shared" si="18"/>
        <v>-6</v>
      </c>
      <c r="K231" s="38">
        <f t="shared" si="16"/>
        <v>-60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>
        <f t="shared" si="18"/>
        <v>-6</v>
      </c>
      <c r="K232" s="38">
        <f t="shared" si="16"/>
        <v>-60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>
        <f t="shared" si="18"/>
        <v>-6</v>
      </c>
      <c r="K233" s="38">
        <f t="shared" si="16"/>
        <v>-60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>
        <f t="shared" si="18"/>
        <v>-6</v>
      </c>
      <c r="K234" s="38">
        <f t="shared" si="16"/>
        <v>-60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>
        <f t="shared" si="18"/>
        <v>-6</v>
      </c>
      <c r="K235" s="38">
        <f t="shared" si="16"/>
        <v>-60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>
        <f t="shared" si="18"/>
        <v>-6</v>
      </c>
      <c r="K236" s="38">
        <f t="shared" si="16"/>
        <v>-60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>
        <f t="shared" si="18"/>
        <v>-6</v>
      </c>
      <c r="K237" s="38">
        <f t="shared" si="16"/>
        <v>-60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>
        <f t="shared" si="18"/>
        <v>-6</v>
      </c>
      <c r="K238" s="38">
        <f t="shared" si="16"/>
        <v>-60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>
        <f t="shared" si="18"/>
        <v>-6</v>
      </c>
      <c r="K239" s="38">
        <f t="shared" si="16"/>
        <v>-60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>
        <f t="shared" si="18"/>
        <v>-6</v>
      </c>
      <c r="K240" s="38">
        <f t="shared" si="16"/>
        <v>-60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>
        <f t="shared" si="18"/>
        <v>-6</v>
      </c>
      <c r="K241" s="38">
        <f t="shared" si="16"/>
        <v>-60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>
        <f t="shared" si="18"/>
        <v>-6</v>
      </c>
      <c r="K242" s="38">
        <f t="shared" si="16"/>
        <v>-60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>
        <f t="shared" si="18"/>
        <v>-6</v>
      </c>
      <c r="K243" s="38">
        <f t="shared" si="16"/>
        <v>-60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>
        <f t="shared" si="18"/>
        <v>-6</v>
      </c>
      <c r="K244" s="38">
        <f t="shared" si="16"/>
        <v>-60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>
        <f t="shared" si="18"/>
        <v>-6</v>
      </c>
      <c r="K245" s="38">
        <f t="shared" si="16"/>
        <v>-60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>
        <f t="shared" si="18"/>
        <v>-6</v>
      </c>
      <c r="K246" s="38">
        <f t="shared" si="16"/>
        <v>-60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>
        <f t="shared" si="18"/>
        <v>-6</v>
      </c>
      <c r="K247" s="38">
        <f t="shared" si="16"/>
        <v>-60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>
        <f t="shared" si="18"/>
        <v>-6</v>
      </c>
      <c r="K248" s="38">
        <f t="shared" si="16"/>
        <v>-60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>
        <f t="shared" si="18"/>
        <v>-6</v>
      </c>
      <c r="K249" s="38">
        <f t="shared" si="16"/>
        <v>-60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>
        <f t="shared" si="18"/>
        <v>-6</v>
      </c>
      <c r="K250" s="38">
        <f t="shared" si="16"/>
        <v>-60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>
        <f t="shared" si="18"/>
        <v>-6</v>
      </c>
      <c r="K251" s="38">
        <f t="shared" si="16"/>
        <v>-60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>
        <f t="shared" si="18"/>
        <v>-6</v>
      </c>
      <c r="K252" s="38">
        <f t="shared" si="16"/>
        <v>-60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>
        <f t="shared" si="18"/>
        <v>-6</v>
      </c>
      <c r="K253" s="38">
        <f t="shared" si="16"/>
        <v>-60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>
        <f t="shared" si="18"/>
        <v>-6</v>
      </c>
      <c r="K254" s="38">
        <f t="shared" si="16"/>
        <v>-60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>
        <f t="shared" si="18"/>
        <v>-6</v>
      </c>
      <c r="K255" s="38">
        <f t="shared" si="16"/>
        <v>-60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>
        <f t="shared" si="18"/>
        <v>-6</v>
      </c>
      <c r="K256" s="38">
        <f t="shared" si="16"/>
        <v>-60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>
        <f t="shared" si="18"/>
        <v>-6</v>
      </c>
      <c r="K257" s="38">
        <f t="shared" si="16"/>
        <v>-60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>
        <f t="shared" si="18"/>
        <v>-6</v>
      </c>
      <c r="K258" s="38">
        <f t="shared" si="16"/>
        <v>-60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>
        <f t="shared" si="18"/>
        <v>-6</v>
      </c>
      <c r="K259" s="38">
        <f t="shared" si="16"/>
        <v>-60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>
        <f t="shared" si="18"/>
        <v>-6</v>
      </c>
      <c r="K260" s="38">
        <f t="shared" si="16"/>
        <v>-60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>
        <f t="shared" si="18"/>
        <v>-6</v>
      </c>
      <c r="K261" s="38">
        <f t="shared" si="16"/>
        <v>-60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-7</v>
      </c>
      <c r="K262" s="38">
        <f t="shared" ref="K262:K305" si="20">J262*$J$2</f>
        <v>-70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INT(LOG($H$2,2))-ROUNDUP(LOG(H263,2),0)+IF(OR($H$2=1,$H$2=2,$H$2=4,$H$2=8,$H$2=16,$H$2=32,$H$2=64,$H$2=128,$H$2=256),1,0)</f>
        <v>-7</v>
      </c>
      <c r="K263" s="38">
        <f t="shared" si="20"/>
        <v>-70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>
        <f t="shared" si="22"/>
        <v>-7</v>
      </c>
      <c r="K264" s="38">
        <f t="shared" si="20"/>
        <v>-70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>
        <f t="shared" si="22"/>
        <v>-7</v>
      </c>
      <c r="K265" s="38">
        <f t="shared" si="20"/>
        <v>-70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>
        <f t="shared" si="22"/>
        <v>-7</v>
      </c>
      <c r="K266" s="38">
        <f t="shared" si="20"/>
        <v>-70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>
        <f t="shared" si="22"/>
        <v>-7</v>
      </c>
      <c r="K267" s="38">
        <f t="shared" si="20"/>
        <v>-70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>
        <f t="shared" si="22"/>
        <v>-7</v>
      </c>
      <c r="K268" s="38">
        <f t="shared" si="20"/>
        <v>-70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>
        <f t="shared" si="22"/>
        <v>-7</v>
      </c>
      <c r="K269" s="38">
        <f t="shared" si="20"/>
        <v>-70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>
        <f t="shared" si="22"/>
        <v>-7</v>
      </c>
      <c r="K270" s="38">
        <f t="shared" si="20"/>
        <v>-70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>
        <f t="shared" si="22"/>
        <v>-7</v>
      </c>
      <c r="K271" s="38">
        <f t="shared" si="20"/>
        <v>-70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>
        <f t="shared" si="22"/>
        <v>-7</v>
      </c>
      <c r="K272" s="38">
        <f t="shared" si="20"/>
        <v>-70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>
        <f t="shared" si="22"/>
        <v>-7</v>
      </c>
      <c r="K273" s="38">
        <f t="shared" si="20"/>
        <v>-70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>
        <f t="shared" si="22"/>
        <v>-7</v>
      </c>
      <c r="K274" s="38">
        <f t="shared" si="20"/>
        <v>-70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>
        <f t="shared" si="22"/>
        <v>-7</v>
      </c>
      <c r="K275" s="38">
        <f t="shared" si="20"/>
        <v>-70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>
        <f t="shared" si="22"/>
        <v>-7</v>
      </c>
      <c r="K276" s="38">
        <f t="shared" si="20"/>
        <v>-70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>
        <f t="shared" si="22"/>
        <v>-7</v>
      </c>
      <c r="K277" s="38">
        <f t="shared" si="20"/>
        <v>-70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>
        <f t="shared" si="22"/>
        <v>-7</v>
      </c>
      <c r="K278" s="38">
        <f t="shared" si="20"/>
        <v>-70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>
        <f t="shared" si="22"/>
        <v>-7</v>
      </c>
      <c r="K279" s="38">
        <f t="shared" si="20"/>
        <v>-70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>
        <f t="shared" si="22"/>
        <v>-7</v>
      </c>
      <c r="K280" s="38">
        <f t="shared" si="20"/>
        <v>-70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>
        <f t="shared" si="22"/>
        <v>-7</v>
      </c>
      <c r="K281" s="38">
        <f t="shared" si="20"/>
        <v>-70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>
        <f t="shared" si="22"/>
        <v>-7</v>
      </c>
      <c r="K282" s="38">
        <f t="shared" si="20"/>
        <v>-70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>
        <f t="shared" si="22"/>
        <v>-7</v>
      </c>
      <c r="K283" s="38">
        <f t="shared" si="20"/>
        <v>-70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>
        <f t="shared" si="22"/>
        <v>-7</v>
      </c>
      <c r="K284" s="38">
        <f t="shared" si="20"/>
        <v>-70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>
        <f t="shared" si="22"/>
        <v>-7</v>
      </c>
      <c r="K285" s="38">
        <f t="shared" si="20"/>
        <v>-70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>
        <f t="shared" si="22"/>
        <v>-7</v>
      </c>
      <c r="K286" s="38">
        <f t="shared" si="20"/>
        <v>-70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>
        <f t="shared" si="22"/>
        <v>-7</v>
      </c>
      <c r="K287" s="38">
        <f t="shared" si="20"/>
        <v>-70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>
        <f t="shared" si="22"/>
        <v>-7</v>
      </c>
      <c r="K288" s="38">
        <f t="shared" si="20"/>
        <v>-70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>
        <f t="shared" si="22"/>
        <v>-7</v>
      </c>
      <c r="K289" s="38">
        <f t="shared" si="20"/>
        <v>-70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>
        <f t="shared" si="22"/>
        <v>-7</v>
      </c>
      <c r="K290" s="38">
        <f t="shared" si="20"/>
        <v>-70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>
        <f t="shared" si="22"/>
        <v>-7</v>
      </c>
      <c r="K291" s="38">
        <f t="shared" si="20"/>
        <v>-70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>
        <f t="shared" si="22"/>
        <v>-7</v>
      </c>
      <c r="K292" s="38">
        <f t="shared" si="20"/>
        <v>-70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>
        <f t="shared" si="22"/>
        <v>-7</v>
      </c>
      <c r="K293" s="38">
        <f t="shared" si="20"/>
        <v>-70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>
        <f t="shared" si="22"/>
        <v>-7</v>
      </c>
      <c r="K294" s="38">
        <f t="shared" si="20"/>
        <v>-70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>
        <f t="shared" si="22"/>
        <v>-7</v>
      </c>
      <c r="K295" s="38">
        <f t="shared" si="20"/>
        <v>-70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>
        <f t="shared" si="22"/>
        <v>-7</v>
      </c>
      <c r="K296" s="38">
        <f t="shared" si="20"/>
        <v>-70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>
        <f t="shared" si="22"/>
        <v>-7</v>
      </c>
      <c r="K297" s="38">
        <f t="shared" si="20"/>
        <v>-70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>
        <f t="shared" si="22"/>
        <v>-7</v>
      </c>
      <c r="K298" s="38">
        <f t="shared" si="20"/>
        <v>-70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>
        <f t="shared" si="22"/>
        <v>-7</v>
      </c>
      <c r="K299" s="38">
        <f t="shared" si="20"/>
        <v>-70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>
        <f t="shared" si="22"/>
        <v>-7</v>
      </c>
      <c r="K300" s="38">
        <f t="shared" si="20"/>
        <v>-70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>
        <f t="shared" si="22"/>
        <v>-7</v>
      </c>
      <c r="K301" s="38">
        <f t="shared" si="20"/>
        <v>-70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>
        <f t="shared" si="22"/>
        <v>-7</v>
      </c>
      <c r="K302" s="38">
        <f t="shared" si="20"/>
        <v>-70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>
        <f t="shared" si="22"/>
        <v>-7</v>
      </c>
      <c r="K303" s="38">
        <f t="shared" si="20"/>
        <v>-70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>
        <f t="shared" si="22"/>
        <v>-7</v>
      </c>
      <c r="K304" s="38">
        <f t="shared" si="20"/>
        <v>-70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>
        <f t="shared" si="22"/>
        <v>-7</v>
      </c>
      <c r="K305" s="38">
        <f t="shared" si="20"/>
        <v>-70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B51DCA5E-9A25-4FEC-9679-229113F27277}">
      <formula1>#REF!</formula1>
    </dataValidation>
  </dataValidations>
  <hyperlinks>
    <hyperlink ref="C2:D2" r:id="rId1" display="TORUŃ" xr:uid="{07BA471E-C603-4B77-8772-8AB7DE43E48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DB48-CA06-4224-9B3B-ACB342C0B345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29</v>
      </c>
      <c r="L1" s="20"/>
      <c r="M1" s="20"/>
    </row>
    <row r="2" spans="1:36" x14ac:dyDescent="0.25">
      <c r="A2" s="16"/>
      <c r="B2" s="22" t="s">
        <v>30</v>
      </c>
      <c r="C2" s="289" t="s">
        <v>66</v>
      </c>
      <c r="D2" s="289"/>
      <c r="E2" s="23"/>
      <c r="F2" s="23"/>
      <c r="G2" s="23"/>
      <c r="H2" s="24">
        <v>6</v>
      </c>
      <c r="I2" s="25">
        <v>50</v>
      </c>
      <c r="J2" s="25">
        <v>10</v>
      </c>
      <c r="K2" s="26">
        <f>3*H2^(1/3)</f>
        <v>5.4513617784964188</v>
      </c>
      <c r="L2" s="20"/>
      <c r="M2" s="20"/>
    </row>
    <row r="3" spans="1:36" x14ac:dyDescent="0.25">
      <c r="A3" s="16"/>
      <c r="B3" s="27" t="s">
        <v>32</v>
      </c>
      <c r="C3" s="290" t="s">
        <v>67</v>
      </c>
      <c r="D3" s="290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</row>
    <row r="6" spans="1:36" ht="14.45" customHeight="1" x14ac:dyDescent="0.25">
      <c r="A6" s="35">
        <f>M6</f>
        <v>96.354085335489259</v>
      </c>
      <c r="B6" s="36">
        <f>IF(H6&gt;$H$2,"",(ROW()-5))</f>
        <v>1</v>
      </c>
      <c r="C6" s="69" t="s">
        <v>20</v>
      </c>
      <c r="D6" s="69"/>
      <c r="E6" s="69"/>
      <c r="F6" s="69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3</v>
      </c>
      <c r="K6" s="38">
        <f t="shared" ref="K6:K69" si="0">J6*$J$2</f>
        <v>30</v>
      </c>
      <c r="L6" s="40">
        <f>3*K2</f>
        <v>16.354085335489255</v>
      </c>
      <c r="M6" s="40">
        <f t="shared" ref="M6:M69" si="1">IF(I6&lt;&gt;"",K6+I6+L6,0)</f>
        <v>96.354085335489259</v>
      </c>
    </row>
    <row r="7" spans="1:36" ht="14.45" customHeight="1" x14ac:dyDescent="0.25">
      <c r="A7" s="41">
        <f t="shared" ref="A7:A37" si="2">M7</f>
        <v>61.946936002500301</v>
      </c>
      <c r="B7" s="42">
        <f t="shared" ref="B7:B20" si="3">IF(H7&gt;$H$2,"",(ROW()-5))</f>
        <v>2</v>
      </c>
      <c r="C7" s="70" t="s">
        <v>51</v>
      </c>
      <c r="D7" s="70"/>
      <c r="E7" s="70" t="s">
        <v>47</v>
      </c>
      <c r="F7" s="70"/>
      <c r="G7" s="30"/>
      <c r="H7" s="44">
        <v>2</v>
      </c>
      <c r="I7" s="45">
        <f t="shared" ref="I7:I69" si="4">IF(H7&lt;$H$2+1,($I$2-($I$2-1)*(LOG(H7)/LOG($H$2))),"")</f>
        <v>31.044212445507462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si="0"/>
        <v>20</v>
      </c>
      <c r="L7" s="46">
        <f>2*K2</f>
        <v>10.902723556992838</v>
      </c>
      <c r="M7" s="45">
        <f t="shared" si="1"/>
        <v>61.946936002500301</v>
      </c>
    </row>
    <row r="8" spans="1:36" ht="14.45" customHeight="1" x14ac:dyDescent="0.25">
      <c r="A8" s="35">
        <f t="shared" si="2"/>
        <v>35.407149332988958</v>
      </c>
      <c r="B8" s="36">
        <f t="shared" si="3"/>
        <v>3</v>
      </c>
      <c r="C8" s="69" t="s">
        <v>49</v>
      </c>
      <c r="D8" s="69" t="s">
        <v>50</v>
      </c>
      <c r="E8" s="69" t="s">
        <v>47</v>
      </c>
      <c r="F8" s="69"/>
      <c r="G8" s="30"/>
      <c r="H8" s="38">
        <v>3</v>
      </c>
      <c r="I8" s="39">
        <f t="shared" si="4"/>
        <v>19.955787554492538</v>
      </c>
      <c r="J8" s="38">
        <f t="shared" si="5"/>
        <v>1</v>
      </c>
      <c r="K8" s="38">
        <f t="shared" si="0"/>
        <v>10</v>
      </c>
      <c r="L8" s="40">
        <f>K2</f>
        <v>5.4513617784964188</v>
      </c>
      <c r="M8" s="40">
        <f t="shared" si="1"/>
        <v>35.407149332988958</v>
      </c>
    </row>
    <row r="9" spans="1:36" ht="14.45" customHeight="1" x14ac:dyDescent="0.25">
      <c r="A9" s="41">
        <f t="shared" si="2"/>
        <v>22.088424891014924</v>
      </c>
      <c r="B9" s="42">
        <f t="shared" si="3"/>
        <v>4</v>
      </c>
      <c r="C9" s="136" t="s">
        <v>68</v>
      </c>
      <c r="D9" s="70"/>
      <c r="E9" s="70"/>
      <c r="F9" s="70"/>
      <c r="G9" s="30"/>
      <c r="H9" s="44">
        <v>4</v>
      </c>
      <c r="I9" s="45">
        <f t="shared" si="4"/>
        <v>12.088424891014924</v>
      </c>
      <c r="J9" s="44">
        <f t="shared" si="5"/>
        <v>1</v>
      </c>
      <c r="K9" s="44">
        <f t="shared" si="0"/>
        <v>10</v>
      </c>
      <c r="L9" s="46"/>
      <c r="M9" s="46">
        <f t="shared" si="1"/>
        <v>22.088424891014924</v>
      </c>
      <c r="V9" s="47"/>
      <c r="Z9" s="48"/>
      <c r="AA9" s="48"/>
      <c r="AG9" s="49"/>
      <c r="AH9" s="21" t="s">
        <v>53</v>
      </c>
      <c r="AI9" s="21">
        <v>23</v>
      </c>
    </row>
    <row r="10" spans="1:36" ht="14.45" customHeight="1" x14ac:dyDescent="0.25">
      <c r="A10" s="35">
        <f t="shared" si="2"/>
        <v>5.9860243165075602</v>
      </c>
      <c r="B10" s="36">
        <f t="shared" si="3"/>
        <v>5</v>
      </c>
      <c r="C10" s="69" t="s">
        <v>22</v>
      </c>
      <c r="D10" s="69" t="s">
        <v>56</v>
      </c>
      <c r="E10" s="69" t="s">
        <v>47</v>
      </c>
      <c r="F10" s="69"/>
      <c r="G10" s="30"/>
      <c r="H10" s="38">
        <v>5</v>
      </c>
      <c r="I10" s="39">
        <f t="shared" si="4"/>
        <v>5.9860243165075602</v>
      </c>
      <c r="J10" s="38">
        <f t="shared" si="5"/>
        <v>0</v>
      </c>
      <c r="K10" s="38">
        <f t="shared" si="0"/>
        <v>0</v>
      </c>
      <c r="L10" s="38"/>
      <c r="M10" s="40">
        <f t="shared" si="1"/>
        <v>5.9860243165075602</v>
      </c>
      <c r="V10" s="47"/>
      <c r="Z10" s="48"/>
      <c r="AA10" s="48"/>
      <c r="AG10" s="49"/>
      <c r="AH10" s="21" t="s">
        <v>55</v>
      </c>
      <c r="AI10" s="21">
        <v>45</v>
      </c>
    </row>
    <row r="11" spans="1:36" ht="14.45" customHeight="1" x14ac:dyDescent="0.25">
      <c r="A11" s="41">
        <f t="shared" si="2"/>
        <v>1</v>
      </c>
      <c r="B11" s="42">
        <f t="shared" si="3"/>
        <v>6</v>
      </c>
      <c r="C11" s="70" t="s">
        <v>23</v>
      </c>
      <c r="D11" s="70"/>
      <c r="E11" s="70"/>
      <c r="F11" s="70"/>
      <c r="G11" s="30"/>
      <c r="H11" s="44">
        <v>6</v>
      </c>
      <c r="I11" s="45">
        <f t="shared" si="4"/>
        <v>1</v>
      </c>
      <c r="J11" s="44">
        <f t="shared" si="5"/>
        <v>0</v>
      </c>
      <c r="K11" s="44">
        <f t="shared" si="0"/>
        <v>0</v>
      </c>
      <c r="L11" s="44"/>
      <c r="M11" s="46">
        <f t="shared" si="1"/>
        <v>1</v>
      </c>
      <c r="V11" s="50"/>
      <c r="Z11" s="48"/>
      <c r="AA11" s="48"/>
      <c r="AG11" s="49"/>
      <c r="AH11" s="21" t="s">
        <v>57</v>
      </c>
      <c r="AI11" s="21">
        <v>50</v>
      </c>
    </row>
    <row r="12" spans="1:36" ht="14.45" customHeight="1" x14ac:dyDescent="0.25">
      <c r="A12" s="35">
        <f t="shared" si="2"/>
        <v>0</v>
      </c>
      <c r="B12" s="36" t="str">
        <f t="shared" si="3"/>
        <v/>
      </c>
      <c r="C12" s="69"/>
      <c r="D12" s="69"/>
      <c r="E12" s="69"/>
      <c r="F12" s="69"/>
      <c r="G12" s="30"/>
      <c r="H12" s="38">
        <v>7</v>
      </c>
      <c r="I12" s="39" t="str">
        <f t="shared" si="4"/>
        <v/>
      </c>
      <c r="J12" s="38">
        <f t="shared" si="5"/>
        <v>0</v>
      </c>
      <c r="K12" s="38">
        <f t="shared" si="0"/>
        <v>0</v>
      </c>
      <c r="L12" s="38"/>
      <c r="M12" s="40">
        <f t="shared" si="1"/>
        <v>0</v>
      </c>
      <c r="Z12" s="48"/>
      <c r="AA12" s="48"/>
      <c r="AG12" s="49"/>
      <c r="AH12" s="21" t="s">
        <v>58</v>
      </c>
      <c r="AI12" s="21">
        <f>AI11-1</f>
        <v>49</v>
      </c>
    </row>
    <row r="13" spans="1:36" ht="14.45" customHeight="1" x14ac:dyDescent="0.25">
      <c r="A13" s="51">
        <f t="shared" si="2"/>
        <v>0</v>
      </c>
      <c r="B13" s="42" t="str">
        <f t="shared" si="3"/>
        <v/>
      </c>
      <c r="C13" s="70"/>
      <c r="D13" s="70"/>
      <c r="E13" s="70"/>
      <c r="F13" s="70"/>
      <c r="G13" s="30"/>
      <c r="H13" s="44">
        <v>8</v>
      </c>
      <c r="I13" s="45" t="str">
        <f t="shared" si="4"/>
        <v/>
      </c>
      <c r="J13" s="44">
        <f t="shared" si="5"/>
        <v>0</v>
      </c>
      <c r="K13" s="44">
        <f t="shared" si="0"/>
        <v>0</v>
      </c>
      <c r="L13" s="44"/>
      <c r="M13" s="46">
        <f t="shared" si="1"/>
        <v>0</v>
      </c>
      <c r="X13" s="47"/>
      <c r="AG13" s="49"/>
      <c r="AH13" s="21" t="s">
        <v>59</v>
      </c>
      <c r="AI13" s="21">
        <f>LOG(AI9)</f>
        <v>1.3617278360175928</v>
      </c>
    </row>
    <row r="14" spans="1:36" ht="28.55" x14ac:dyDescent="0.25">
      <c r="A14" s="215">
        <v>35.407149332988958</v>
      </c>
      <c r="B14" s="263" t="s">
        <v>69</v>
      </c>
      <c r="C14" s="216" t="s">
        <v>21</v>
      </c>
      <c r="D14" s="216" t="s">
        <v>70</v>
      </c>
      <c r="E14" s="216"/>
      <c r="F14" s="69"/>
      <c r="G14" s="30"/>
      <c r="H14" s="38">
        <v>9</v>
      </c>
      <c r="I14" s="39" t="str">
        <f t="shared" si="4"/>
        <v/>
      </c>
      <c r="J14" s="38">
        <f t="shared" si="5"/>
        <v>-1</v>
      </c>
      <c r="K14" s="38">
        <f t="shared" si="0"/>
        <v>-10</v>
      </c>
      <c r="L14" s="38"/>
      <c r="M14" s="40">
        <f t="shared" si="1"/>
        <v>0</v>
      </c>
      <c r="X14" s="53"/>
      <c r="Z14" s="48"/>
      <c r="AA14" s="48"/>
      <c r="AG14" s="49"/>
      <c r="AH14" s="21" t="s">
        <v>65</v>
      </c>
      <c r="AI14" s="21">
        <f>LOG(AI10)</f>
        <v>1.6532125137753437</v>
      </c>
    </row>
    <row r="15" spans="1:36" x14ac:dyDescent="0.25">
      <c r="A15" s="51">
        <f t="shared" si="2"/>
        <v>0</v>
      </c>
      <c r="B15" s="42" t="str">
        <f t="shared" si="3"/>
        <v/>
      </c>
      <c r="C15" s="70"/>
      <c r="D15" s="70"/>
      <c r="E15" s="70"/>
      <c r="F15" s="70"/>
      <c r="G15" s="30"/>
      <c r="H15" s="44">
        <v>10</v>
      </c>
      <c r="I15" s="45" t="str">
        <f t="shared" si="4"/>
        <v/>
      </c>
      <c r="J15" s="44">
        <f t="shared" si="5"/>
        <v>-1</v>
      </c>
      <c r="K15" s="44">
        <f t="shared" si="0"/>
        <v>-10</v>
      </c>
      <c r="L15" s="44"/>
      <c r="M15" s="46">
        <f t="shared" si="1"/>
        <v>0</v>
      </c>
      <c r="X15" s="47"/>
      <c r="Z15" s="48"/>
      <c r="AA15" s="48"/>
    </row>
    <row r="16" spans="1:36" x14ac:dyDescent="0.25">
      <c r="A16" s="52">
        <f t="shared" si="2"/>
        <v>0</v>
      </c>
      <c r="B16" s="36" t="str">
        <f t="shared" si="3"/>
        <v/>
      </c>
      <c r="C16" s="69"/>
      <c r="D16" s="69"/>
      <c r="E16" s="69"/>
      <c r="F16" s="69"/>
      <c r="G16" s="30"/>
      <c r="H16" s="38">
        <v>11</v>
      </c>
      <c r="I16" s="39" t="str">
        <f t="shared" si="4"/>
        <v/>
      </c>
      <c r="J16" s="38">
        <f t="shared" si="5"/>
        <v>-1</v>
      </c>
      <c r="K16" s="38">
        <f t="shared" si="0"/>
        <v>-10</v>
      </c>
      <c r="L16" s="38"/>
      <c r="M16" s="40">
        <f t="shared" si="1"/>
        <v>0</v>
      </c>
      <c r="R16" s="54"/>
      <c r="Z16" s="48"/>
      <c r="AA16" s="48"/>
      <c r="AH16" s="55" t="s">
        <v>61</v>
      </c>
      <c r="AI16" s="21">
        <f>AI11-AI12*AI13/AI14</f>
        <v>9.6393909380186855</v>
      </c>
      <c r="AJ16" s="21" t="s">
        <v>62</v>
      </c>
    </row>
    <row r="17" spans="1:19" x14ac:dyDescent="0.25">
      <c r="A17" s="51">
        <f t="shared" si="2"/>
        <v>0</v>
      </c>
      <c r="B17" s="42" t="str">
        <f t="shared" si="3"/>
        <v/>
      </c>
      <c r="C17" s="70"/>
      <c r="D17" s="70"/>
      <c r="E17" s="70"/>
      <c r="F17" s="70"/>
      <c r="G17" s="30"/>
      <c r="H17" s="44">
        <v>12</v>
      </c>
      <c r="I17" s="45" t="str">
        <f t="shared" si="4"/>
        <v/>
      </c>
      <c r="J17" s="44">
        <f t="shared" si="5"/>
        <v>-1</v>
      </c>
      <c r="K17" s="44">
        <f t="shared" si="0"/>
        <v>-10</v>
      </c>
      <c r="L17" s="44"/>
      <c r="M17" s="46">
        <f t="shared" si="1"/>
        <v>0</v>
      </c>
    </row>
    <row r="18" spans="1:19" x14ac:dyDescent="0.25">
      <c r="A18" s="52">
        <f t="shared" si="2"/>
        <v>0</v>
      </c>
      <c r="B18" s="36" t="str">
        <f t="shared" si="3"/>
        <v/>
      </c>
      <c r="C18" s="69"/>
      <c r="D18" s="69"/>
      <c r="E18" s="69"/>
      <c r="F18" s="69"/>
      <c r="G18" s="30"/>
      <c r="H18" s="38">
        <v>13</v>
      </c>
      <c r="I18" s="39" t="str">
        <f t="shared" si="4"/>
        <v/>
      </c>
      <c r="J18" s="38">
        <f t="shared" si="5"/>
        <v>-1</v>
      </c>
      <c r="K18" s="38">
        <f t="shared" si="0"/>
        <v>-10</v>
      </c>
      <c r="L18" s="38"/>
      <c r="M18" s="40">
        <f t="shared" si="1"/>
        <v>0</v>
      </c>
    </row>
    <row r="19" spans="1:19" x14ac:dyDescent="0.25">
      <c r="A19" s="51">
        <f t="shared" si="2"/>
        <v>0</v>
      </c>
      <c r="B19" s="42" t="str">
        <f t="shared" si="3"/>
        <v/>
      </c>
      <c r="C19" s="70"/>
      <c r="D19" s="70"/>
      <c r="E19" s="70"/>
      <c r="F19" s="70"/>
      <c r="G19" s="30"/>
      <c r="H19" s="44">
        <v>14</v>
      </c>
      <c r="I19" s="45" t="str">
        <f t="shared" si="4"/>
        <v/>
      </c>
      <c r="J19" s="44">
        <f t="shared" si="5"/>
        <v>-1</v>
      </c>
      <c r="K19" s="44">
        <f t="shared" si="0"/>
        <v>-10</v>
      </c>
      <c r="L19" s="44"/>
      <c r="M19" s="46">
        <f t="shared" si="1"/>
        <v>0</v>
      </c>
    </row>
    <row r="20" spans="1:19" x14ac:dyDescent="0.25">
      <c r="A20" s="52">
        <f t="shared" si="2"/>
        <v>0</v>
      </c>
      <c r="B20" s="36" t="str">
        <f t="shared" si="3"/>
        <v/>
      </c>
      <c r="C20" s="69"/>
      <c r="D20" s="69"/>
      <c r="E20" s="69"/>
      <c r="F20" s="69"/>
      <c r="G20" s="30"/>
      <c r="H20" s="38">
        <v>15</v>
      </c>
      <c r="I20" s="39" t="str">
        <f t="shared" si="4"/>
        <v/>
      </c>
      <c r="J20" s="38">
        <f t="shared" si="5"/>
        <v>-1</v>
      </c>
      <c r="K20" s="38">
        <f t="shared" si="0"/>
        <v>-10</v>
      </c>
      <c r="L20" s="38"/>
      <c r="M20" s="40">
        <f t="shared" si="1"/>
        <v>0</v>
      </c>
      <c r="R20" s="56"/>
      <c r="S20" s="57"/>
    </row>
    <row r="21" spans="1:19" x14ac:dyDescent="0.25">
      <c r="A21" s="51">
        <f t="shared" si="2"/>
        <v>0</v>
      </c>
      <c r="B21" s="42" t="str">
        <f t="shared" ref="B21:B65" si="6">IF(H21&gt;$H$2,"",(ROW()-5))</f>
        <v/>
      </c>
      <c r="C21" s="70"/>
      <c r="D21" s="70"/>
      <c r="E21" s="70"/>
      <c r="F21" s="70"/>
      <c r="G21" s="30"/>
      <c r="H21" s="44">
        <v>16</v>
      </c>
      <c r="I21" s="45" t="str">
        <f t="shared" si="4"/>
        <v/>
      </c>
      <c r="J21" s="44">
        <f t="shared" si="5"/>
        <v>-1</v>
      </c>
      <c r="K21" s="44">
        <f t="shared" si="0"/>
        <v>-10</v>
      </c>
      <c r="L21" s="44"/>
      <c r="M21" s="46">
        <f t="shared" si="1"/>
        <v>0</v>
      </c>
    </row>
    <row r="22" spans="1:19" x14ac:dyDescent="0.25">
      <c r="A22" s="52">
        <f t="shared" si="2"/>
        <v>0</v>
      </c>
      <c r="B22" s="36" t="str">
        <f t="shared" si="6"/>
        <v/>
      </c>
      <c r="C22" s="69"/>
      <c r="D22" s="69"/>
      <c r="E22" s="69"/>
      <c r="F22" s="69"/>
      <c r="G22" s="30"/>
      <c r="H22" s="38">
        <v>17</v>
      </c>
      <c r="I22" s="39" t="str">
        <f t="shared" si="4"/>
        <v/>
      </c>
      <c r="J22" s="38">
        <f t="shared" si="5"/>
        <v>-2</v>
      </c>
      <c r="K22" s="38">
        <f t="shared" si="0"/>
        <v>-20</v>
      </c>
      <c r="L22" s="38"/>
      <c r="M22" s="40">
        <f t="shared" si="1"/>
        <v>0</v>
      </c>
    </row>
    <row r="23" spans="1:19" x14ac:dyDescent="0.25">
      <c r="A23" s="51">
        <f t="shared" si="2"/>
        <v>0</v>
      </c>
      <c r="B23" s="42" t="str">
        <f t="shared" si="6"/>
        <v/>
      </c>
      <c r="C23" s="70"/>
      <c r="D23" s="70"/>
      <c r="E23" s="70"/>
      <c r="F23" s="70"/>
      <c r="G23" s="30"/>
      <c r="H23" s="44">
        <v>18</v>
      </c>
      <c r="I23" s="45" t="str">
        <f t="shared" si="4"/>
        <v/>
      </c>
      <c r="J23" s="44">
        <f t="shared" si="5"/>
        <v>-2</v>
      </c>
      <c r="K23" s="44">
        <f t="shared" si="0"/>
        <v>-20</v>
      </c>
      <c r="L23" s="44"/>
      <c r="M23" s="46">
        <f t="shared" si="1"/>
        <v>0</v>
      </c>
    </row>
    <row r="24" spans="1:19" x14ac:dyDescent="0.25">
      <c r="A24" s="52">
        <f t="shared" si="2"/>
        <v>0</v>
      </c>
      <c r="B24" s="36" t="str">
        <f t="shared" si="6"/>
        <v/>
      </c>
      <c r="C24" s="69"/>
      <c r="D24" s="69"/>
      <c r="E24" s="69"/>
      <c r="F24" s="69"/>
      <c r="G24" s="30"/>
      <c r="H24" s="38">
        <v>19</v>
      </c>
      <c r="I24" s="39" t="str">
        <f t="shared" si="4"/>
        <v/>
      </c>
      <c r="J24" s="38">
        <f t="shared" si="5"/>
        <v>-2</v>
      </c>
      <c r="K24" s="38">
        <f t="shared" si="0"/>
        <v>-20</v>
      </c>
      <c r="L24" s="38"/>
      <c r="M24" s="40">
        <f t="shared" si="1"/>
        <v>0</v>
      </c>
      <c r="R24" s="56"/>
      <c r="S24" s="57"/>
    </row>
    <row r="25" spans="1:19" x14ac:dyDescent="0.25">
      <c r="A25" s="51">
        <f t="shared" si="2"/>
        <v>0</v>
      </c>
      <c r="B25" s="42" t="str">
        <f t="shared" si="6"/>
        <v/>
      </c>
      <c r="C25" s="70"/>
      <c r="D25" s="70"/>
      <c r="E25" s="70"/>
      <c r="F25" s="70"/>
      <c r="G25" s="30"/>
      <c r="H25" s="44">
        <v>20</v>
      </c>
      <c r="I25" s="45" t="str">
        <f t="shared" si="4"/>
        <v/>
      </c>
      <c r="J25" s="44">
        <f t="shared" si="5"/>
        <v>-2</v>
      </c>
      <c r="K25" s="44">
        <f t="shared" si="0"/>
        <v>-20</v>
      </c>
      <c r="L25" s="44"/>
      <c r="M25" s="46">
        <f t="shared" si="1"/>
        <v>0</v>
      </c>
    </row>
    <row r="26" spans="1:19" x14ac:dyDescent="0.25">
      <c r="A26" s="52">
        <f t="shared" si="2"/>
        <v>0</v>
      </c>
      <c r="B26" s="36" t="str">
        <f t="shared" si="6"/>
        <v/>
      </c>
      <c r="C26" s="69"/>
      <c r="D26" s="69"/>
      <c r="E26" s="69"/>
      <c r="F26" s="69"/>
      <c r="G26" s="30"/>
      <c r="H26" s="38">
        <v>21</v>
      </c>
      <c r="I26" s="39" t="str">
        <f t="shared" si="4"/>
        <v/>
      </c>
      <c r="J26" s="38">
        <f t="shared" si="5"/>
        <v>-2</v>
      </c>
      <c r="K26" s="38">
        <f t="shared" si="0"/>
        <v>-20</v>
      </c>
      <c r="L26" s="38"/>
      <c r="M26" s="40">
        <f t="shared" si="1"/>
        <v>0</v>
      </c>
    </row>
    <row r="27" spans="1:19" x14ac:dyDescent="0.25">
      <c r="A27" s="51">
        <f t="shared" si="2"/>
        <v>0</v>
      </c>
      <c r="B27" s="42" t="str">
        <f t="shared" si="6"/>
        <v/>
      </c>
      <c r="C27" s="70"/>
      <c r="D27" s="70"/>
      <c r="E27" s="70"/>
      <c r="F27" s="70"/>
      <c r="G27" s="30"/>
      <c r="H27" s="44">
        <v>22</v>
      </c>
      <c r="I27" s="45" t="str">
        <f t="shared" si="4"/>
        <v/>
      </c>
      <c r="J27" s="44">
        <f t="shared" si="5"/>
        <v>-2</v>
      </c>
      <c r="K27" s="44">
        <f t="shared" si="0"/>
        <v>-20</v>
      </c>
      <c r="L27" s="44"/>
      <c r="M27" s="46">
        <f t="shared" si="1"/>
        <v>0</v>
      </c>
    </row>
    <row r="28" spans="1:19" x14ac:dyDescent="0.25">
      <c r="A28" s="52">
        <f t="shared" si="2"/>
        <v>0</v>
      </c>
      <c r="B28" s="36" t="str">
        <f t="shared" si="6"/>
        <v/>
      </c>
      <c r="C28" s="69"/>
      <c r="D28" s="69"/>
      <c r="E28" s="69"/>
      <c r="F28" s="69"/>
      <c r="G28" s="30"/>
      <c r="H28" s="38">
        <v>23</v>
      </c>
      <c r="I28" s="39" t="str">
        <f t="shared" si="4"/>
        <v/>
      </c>
      <c r="J28" s="38">
        <f t="shared" si="5"/>
        <v>-2</v>
      </c>
      <c r="K28" s="38">
        <f t="shared" si="0"/>
        <v>-20</v>
      </c>
      <c r="L28" s="38"/>
      <c r="M28" s="40">
        <f t="shared" si="1"/>
        <v>0</v>
      </c>
      <c r="R28" s="56"/>
      <c r="S28" s="57"/>
    </row>
    <row r="29" spans="1:19" x14ac:dyDescent="0.25">
      <c r="A29" s="51">
        <f t="shared" si="2"/>
        <v>0</v>
      </c>
      <c r="B29" s="42" t="str">
        <f t="shared" si="6"/>
        <v/>
      </c>
      <c r="C29" s="70"/>
      <c r="D29" s="70"/>
      <c r="E29" s="70"/>
      <c r="F29" s="70"/>
      <c r="G29" s="16"/>
      <c r="H29" s="44">
        <v>24</v>
      </c>
      <c r="I29" s="45" t="str">
        <f t="shared" si="4"/>
        <v/>
      </c>
      <c r="J29" s="44">
        <f t="shared" si="5"/>
        <v>-2</v>
      </c>
      <c r="K29" s="44">
        <f t="shared" si="0"/>
        <v>-20</v>
      </c>
      <c r="L29" s="44"/>
      <c r="M29" s="46">
        <f t="shared" si="1"/>
        <v>0</v>
      </c>
    </row>
    <row r="30" spans="1:19" x14ac:dyDescent="0.25">
      <c r="A30" s="52">
        <f t="shared" si="2"/>
        <v>0</v>
      </c>
      <c r="B30" s="36" t="str">
        <f t="shared" si="6"/>
        <v/>
      </c>
      <c r="C30" s="69"/>
      <c r="D30" s="69"/>
      <c r="E30" s="69"/>
      <c r="F30" s="69"/>
      <c r="G30" s="16"/>
      <c r="H30" s="38">
        <v>25</v>
      </c>
      <c r="I30" s="39" t="str">
        <f t="shared" si="4"/>
        <v/>
      </c>
      <c r="J30" s="38">
        <f t="shared" si="5"/>
        <v>-2</v>
      </c>
      <c r="K30" s="38">
        <f t="shared" si="0"/>
        <v>-20</v>
      </c>
      <c r="L30" s="38"/>
      <c r="M30" s="40">
        <f t="shared" si="1"/>
        <v>0</v>
      </c>
    </row>
    <row r="31" spans="1:19" x14ac:dyDescent="0.25">
      <c r="A31" s="51">
        <f t="shared" si="2"/>
        <v>0</v>
      </c>
      <c r="B31" s="42" t="str">
        <f t="shared" si="6"/>
        <v/>
      </c>
      <c r="C31" s="70"/>
      <c r="D31" s="70"/>
      <c r="E31" s="70"/>
      <c r="F31" s="70"/>
      <c r="G31" s="16"/>
      <c r="H31" s="44">
        <v>26</v>
      </c>
      <c r="I31" s="45" t="str">
        <f t="shared" si="4"/>
        <v/>
      </c>
      <c r="J31" s="44">
        <f t="shared" si="5"/>
        <v>-2</v>
      </c>
      <c r="K31" s="44">
        <f t="shared" si="0"/>
        <v>-20</v>
      </c>
      <c r="L31" s="44"/>
      <c r="M31" s="46">
        <f t="shared" si="1"/>
        <v>0</v>
      </c>
    </row>
    <row r="32" spans="1:19" x14ac:dyDescent="0.25">
      <c r="A32" s="52">
        <f t="shared" si="2"/>
        <v>0</v>
      </c>
      <c r="B32" s="36" t="str">
        <f t="shared" si="6"/>
        <v/>
      </c>
      <c r="C32" s="69"/>
      <c r="D32" s="69"/>
      <c r="E32" s="69"/>
      <c r="F32" s="69"/>
      <c r="G32" s="16"/>
      <c r="H32" s="38">
        <v>27</v>
      </c>
      <c r="I32" s="39" t="str">
        <f t="shared" si="4"/>
        <v/>
      </c>
      <c r="J32" s="38">
        <f t="shared" si="5"/>
        <v>-2</v>
      </c>
      <c r="K32" s="38">
        <f t="shared" si="0"/>
        <v>-20</v>
      </c>
      <c r="L32" s="38"/>
      <c r="M32" s="40">
        <f t="shared" si="1"/>
        <v>0</v>
      </c>
      <c r="R32" s="56"/>
      <c r="S32" s="57"/>
    </row>
    <row r="33" spans="1:21" x14ac:dyDescent="0.25">
      <c r="A33" s="51">
        <f t="shared" si="2"/>
        <v>0</v>
      </c>
      <c r="B33" s="42" t="str">
        <f t="shared" si="6"/>
        <v/>
      </c>
      <c r="C33" s="70"/>
      <c r="D33" s="70"/>
      <c r="E33" s="70"/>
      <c r="F33" s="70"/>
      <c r="G33" s="16"/>
      <c r="H33" s="44">
        <v>28</v>
      </c>
      <c r="I33" s="45" t="str">
        <f t="shared" si="4"/>
        <v/>
      </c>
      <c r="J33" s="44">
        <f t="shared" si="5"/>
        <v>-2</v>
      </c>
      <c r="K33" s="44">
        <f t="shared" si="0"/>
        <v>-20</v>
      </c>
      <c r="L33" s="44"/>
      <c r="M33" s="46">
        <f t="shared" si="1"/>
        <v>0</v>
      </c>
    </row>
    <row r="34" spans="1:21" x14ac:dyDescent="0.25">
      <c r="A34" s="52">
        <f t="shared" si="2"/>
        <v>0</v>
      </c>
      <c r="B34" s="36" t="str">
        <f t="shared" si="6"/>
        <v/>
      </c>
      <c r="C34" s="69"/>
      <c r="D34" s="69"/>
      <c r="E34" s="69"/>
      <c r="F34" s="69"/>
      <c r="G34" s="16"/>
      <c r="H34" s="38">
        <v>29</v>
      </c>
      <c r="I34" s="39" t="str">
        <f t="shared" si="4"/>
        <v/>
      </c>
      <c r="J34" s="38">
        <f t="shared" si="5"/>
        <v>-2</v>
      </c>
      <c r="K34" s="38">
        <f t="shared" si="0"/>
        <v>-20</v>
      </c>
      <c r="L34" s="38"/>
      <c r="M34" s="40">
        <f t="shared" si="1"/>
        <v>0</v>
      </c>
    </row>
    <row r="35" spans="1:21" x14ac:dyDescent="0.25">
      <c r="A35" s="51">
        <f t="shared" si="2"/>
        <v>0</v>
      </c>
      <c r="B35" s="42" t="str">
        <f t="shared" si="6"/>
        <v/>
      </c>
      <c r="C35" s="70"/>
      <c r="D35" s="70"/>
      <c r="E35" s="70"/>
      <c r="F35" s="70"/>
      <c r="G35" s="16"/>
      <c r="H35" s="44">
        <v>30</v>
      </c>
      <c r="I35" s="45" t="str">
        <f t="shared" si="4"/>
        <v/>
      </c>
      <c r="J35" s="44">
        <f t="shared" si="5"/>
        <v>-2</v>
      </c>
      <c r="K35" s="44">
        <f t="shared" si="0"/>
        <v>-20</v>
      </c>
      <c r="L35" s="44"/>
      <c r="M35" s="46">
        <f t="shared" si="1"/>
        <v>0</v>
      </c>
    </row>
    <row r="36" spans="1:21" x14ac:dyDescent="0.25">
      <c r="A36" s="52">
        <f t="shared" si="2"/>
        <v>0</v>
      </c>
      <c r="B36" s="36" t="str">
        <f t="shared" si="6"/>
        <v/>
      </c>
      <c r="C36" s="69"/>
      <c r="D36" s="69"/>
      <c r="E36" s="69"/>
      <c r="F36" s="69"/>
      <c r="G36" s="16"/>
      <c r="H36" s="38">
        <v>31</v>
      </c>
      <c r="I36" s="39" t="str">
        <f t="shared" si="4"/>
        <v/>
      </c>
      <c r="J36" s="38">
        <f t="shared" si="5"/>
        <v>-2</v>
      </c>
      <c r="K36" s="38">
        <f t="shared" si="0"/>
        <v>-20</v>
      </c>
      <c r="L36" s="38"/>
      <c r="M36" s="40">
        <f t="shared" si="1"/>
        <v>0</v>
      </c>
      <c r="R36" s="56"/>
      <c r="S36" s="57"/>
    </row>
    <row r="37" spans="1:21" x14ac:dyDescent="0.25">
      <c r="A37" s="51">
        <f t="shared" si="2"/>
        <v>0</v>
      </c>
      <c r="B37" s="42" t="str">
        <f t="shared" si="6"/>
        <v/>
      </c>
      <c r="C37" s="70"/>
      <c r="D37" s="70"/>
      <c r="E37" s="70"/>
      <c r="F37" s="70"/>
      <c r="G37" s="16"/>
      <c r="H37" s="44">
        <v>32</v>
      </c>
      <c r="I37" s="45" t="str">
        <f t="shared" si="4"/>
        <v/>
      </c>
      <c r="J37" s="44">
        <f t="shared" si="5"/>
        <v>-2</v>
      </c>
      <c r="K37" s="44">
        <f t="shared" si="0"/>
        <v>-20</v>
      </c>
      <c r="L37" s="44"/>
      <c r="M37" s="46">
        <f t="shared" si="1"/>
        <v>0</v>
      </c>
    </row>
    <row r="38" spans="1:21" x14ac:dyDescent="0.25">
      <c r="A38" s="52"/>
      <c r="B38" s="36" t="str">
        <f t="shared" si="6"/>
        <v/>
      </c>
      <c r="C38" s="69"/>
      <c r="D38" s="69"/>
      <c r="E38" s="69"/>
      <c r="F38" s="69"/>
      <c r="G38" s="16"/>
      <c r="H38" s="38">
        <v>33</v>
      </c>
      <c r="I38" s="39" t="str">
        <f t="shared" si="4"/>
        <v/>
      </c>
      <c r="J38" s="38">
        <f t="shared" si="5"/>
        <v>-3</v>
      </c>
      <c r="K38" s="38">
        <f t="shared" si="0"/>
        <v>-30</v>
      </c>
      <c r="L38" s="38"/>
      <c r="M38" s="40">
        <f t="shared" si="1"/>
        <v>0</v>
      </c>
    </row>
    <row r="39" spans="1:21" x14ac:dyDescent="0.25">
      <c r="A39" s="51"/>
      <c r="B39" s="42" t="str">
        <f t="shared" si="6"/>
        <v/>
      </c>
      <c r="C39" s="70"/>
      <c r="D39" s="70"/>
      <c r="E39" s="70"/>
      <c r="F39" s="70"/>
      <c r="G39" s="16"/>
      <c r="H39" s="44">
        <v>34</v>
      </c>
      <c r="I39" s="45" t="str">
        <f t="shared" si="4"/>
        <v/>
      </c>
      <c r="J39" s="44">
        <f t="shared" si="5"/>
        <v>-3</v>
      </c>
      <c r="K39" s="44">
        <f t="shared" si="0"/>
        <v>-30</v>
      </c>
      <c r="L39" s="44"/>
      <c r="M39" s="46">
        <f t="shared" si="1"/>
        <v>0</v>
      </c>
    </row>
    <row r="40" spans="1:21" x14ac:dyDescent="0.25">
      <c r="A40" s="52"/>
      <c r="B40" s="36" t="str">
        <f t="shared" si="6"/>
        <v/>
      </c>
      <c r="C40" s="69"/>
      <c r="D40" s="69"/>
      <c r="E40" s="69"/>
      <c r="F40" s="69"/>
      <c r="G40" s="16"/>
      <c r="H40" s="38">
        <v>35</v>
      </c>
      <c r="I40" s="39" t="str">
        <f t="shared" si="4"/>
        <v/>
      </c>
      <c r="J40" s="38">
        <f t="shared" si="5"/>
        <v>-3</v>
      </c>
      <c r="K40" s="38">
        <f t="shared" si="0"/>
        <v>-30</v>
      </c>
      <c r="L40" s="38"/>
      <c r="M40" s="40">
        <f t="shared" si="1"/>
        <v>0</v>
      </c>
    </row>
    <row r="41" spans="1:21" x14ac:dyDescent="0.25">
      <c r="A41" s="51"/>
      <c r="B41" s="42" t="str">
        <f t="shared" si="6"/>
        <v/>
      </c>
      <c r="C41" s="70"/>
      <c r="D41" s="70"/>
      <c r="E41" s="70"/>
      <c r="F41" s="70"/>
      <c r="G41" s="16"/>
      <c r="H41" s="44">
        <v>36</v>
      </c>
      <c r="I41" s="45" t="str">
        <f t="shared" si="4"/>
        <v/>
      </c>
      <c r="J41" s="44">
        <f t="shared" si="5"/>
        <v>-3</v>
      </c>
      <c r="K41" s="44">
        <f t="shared" si="0"/>
        <v>-30</v>
      </c>
      <c r="L41" s="44"/>
      <c r="M41" s="46">
        <f t="shared" si="1"/>
        <v>0</v>
      </c>
      <c r="S41" s="58"/>
    </row>
    <row r="42" spans="1:21" x14ac:dyDescent="0.25">
      <c r="A42" s="52"/>
      <c r="B42" s="36" t="str">
        <f t="shared" si="6"/>
        <v/>
      </c>
      <c r="C42" s="69"/>
      <c r="D42" s="69"/>
      <c r="E42" s="69"/>
      <c r="F42" s="69"/>
      <c r="G42" s="16"/>
      <c r="H42" s="38">
        <v>37</v>
      </c>
      <c r="I42" s="39" t="str">
        <f t="shared" si="4"/>
        <v/>
      </c>
      <c r="J42" s="38">
        <f t="shared" si="5"/>
        <v>-3</v>
      </c>
      <c r="K42" s="38">
        <f t="shared" si="0"/>
        <v>-30</v>
      </c>
      <c r="L42" s="38"/>
      <c r="M42" s="40">
        <f t="shared" si="1"/>
        <v>0</v>
      </c>
    </row>
    <row r="43" spans="1:21" x14ac:dyDescent="0.25">
      <c r="A43" s="51"/>
      <c r="B43" s="42" t="str">
        <f t="shared" si="6"/>
        <v/>
      </c>
      <c r="C43" s="70"/>
      <c r="D43" s="70"/>
      <c r="E43" s="70"/>
      <c r="F43" s="70"/>
      <c r="G43" s="16"/>
      <c r="H43" s="44">
        <v>38</v>
      </c>
      <c r="I43" s="45" t="str">
        <f t="shared" si="4"/>
        <v/>
      </c>
      <c r="J43" s="44">
        <f t="shared" si="5"/>
        <v>-3</v>
      </c>
      <c r="K43" s="44">
        <f t="shared" si="0"/>
        <v>-30</v>
      </c>
      <c r="L43" s="44"/>
      <c r="M43" s="46">
        <f t="shared" si="1"/>
        <v>0</v>
      </c>
    </row>
    <row r="44" spans="1:21" x14ac:dyDescent="0.25">
      <c r="A44" s="52"/>
      <c r="B44" s="36" t="str">
        <f t="shared" si="6"/>
        <v/>
      </c>
      <c r="C44" s="69"/>
      <c r="D44" s="69"/>
      <c r="E44" s="69"/>
      <c r="F44" s="69"/>
      <c r="G44" s="16"/>
      <c r="H44" s="38">
        <v>39</v>
      </c>
      <c r="I44" s="39" t="str">
        <f t="shared" si="4"/>
        <v/>
      </c>
      <c r="J44" s="38">
        <f t="shared" si="5"/>
        <v>-3</v>
      </c>
      <c r="K44" s="38">
        <f t="shared" si="0"/>
        <v>-30</v>
      </c>
      <c r="L44" s="38"/>
      <c r="M44" s="40">
        <f t="shared" si="1"/>
        <v>0</v>
      </c>
    </row>
    <row r="45" spans="1:21" x14ac:dyDescent="0.25">
      <c r="A45" s="51"/>
      <c r="B45" s="42" t="str">
        <f t="shared" si="6"/>
        <v/>
      </c>
      <c r="C45" s="70"/>
      <c r="D45" s="70"/>
      <c r="E45" s="70"/>
      <c r="F45" s="70"/>
      <c r="G45" s="16"/>
      <c r="H45" s="44">
        <v>40</v>
      </c>
      <c r="I45" s="45" t="str">
        <f t="shared" si="4"/>
        <v/>
      </c>
      <c r="J45" s="44">
        <f t="shared" si="5"/>
        <v>-3</v>
      </c>
      <c r="K45" s="44">
        <f t="shared" si="0"/>
        <v>-30</v>
      </c>
      <c r="L45" s="44"/>
      <c r="M45" s="46">
        <f t="shared" si="1"/>
        <v>0</v>
      </c>
    </row>
    <row r="46" spans="1:21" x14ac:dyDescent="0.25">
      <c r="A46" s="52"/>
      <c r="B46" s="36" t="str">
        <f t="shared" si="6"/>
        <v/>
      </c>
      <c r="C46" s="69"/>
      <c r="D46" s="69"/>
      <c r="E46" s="69"/>
      <c r="F46" s="69"/>
      <c r="G46" s="16"/>
      <c r="H46" s="38">
        <v>41</v>
      </c>
      <c r="I46" s="39" t="str">
        <f t="shared" si="4"/>
        <v/>
      </c>
      <c r="J46" s="38">
        <f t="shared" si="5"/>
        <v>-3</v>
      </c>
      <c r="K46" s="38">
        <f t="shared" si="0"/>
        <v>-30</v>
      </c>
      <c r="L46" s="38"/>
      <c r="M46" s="40">
        <f t="shared" si="1"/>
        <v>0</v>
      </c>
      <c r="R46" s="16">
        <f>LOG($H$2,2)</f>
        <v>2.5849625007211561</v>
      </c>
      <c r="T46" s="21">
        <f>LOG(H38,2)</f>
        <v>5.0443941193584534</v>
      </c>
      <c r="U46" s="21">
        <f>R46-T46</f>
        <v>-2.4594316186372973</v>
      </c>
    </row>
    <row r="47" spans="1:21" x14ac:dyDescent="0.25">
      <c r="A47" s="51"/>
      <c r="B47" s="42" t="str">
        <f t="shared" si="6"/>
        <v/>
      </c>
      <c r="C47" s="70"/>
      <c r="D47" s="70"/>
      <c r="E47" s="70"/>
      <c r="F47" s="70"/>
      <c r="G47" s="16"/>
      <c r="H47" s="44">
        <v>42</v>
      </c>
      <c r="I47" s="45" t="str">
        <f t="shared" si="4"/>
        <v/>
      </c>
      <c r="J47" s="44">
        <f t="shared" si="5"/>
        <v>-3</v>
      </c>
      <c r="K47" s="44">
        <f t="shared" si="0"/>
        <v>-30</v>
      </c>
      <c r="L47" s="44"/>
      <c r="M47" s="46">
        <f t="shared" si="1"/>
        <v>0</v>
      </c>
    </row>
    <row r="48" spans="1:21" x14ac:dyDescent="0.25">
      <c r="A48" s="52"/>
      <c r="B48" s="36" t="str">
        <f t="shared" si="6"/>
        <v/>
      </c>
      <c r="C48" s="69"/>
      <c r="D48" s="69"/>
      <c r="E48" s="69"/>
      <c r="F48" s="69"/>
      <c r="G48" s="16"/>
      <c r="H48" s="38">
        <v>43</v>
      </c>
      <c r="I48" s="39" t="str">
        <f t="shared" si="4"/>
        <v/>
      </c>
      <c r="J48" s="38">
        <f t="shared" si="5"/>
        <v>-3</v>
      </c>
      <c r="K48" s="38">
        <f t="shared" si="0"/>
        <v>-30</v>
      </c>
      <c r="L48" s="38"/>
      <c r="M48" s="40">
        <f t="shared" si="1"/>
        <v>0</v>
      </c>
    </row>
    <row r="49" spans="1:13" x14ac:dyDescent="0.25">
      <c r="A49" s="51"/>
      <c r="B49" s="42" t="str">
        <f t="shared" si="6"/>
        <v/>
      </c>
      <c r="C49" s="70"/>
      <c r="D49" s="70"/>
      <c r="E49" s="70"/>
      <c r="F49" s="70"/>
      <c r="G49" s="16"/>
      <c r="H49" s="44">
        <v>44</v>
      </c>
      <c r="I49" s="45" t="str">
        <f t="shared" si="4"/>
        <v/>
      </c>
      <c r="J49" s="44">
        <f t="shared" si="5"/>
        <v>-3</v>
      </c>
      <c r="K49" s="44">
        <f t="shared" si="0"/>
        <v>-30</v>
      </c>
      <c r="L49" s="44"/>
      <c r="M49" s="46">
        <f t="shared" si="1"/>
        <v>0</v>
      </c>
    </row>
    <row r="50" spans="1:13" x14ac:dyDescent="0.25">
      <c r="A50" s="52"/>
      <c r="B50" s="36" t="str">
        <f t="shared" si="6"/>
        <v/>
      </c>
      <c r="C50" s="69"/>
      <c r="D50" s="69"/>
      <c r="E50" s="69"/>
      <c r="F50" s="69"/>
      <c r="G50" s="16"/>
      <c r="H50" s="38">
        <v>45</v>
      </c>
      <c r="I50" s="39" t="str">
        <f t="shared" si="4"/>
        <v/>
      </c>
      <c r="J50" s="38">
        <f t="shared" si="5"/>
        <v>-3</v>
      </c>
      <c r="K50" s="38">
        <f t="shared" si="0"/>
        <v>-30</v>
      </c>
      <c r="L50" s="38"/>
      <c r="M50" s="40">
        <f t="shared" si="1"/>
        <v>0</v>
      </c>
    </row>
    <row r="51" spans="1:13" x14ac:dyDescent="0.25">
      <c r="A51" s="51"/>
      <c r="B51" s="42" t="str">
        <f t="shared" si="6"/>
        <v/>
      </c>
      <c r="C51" s="70"/>
      <c r="D51" s="70"/>
      <c r="E51" s="70"/>
      <c r="F51" s="70"/>
      <c r="G51" s="16"/>
      <c r="H51" s="44">
        <v>46</v>
      </c>
      <c r="I51" s="45" t="str">
        <f t="shared" si="4"/>
        <v/>
      </c>
      <c r="J51" s="44">
        <f t="shared" si="5"/>
        <v>-3</v>
      </c>
      <c r="K51" s="44">
        <f t="shared" si="0"/>
        <v>-30</v>
      </c>
      <c r="L51" s="44"/>
      <c r="M51" s="46">
        <f t="shared" si="1"/>
        <v>0</v>
      </c>
    </row>
    <row r="52" spans="1:13" x14ac:dyDescent="0.25">
      <c r="A52" s="52"/>
      <c r="B52" s="36" t="str">
        <f t="shared" si="6"/>
        <v/>
      </c>
      <c r="C52" s="69"/>
      <c r="D52" s="69"/>
      <c r="E52" s="69"/>
      <c r="F52" s="69"/>
      <c r="G52" s="16"/>
      <c r="H52" s="38">
        <v>47</v>
      </c>
      <c r="I52" s="39" t="str">
        <f t="shared" si="4"/>
        <v/>
      </c>
      <c r="J52" s="38">
        <f t="shared" si="5"/>
        <v>-3</v>
      </c>
      <c r="K52" s="38">
        <f t="shared" si="0"/>
        <v>-30</v>
      </c>
      <c r="L52" s="38"/>
      <c r="M52" s="40">
        <f t="shared" si="1"/>
        <v>0</v>
      </c>
    </row>
    <row r="53" spans="1:13" x14ac:dyDescent="0.25">
      <c r="A53" s="51"/>
      <c r="B53" s="42" t="str">
        <f t="shared" si="6"/>
        <v/>
      </c>
      <c r="C53" s="70"/>
      <c r="D53" s="70"/>
      <c r="E53" s="70"/>
      <c r="F53" s="70"/>
      <c r="G53" s="16"/>
      <c r="H53" s="44">
        <v>48</v>
      </c>
      <c r="I53" s="45" t="str">
        <f t="shared" si="4"/>
        <v/>
      </c>
      <c r="J53" s="44">
        <f t="shared" si="5"/>
        <v>-3</v>
      </c>
      <c r="K53" s="44">
        <f t="shared" si="0"/>
        <v>-30</v>
      </c>
      <c r="L53" s="44"/>
      <c r="M53" s="46">
        <f t="shared" si="1"/>
        <v>0</v>
      </c>
    </row>
    <row r="54" spans="1:13" x14ac:dyDescent="0.25">
      <c r="A54" s="52"/>
      <c r="B54" s="36" t="str">
        <f t="shared" si="6"/>
        <v/>
      </c>
      <c r="C54" s="69"/>
      <c r="D54" s="69"/>
      <c r="E54" s="69"/>
      <c r="F54" s="69"/>
      <c r="G54" s="16"/>
      <c r="H54" s="38">
        <v>49</v>
      </c>
      <c r="I54" s="39" t="str">
        <f t="shared" si="4"/>
        <v/>
      </c>
      <c r="J54" s="38">
        <f t="shared" si="5"/>
        <v>-3</v>
      </c>
      <c r="K54" s="38">
        <f t="shared" si="0"/>
        <v>-30</v>
      </c>
      <c r="L54" s="38"/>
      <c r="M54" s="40">
        <f t="shared" si="1"/>
        <v>0</v>
      </c>
    </row>
    <row r="55" spans="1:13" x14ac:dyDescent="0.25">
      <c r="A55" s="51"/>
      <c r="B55" s="42" t="str">
        <f t="shared" si="6"/>
        <v/>
      </c>
      <c r="C55" s="70"/>
      <c r="D55" s="70"/>
      <c r="E55" s="70"/>
      <c r="F55" s="70"/>
      <c r="G55" s="16"/>
      <c r="H55" s="44">
        <v>50</v>
      </c>
      <c r="I55" s="45" t="str">
        <f t="shared" si="4"/>
        <v/>
      </c>
      <c r="J55" s="44">
        <f t="shared" si="5"/>
        <v>-3</v>
      </c>
      <c r="K55" s="44">
        <f t="shared" si="0"/>
        <v>-30</v>
      </c>
      <c r="L55" s="44"/>
      <c r="M55" s="46">
        <f t="shared" si="1"/>
        <v>0</v>
      </c>
    </row>
    <row r="56" spans="1:13" x14ac:dyDescent="0.25">
      <c r="A56" s="52"/>
      <c r="B56" s="36" t="str">
        <f t="shared" si="6"/>
        <v/>
      </c>
      <c r="C56" s="69"/>
      <c r="D56" s="69"/>
      <c r="E56" s="69"/>
      <c r="F56" s="69"/>
      <c r="G56" s="16"/>
      <c r="H56" s="38">
        <v>51</v>
      </c>
      <c r="I56" s="39" t="str">
        <f t="shared" si="4"/>
        <v/>
      </c>
      <c r="J56" s="38">
        <f t="shared" si="5"/>
        <v>-3</v>
      </c>
      <c r="K56" s="38">
        <f t="shared" si="0"/>
        <v>-30</v>
      </c>
      <c r="L56" s="38"/>
      <c r="M56" s="40">
        <f t="shared" si="1"/>
        <v>0</v>
      </c>
    </row>
    <row r="57" spans="1:13" x14ac:dyDescent="0.25">
      <c r="A57" s="51"/>
      <c r="B57" s="42" t="str">
        <f t="shared" si="6"/>
        <v/>
      </c>
      <c r="C57" s="70"/>
      <c r="D57" s="70"/>
      <c r="E57" s="70"/>
      <c r="F57" s="70"/>
      <c r="G57" s="16"/>
      <c r="H57" s="44">
        <v>52</v>
      </c>
      <c r="I57" s="45" t="str">
        <f t="shared" si="4"/>
        <v/>
      </c>
      <c r="J57" s="44">
        <f t="shared" si="5"/>
        <v>-3</v>
      </c>
      <c r="K57" s="44">
        <f t="shared" si="0"/>
        <v>-30</v>
      </c>
      <c r="L57" s="44"/>
      <c r="M57" s="46">
        <f t="shared" si="1"/>
        <v>0</v>
      </c>
    </row>
    <row r="58" spans="1:13" x14ac:dyDescent="0.25">
      <c r="A58" s="52"/>
      <c r="B58" s="36" t="str">
        <f t="shared" si="6"/>
        <v/>
      </c>
      <c r="C58" s="69"/>
      <c r="D58" s="69"/>
      <c r="E58" s="69"/>
      <c r="F58" s="69"/>
      <c r="G58" s="16"/>
      <c r="H58" s="38">
        <v>53</v>
      </c>
      <c r="I58" s="39" t="str">
        <f t="shared" si="4"/>
        <v/>
      </c>
      <c r="J58" s="38">
        <f t="shared" si="5"/>
        <v>-3</v>
      </c>
      <c r="K58" s="38">
        <f t="shared" si="0"/>
        <v>-30</v>
      </c>
      <c r="L58" s="38"/>
      <c r="M58" s="40">
        <f t="shared" si="1"/>
        <v>0</v>
      </c>
    </row>
    <row r="59" spans="1:13" x14ac:dyDescent="0.25">
      <c r="A59" s="51"/>
      <c r="B59" s="42" t="str">
        <f t="shared" si="6"/>
        <v/>
      </c>
      <c r="C59" s="70"/>
      <c r="D59" s="70"/>
      <c r="E59" s="70"/>
      <c r="F59" s="70"/>
      <c r="G59" s="16"/>
      <c r="H59" s="44">
        <v>54</v>
      </c>
      <c r="I59" s="45" t="str">
        <f t="shared" si="4"/>
        <v/>
      </c>
      <c r="J59" s="44">
        <f t="shared" si="5"/>
        <v>-3</v>
      </c>
      <c r="K59" s="44">
        <f t="shared" si="0"/>
        <v>-30</v>
      </c>
      <c r="L59" s="44"/>
      <c r="M59" s="46">
        <f t="shared" si="1"/>
        <v>0</v>
      </c>
    </row>
    <row r="60" spans="1:13" x14ac:dyDescent="0.25">
      <c r="A60" s="52"/>
      <c r="B60" s="36" t="str">
        <f t="shared" si="6"/>
        <v/>
      </c>
      <c r="C60" s="69"/>
      <c r="D60" s="69"/>
      <c r="E60" s="69"/>
      <c r="F60" s="69"/>
      <c r="G60" s="16"/>
      <c r="H60" s="38">
        <v>55</v>
      </c>
      <c r="I60" s="39" t="str">
        <f t="shared" si="4"/>
        <v/>
      </c>
      <c r="J60" s="38">
        <f t="shared" si="5"/>
        <v>-3</v>
      </c>
      <c r="K60" s="38">
        <f t="shared" si="0"/>
        <v>-30</v>
      </c>
      <c r="L60" s="38"/>
      <c r="M60" s="40">
        <f t="shared" si="1"/>
        <v>0</v>
      </c>
    </row>
    <row r="61" spans="1:13" x14ac:dyDescent="0.25">
      <c r="A61" s="51"/>
      <c r="B61" s="42" t="str">
        <f t="shared" si="6"/>
        <v/>
      </c>
      <c r="C61" s="70"/>
      <c r="D61" s="70"/>
      <c r="E61" s="70"/>
      <c r="F61" s="70"/>
      <c r="G61" s="16"/>
      <c r="H61" s="44">
        <v>56</v>
      </c>
      <c r="I61" s="45" t="str">
        <f t="shared" si="4"/>
        <v/>
      </c>
      <c r="J61" s="44">
        <f t="shared" si="5"/>
        <v>-3</v>
      </c>
      <c r="K61" s="44">
        <f t="shared" si="0"/>
        <v>-30</v>
      </c>
      <c r="L61" s="44"/>
      <c r="M61" s="46">
        <f t="shared" si="1"/>
        <v>0</v>
      </c>
    </row>
    <row r="62" spans="1:13" x14ac:dyDescent="0.25">
      <c r="A62" s="52"/>
      <c r="B62" s="36" t="str">
        <f t="shared" si="6"/>
        <v/>
      </c>
      <c r="C62" s="69"/>
      <c r="D62" s="69"/>
      <c r="E62" s="69"/>
      <c r="F62" s="69"/>
      <c r="G62" s="16"/>
      <c r="H62" s="38">
        <v>57</v>
      </c>
      <c r="I62" s="39" t="str">
        <f t="shared" si="4"/>
        <v/>
      </c>
      <c r="J62" s="38">
        <f t="shared" si="5"/>
        <v>-3</v>
      </c>
      <c r="K62" s="38">
        <f t="shared" si="0"/>
        <v>-30</v>
      </c>
      <c r="L62" s="38"/>
      <c r="M62" s="40">
        <f t="shared" si="1"/>
        <v>0</v>
      </c>
    </row>
    <row r="63" spans="1:13" x14ac:dyDescent="0.25">
      <c r="A63" s="51"/>
      <c r="B63" s="42" t="str">
        <f t="shared" si="6"/>
        <v/>
      </c>
      <c r="C63" s="70"/>
      <c r="D63" s="70"/>
      <c r="E63" s="70"/>
      <c r="F63" s="70"/>
      <c r="G63" s="16"/>
      <c r="H63" s="44">
        <v>58</v>
      </c>
      <c r="I63" s="45" t="str">
        <f t="shared" si="4"/>
        <v/>
      </c>
      <c r="J63" s="44">
        <f t="shared" si="5"/>
        <v>-3</v>
      </c>
      <c r="K63" s="44">
        <f t="shared" si="0"/>
        <v>-30</v>
      </c>
      <c r="L63" s="44"/>
      <c r="M63" s="46">
        <f t="shared" si="1"/>
        <v>0</v>
      </c>
    </row>
    <row r="64" spans="1:13" x14ac:dyDescent="0.25">
      <c r="A64" s="52"/>
      <c r="B64" s="36" t="str">
        <f t="shared" si="6"/>
        <v/>
      </c>
      <c r="C64" s="69"/>
      <c r="D64" s="69"/>
      <c r="E64" s="69"/>
      <c r="F64" s="69"/>
      <c r="G64" s="16"/>
      <c r="H64" s="38">
        <v>59</v>
      </c>
      <c r="I64" s="39" t="str">
        <f t="shared" si="4"/>
        <v/>
      </c>
      <c r="J64" s="38">
        <f t="shared" si="5"/>
        <v>-3</v>
      </c>
      <c r="K64" s="38">
        <f t="shared" si="0"/>
        <v>-30</v>
      </c>
      <c r="L64" s="38"/>
      <c r="M64" s="40">
        <f t="shared" si="1"/>
        <v>0</v>
      </c>
    </row>
    <row r="65" spans="1:13" x14ac:dyDescent="0.25">
      <c r="A65" s="51"/>
      <c r="B65" s="42" t="str">
        <f t="shared" si="6"/>
        <v/>
      </c>
      <c r="C65" s="70"/>
      <c r="D65" s="70"/>
      <c r="E65" s="70"/>
      <c r="F65" s="70"/>
      <c r="G65" s="16"/>
      <c r="H65" s="44">
        <v>60</v>
      </c>
      <c r="I65" s="45" t="str">
        <f t="shared" si="4"/>
        <v/>
      </c>
      <c r="J65" s="44">
        <f t="shared" si="5"/>
        <v>-3</v>
      </c>
      <c r="K65" s="44">
        <f t="shared" si="0"/>
        <v>-30</v>
      </c>
      <c r="L65" s="44"/>
      <c r="M65" s="46">
        <f t="shared" si="1"/>
        <v>0</v>
      </c>
    </row>
    <row r="66" spans="1:13" x14ac:dyDescent="0.25">
      <c r="A66" s="59"/>
      <c r="B66" s="36"/>
      <c r="C66" s="71"/>
      <c r="D66" s="71"/>
      <c r="E66" s="71"/>
      <c r="F66" s="71"/>
      <c r="G66" s="16"/>
      <c r="H66" s="38">
        <v>61</v>
      </c>
      <c r="I66" s="39" t="str">
        <f t="shared" si="4"/>
        <v/>
      </c>
      <c r="J66" s="38">
        <f t="shared" si="5"/>
        <v>-3</v>
      </c>
      <c r="K66" s="38">
        <f t="shared" si="0"/>
        <v>-30</v>
      </c>
      <c r="L66" s="38"/>
      <c r="M66" s="40">
        <f t="shared" si="1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-3</v>
      </c>
      <c r="K67" s="38">
        <f t="shared" si="0"/>
        <v>-30</v>
      </c>
      <c r="L67" s="38"/>
      <c r="M67" s="40">
        <f t="shared" si="1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-3</v>
      </c>
      <c r="K68" s="38">
        <f t="shared" si="0"/>
        <v>-30</v>
      </c>
      <c r="L68" s="38"/>
      <c r="M68" s="40">
        <f t="shared" si="1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-3</v>
      </c>
      <c r="K69" s="38">
        <f t="shared" si="0"/>
        <v>-30</v>
      </c>
      <c r="L69" s="38"/>
      <c r="M69" s="40">
        <f t="shared" si="1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-4</v>
      </c>
      <c r="K70" s="38">
        <f t="shared" ref="K70:K133" si="8">J70*$J$2</f>
        <v>-40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26" si="10">INT(LOG($H$2,2))-ROUNDUP(LOG(H71,2),0)+IF(OR($H$2=1,$H$2=2,$H$2=4,$H$2=8,$H$2=16,$H$2=32,$H$2=64,$H$2=128,$H$2=256),0,1)</f>
        <v>-4</v>
      </c>
      <c r="K71" s="38">
        <f t="shared" si="8"/>
        <v>-40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-4</v>
      </c>
      <c r="K72" s="38">
        <f t="shared" si="8"/>
        <v>-40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-4</v>
      </c>
      <c r="K73" s="38">
        <f t="shared" si="8"/>
        <v>-40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-4</v>
      </c>
      <c r="K74" s="38">
        <f t="shared" si="8"/>
        <v>-40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-4</v>
      </c>
      <c r="K75" s="38">
        <f t="shared" si="8"/>
        <v>-40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-4</v>
      </c>
      <c r="K76" s="38">
        <f t="shared" si="8"/>
        <v>-40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-4</v>
      </c>
      <c r="K77" s="38">
        <f t="shared" si="8"/>
        <v>-40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-4</v>
      </c>
      <c r="K78" s="38">
        <f t="shared" si="8"/>
        <v>-40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-4</v>
      </c>
      <c r="K79" s="38">
        <f t="shared" si="8"/>
        <v>-40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-4</v>
      </c>
      <c r="K80" s="38">
        <f t="shared" si="8"/>
        <v>-40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-4</v>
      </c>
      <c r="K81" s="38">
        <f t="shared" si="8"/>
        <v>-40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-4</v>
      </c>
      <c r="K82" s="38">
        <f t="shared" si="8"/>
        <v>-40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-4</v>
      </c>
      <c r="K83" s="38">
        <f t="shared" si="8"/>
        <v>-40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-4</v>
      </c>
      <c r="K84" s="38">
        <f t="shared" si="8"/>
        <v>-40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-4</v>
      </c>
      <c r="K85" s="38">
        <f t="shared" si="8"/>
        <v>-40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-4</v>
      </c>
      <c r="K86" s="38">
        <f t="shared" si="8"/>
        <v>-40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-4</v>
      </c>
      <c r="K87" s="38">
        <f t="shared" si="8"/>
        <v>-40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-4</v>
      </c>
      <c r="K88" s="38">
        <f t="shared" si="8"/>
        <v>-40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-4</v>
      </c>
      <c r="K89" s="38">
        <f t="shared" si="8"/>
        <v>-40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-4</v>
      </c>
      <c r="K90" s="38">
        <f t="shared" si="8"/>
        <v>-40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-4</v>
      </c>
      <c r="K91" s="38">
        <f t="shared" si="8"/>
        <v>-40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-4</v>
      </c>
      <c r="K92" s="38">
        <f t="shared" si="8"/>
        <v>-40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-4</v>
      </c>
      <c r="K93" s="38">
        <f t="shared" si="8"/>
        <v>-40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-4</v>
      </c>
      <c r="K94" s="38">
        <f t="shared" si="8"/>
        <v>-40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-4</v>
      </c>
      <c r="K95" s="38">
        <f t="shared" si="8"/>
        <v>-40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-4</v>
      </c>
      <c r="K96" s="38">
        <f t="shared" si="8"/>
        <v>-40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-4</v>
      </c>
      <c r="K97" s="38">
        <f t="shared" si="8"/>
        <v>-40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-4</v>
      </c>
      <c r="K98" s="38">
        <f t="shared" si="8"/>
        <v>-40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-4</v>
      </c>
      <c r="K99" s="38">
        <f t="shared" si="8"/>
        <v>-40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-4</v>
      </c>
      <c r="K100" s="38">
        <f t="shared" si="8"/>
        <v>-40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-4</v>
      </c>
      <c r="K101" s="38">
        <f t="shared" si="8"/>
        <v>-40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-4</v>
      </c>
      <c r="K102" s="38">
        <f t="shared" si="8"/>
        <v>-40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-4</v>
      </c>
      <c r="K103" s="38">
        <f t="shared" si="8"/>
        <v>-40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-4</v>
      </c>
      <c r="K104" s="38">
        <f t="shared" si="8"/>
        <v>-40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-4</v>
      </c>
      <c r="K105" s="38">
        <f t="shared" si="8"/>
        <v>-40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-4</v>
      </c>
      <c r="K106" s="38">
        <f t="shared" si="8"/>
        <v>-40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-4</v>
      </c>
      <c r="K107" s="38">
        <f t="shared" si="8"/>
        <v>-40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-4</v>
      </c>
      <c r="K108" s="38">
        <f t="shared" si="8"/>
        <v>-40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-4</v>
      </c>
      <c r="K109" s="38">
        <f t="shared" si="8"/>
        <v>-40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-4</v>
      </c>
      <c r="K110" s="38">
        <f t="shared" si="8"/>
        <v>-40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-4</v>
      </c>
      <c r="K111" s="38">
        <f t="shared" si="8"/>
        <v>-40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-4</v>
      </c>
      <c r="K112" s="38">
        <f t="shared" si="8"/>
        <v>-40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-4</v>
      </c>
      <c r="K113" s="38">
        <f t="shared" si="8"/>
        <v>-40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-4</v>
      </c>
      <c r="K114" s="38">
        <f t="shared" si="8"/>
        <v>-40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-4</v>
      </c>
      <c r="K115" s="38">
        <f t="shared" si="8"/>
        <v>-40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-4</v>
      </c>
      <c r="K116" s="38">
        <f t="shared" si="8"/>
        <v>-40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-4</v>
      </c>
      <c r="K117" s="38">
        <f t="shared" si="8"/>
        <v>-40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-4</v>
      </c>
      <c r="K118" s="38">
        <f t="shared" si="8"/>
        <v>-40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-4</v>
      </c>
      <c r="K119" s="38">
        <f t="shared" si="8"/>
        <v>-40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-4</v>
      </c>
      <c r="K120" s="38">
        <f t="shared" si="8"/>
        <v>-40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-4</v>
      </c>
      <c r="K121" s="38">
        <f t="shared" si="8"/>
        <v>-40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-4</v>
      </c>
      <c r="K122" s="38">
        <f t="shared" si="8"/>
        <v>-40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-4</v>
      </c>
      <c r="K123" s="38">
        <f t="shared" si="8"/>
        <v>-40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-4</v>
      </c>
      <c r="K124" s="38">
        <f t="shared" si="8"/>
        <v>-40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-4</v>
      </c>
      <c r="K125" s="38">
        <f t="shared" si="8"/>
        <v>-40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-4</v>
      </c>
      <c r="K126" s="38">
        <f t="shared" si="8"/>
        <v>-40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ref="J127:J134" si="11">INT(LOG($H$2,2))-ROUNDUP(LOG(H127,2),0)+IF(OR($H$2=1,$H$2=2,$H$2=4,$H$2=8,$H$2=16,$H$2=32,$H$2=64,$H$2=128,$H$2=256),1,0)</f>
        <v>-5</v>
      </c>
      <c r="K127" s="38">
        <f t="shared" si="8"/>
        <v>-50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1"/>
        <v>-5</v>
      </c>
      <c r="K128" s="38">
        <f t="shared" si="8"/>
        <v>-50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1"/>
        <v>-5</v>
      </c>
      <c r="K129" s="38">
        <f t="shared" si="8"/>
        <v>-50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1"/>
        <v>-5</v>
      </c>
      <c r="K130" s="38">
        <f t="shared" si="8"/>
        <v>-50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1"/>
        <v>-5</v>
      </c>
      <c r="K131" s="38">
        <f t="shared" si="8"/>
        <v>-50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1"/>
        <v>-5</v>
      </c>
      <c r="K132" s="38">
        <f t="shared" si="8"/>
        <v>-50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1"/>
        <v>-5</v>
      </c>
      <c r="K133" s="38">
        <f t="shared" si="8"/>
        <v>-50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2">IF(H134&lt;$H$2+1,($I$2-($I$2-1)*(LOG(H134)/LOG($H$2))),"")</f>
        <v/>
      </c>
      <c r="J134" s="38">
        <f t="shared" si="11"/>
        <v>-6</v>
      </c>
      <c r="K134" s="38">
        <f t="shared" ref="K134:K197" si="13">J134*$J$2</f>
        <v>-60</v>
      </c>
      <c r="L134" s="38"/>
      <c r="M134" s="40">
        <f t="shared" ref="M134:M197" si="14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2"/>
        <v/>
      </c>
      <c r="J135" s="38">
        <f t="shared" ref="J135:J198" si="15">INT(LOG($H$2,2))-ROUNDUP(LOG(H135,2),0)+IF(OR($H$2=1,$H$2=2,$H$2=4,$H$2=8,$H$2=16,$H$2=32,$H$2=64,$H$2=128,$H$2=256),1,0)</f>
        <v>-6</v>
      </c>
      <c r="K135" s="38">
        <f t="shared" si="13"/>
        <v>-60</v>
      </c>
      <c r="L135" s="38"/>
      <c r="M135" s="40">
        <f t="shared" si="14"/>
        <v>0</v>
      </c>
    </row>
    <row r="136" spans="1:13" x14ac:dyDescent="0.25">
      <c r="A136" s="59"/>
      <c r="G136" s="16"/>
      <c r="H136" s="38">
        <v>131</v>
      </c>
      <c r="I136" s="39" t="str">
        <f t="shared" si="12"/>
        <v/>
      </c>
      <c r="J136" s="38">
        <f t="shared" si="15"/>
        <v>-6</v>
      </c>
      <c r="K136" s="38">
        <f t="shared" si="13"/>
        <v>-60</v>
      </c>
      <c r="L136" s="38"/>
      <c r="M136" s="40">
        <f t="shared" si="14"/>
        <v>0</v>
      </c>
    </row>
    <row r="137" spans="1:13" x14ac:dyDescent="0.25">
      <c r="A137" s="59"/>
      <c r="G137" s="16"/>
      <c r="H137" s="38">
        <v>132</v>
      </c>
      <c r="I137" s="39" t="str">
        <f t="shared" si="12"/>
        <v/>
      </c>
      <c r="J137" s="38">
        <f t="shared" si="15"/>
        <v>-6</v>
      </c>
      <c r="K137" s="38">
        <f t="shared" si="13"/>
        <v>-60</v>
      </c>
      <c r="L137" s="38"/>
      <c r="M137" s="40">
        <f t="shared" si="14"/>
        <v>0</v>
      </c>
    </row>
    <row r="138" spans="1:13" x14ac:dyDescent="0.25">
      <c r="A138" s="59"/>
      <c r="G138" s="16"/>
      <c r="H138" s="38">
        <v>133</v>
      </c>
      <c r="I138" s="39" t="str">
        <f t="shared" si="12"/>
        <v/>
      </c>
      <c r="J138" s="38">
        <f t="shared" si="15"/>
        <v>-6</v>
      </c>
      <c r="K138" s="38">
        <f t="shared" si="13"/>
        <v>-60</v>
      </c>
      <c r="L138" s="38"/>
      <c r="M138" s="40">
        <f t="shared" si="14"/>
        <v>0</v>
      </c>
    </row>
    <row r="139" spans="1:13" x14ac:dyDescent="0.25">
      <c r="A139" s="59"/>
      <c r="G139" s="16"/>
      <c r="H139" s="38">
        <v>134</v>
      </c>
      <c r="I139" s="39" t="str">
        <f t="shared" si="12"/>
        <v/>
      </c>
      <c r="J139" s="38">
        <f t="shared" si="15"/>
        <v>-6</v>
      </c>
      <c r="K139" s="38">
        <f t="shared" si="13"/>
        <v>-60</v>
      </c>
      <c r="L139" s="38"/>
      <c r="M139" s="40">
        <f t="shared" si="14"/>
        <v>0</v>
      </c>
    </row>
    <row r="140" spans="1:13" x14ac:dyDescent="0.25">
      <c r="A140" s="59"/>
      <c r="G140" s="16"/>
      <c r="H140" s="38">
        <v>135</v>
      </c>
      <c r="I140" s="39" t="str">
        <f t="shared" si="12"/>
        <v/>
      </c>
      <c r="J140" s="38">
        <f t="shared" si="15"/>
        <v>-6</v>
      </c>
      <c r="K140" s="38">
        <f t="shared" si="13"/>
        <v>-60</v>
      </c>
      <c r="L140" s="38"/>
      <c r="M140" s="40">
        <f t="shared" si="14"/>
        <v>0</v>
      </c>
    </row>
    <row r="141" spans="1:13" x14ac:dyDescent="0.25">
      <c r="A141" s="59"/>
      <c r="G141" s="16"/>
      <c r="H141" s="38">
        <v>136</v>
      </c>
      <c r="I141" s="39" t="str">
        <f t="shared" si="12"/>
        <v/>
      </c>
      <c r="J141" s="38">
        <f t="shared" si="15"/>
        <v>-6</v>
      </c>
      <c r="K141" s="38">
        <f t="shared" si="13"/>
        <v>-60</v>
      </c>
      <c r="L141" s="38"/>
      <c r="M141" s="40">
        <f t="shared" si="14"/>
        <v>0</v>
      </c>
    </row>
    <row r="142" spans="1:13" x14ac:dyDescent="0.25">
      <c r="A142" s="59"/>
      <c r="G142" s="16"/>
      <c r="H142" s="38">
        <v>137</v>
      </c>
      <c r="I142" s="39" t="str">
        <f t="shared" si="12"/>
        <v/>
      </c>
      <c r="J142" s="38">
        <f t="shared" si="15"/>
        <v>-6</v>
      </c>
      <c r="K142" s="38">
        <f t="shared" si="13"/>
        <v>-60</v>
      </c>
      <c r="L142" s="38"/>
      <c r="M142" s="40">
        <f t="shared" si="14"/>
        <v>0</v>
      </c>
    </row>
    <row r="143" spans="1:13" x14ac:dyDescent="0.25">
      <c r="A143" s="59"/>
      <c r="G143" s="16"/>
      <c r="H143" s="38">
        <v>138</v>
      </c>
      <c r="I143" s="39" t="str">
        <f t="shared" si="12"/>
        <v/>
      </c>
      <c r="J143" s="38">
        <f t="shared" si="15"/>
        <v>-6</v>
      </c>
      <c r="K143" s="38">
        <f t="shared" si="13"/>
        <v>-60</v>
      </c>
      <c r="L143" s="38"/>
      <c r="M143" s="40">
        <f t="shared" si="14"/>
        <v>0</v>
      </c>
    </row>
    <row r="144" spans="1:13" x14ac:dyDescent="0.25">
      <c r="A144" s="59"/>
      <c r="G144" s="16"/>
      <c r="H144" s="38">
        <v>139</v>
      </c>
      <c r="I144" s="39" t="str">
        <f t="shared" si="12"/>
        <v/>
      </c>
      <c r="J144" s="38">
        <f t="shared" si="15"/>
        <v>-6</v>
      </c>
      <c r="K144" s="38">
        <f t="shared" si="13"/>
        <v>-60</v>
      </c>
      <c r="L144" s="38"/>
      <c r="M144" s="40">
        <f t="shared" si="14"/>
        <v>0</v>
      </c>
    </row>
    <row r="145" spans="1:13" x14ac:dyDescent="0.25">
      <c r="A145" s="59"/>
      <c r="G145" s="16"/>
      <c r="H145" s="38">
        <v>140</v>
      </c>
      <c r="I145" s="39" t="str">
        <f t="shared" si="12"/>
        <v/>
      </c>
      <c r="J145" s="38">
        <f t="shared" si="15"/>
        <v>-6</v>
      </c>
      <c r="K145" s="38">
        <f t="shared" si="13"/>
        <v>-60</v>
      </c>
      <c r="L145" s="38"/>
      <c r="M145" s="40">
        <f t="shared" si="14"/>
        <v>0</v>
      </c>
    </row>
    <row r="146" spans="1:13" x14ac:dyDescent="0.25">
      <c r="A146" s="59"/>
      <c r="G146" s="16"/>
      <c r="H146" s="38">
        <v>141</v>
      </c>
      <c r="I146" s="39" t="str">
        <f t="shared" si="12"/>
        <v/>
      </c>
      <c r="J146" s="38">
        <f t="shared" si="15"/>
        <v>-6</v>
      </c>
      <c r="K146" s="38">
        <f t="shared" si="13"/>
        <v>-60</v>
      </c>
      <c r="L146" s="38"/>
      <c r="M146" s="40">
        <f t="shared" si="14"/>
        <v>0</v>
      </c>
    </row>
    <row r="147" spans="1:13" x14ac:dyDescent="0.25">
      <c r="A147" s="59"/>
      <c r="G147" s="16"/>
      <c r="H147" s="38">
        <v>142</v>
      </c>
      <c r="I147" s="39" t="str">
        <f t="shared" si="12"/>
        <v/>
      </c>
      <c r="J147" s="38">
        <f t="shared" si="15"/>
        <v>-6</v>
      </c>
      <c r="K147" s="38">
        <f t="shared" si="13"/>
        <v>-60</v>
      </c>
      <c r="L147" s="38"/>
      <c r="M147" s="40">
        <f t="shared" si="14"/>
        <v>0</v>
      </c>
    </row>
    <row r="148" spans="1:13" x14ac:dyDescent="0.25">
      <c r="A148" s="59"/>
      <c r="G148" s="16"/>
      <c r="H148" s="38">
        <v>143</v>
      </c>
      <c r="I148" s="39" t="str">
        <f t="shared" si="12"/>
        <v/>
      </c>
      <c r="J148" s="38">
        <f t="shared" si="15"/>
        <v>-6</v>
      </c>
      <c r="K148" s="38">
        <f t="shared" si="13"/>
        <v>-60</v>
      </c>
      <c r="L148" s="38"/>
      <c r="M148" s="40">
        <f t="shared" si="14"/>
        <v>0</v>
      </c>
    </row>
    <row r="149" spans="1:13" x14ac:dyDescent="0.25">
      <c r="A149" s="59"/>
      <c r="G149" s="16"/>
      <c r="H149" s="38">
        <v>144</v>
      </c>
      <c r="I149" s="39" t="str">
        <f t="shared" si="12"/>
        <v/>
      </c>
      <c r="J149" s="38">
        <f t="shared" si="15"/>
        <v>-6</v>
      </c>
      <c r="K149" s="38">
        <f t="shared" si="13"/>
        <v>-60</v>
      </c>
      <c r="L149" s="38"/>
      <c r="M149" s="40">
        <f t="shared" si="14"/>
        <v>0</v>
      </c>
    </row>
    <row r="150" spans="1:13" x14ac:dyDescent="0.25">
      <c r="A150" s="59"/>
      <c r="G150" s="16"/>
      <c r="H150" s="38">
        <v>145</v>
      </c>
      <c r="I150" s="39" t="str">
        <f t="shared" si="12"/>
        <v/>
      </c>
      <c r="J150" s="38">
        <f t="shared" si="15"/>
        <v>-6</v>
      </c>
      <c r="K150" s="38">
        <f t="shared" si="13"/>
        <v>-60</v>
      </c>
      <c r="L150" s="38"/>
      <c r="M150" s="40">
        <f t="shared" si="14"/>
        <v>0</v>
      </c>
    </row>
    <row r="151" spans="1:13" x14ac:dyDescent="0.25">
      <c r="A151" s="59"/>
      <c r="G151" s="16"/>
      <c r="H151" s="38">
        <v>146</v>
      </c>
      <c r="I151" s="39" t="str">
        <f t="shared" si="12"/>
        <v/>
      </c>
      <c r="J151" s="38">
        <f t="shared" si="15"/>
        <v>-6</v>
      </c>
      <c r="K151" s="38">
        <f t="shared" si="13"/>
        <v>-60</v>
      </c>
      <c r="L151" s="38"/>
      <c r="M151" s="40">
        <f t="shared" si="14"/>
        <v>0</v>
      </c>
    </row>
    <row r="152" spans="1:13" x14ac:dyDescent="0.25">
      <c r="A152" s="59"/>
      <c r="G152" s="16"/>
      <c r="H152" s="38">
        <v>147</v>
      </c>
      <c r="I152" s="39" t="str">
        <f t="shared" si="12"/>
        <v/>
      </c>
      <c r="J152" s="38">
        <f t="shared" si="15"/>
        <v>-6</v>
      </c>
      <c r="K152" s="38">
        <f t="shared" si="13"/>
        <v>-60</v>
      </c>
      <c r="L152" s="38"/>
      <c r="M152" s="40">
        <f t="shared" si="14"/>
        <v>0</v>
      </c>
    </row>
    <row r="153" spans="1:13" x14ac:dyDescent="0.25">
      <c r="A153" s="59"/>
      <c r="G153" s="16"/>
      <c r="H153" s="38">
        <v>148</v>
      </c>
      <c r="I153" s="39" t="str">
        <f t="shared" si="12"/>
        <v/>
      </c>
      <c r="J153" s="38">
        <f t="shared" si="15"/>
        <v>-6</v>
      </c>
      <c r="K153" s="38">
        <f t="shared" si="13"/>
        <v>-60</v>
      </c>
      <c r="L153" s="38"/>
      <c r="M153" s="40">
        <f t="shared" si="14"/>
        <v>0</v>
      </c>
    </row>
    <row r="154" spans="1:13" x14ac:dyDescent="0.25">
      <c r="A154" s="59"/>
      <c r="G154" s="16"/>
      <c r="H154" s="38">
        <v>149</v>
      </c>
      <c r="I154" s="39" t="str">
        <f t="shared" si="12"/>
        <v/>
      </c>
      <c r="J154" s="38">
        <f t="shared" si="15"/>
        <v>-6</v>
      </c>
      <c r="K154" s="38">
        <f t="shared" si="13"/>
        <v>-60</v>
      </c>
      <c r="L154" s="38"/>
      <c r="M154" s="40">
        <f t="shared" si="14"/>
        <v>0</v>
      </c>
    </row>
    <row r="155" spans="1:13" x14ac:dyDescent="0.25">
      <c r="A155" s="59"/>
      <c r="G155" s="16"/>
      <c r="H155" s="38">
        <v>150</v>
      </c>
      <c r="I155" s="39" t="str">
        <f t="shared" si="12"/>
        <v/>
      </c>
      <c r="J155" s="38">
        <f t="shared" si="15"/>
        <v>-6</v>
      </c>
      <c r="K155" s="38">
        <f t="shared" si="13"/>
        <v>-60</v>
      </c>
      <c r="L155" s="38"/>
      <c r="M155" s="40">
        <f t="shared" si="14"/>
        <v>0</v>
      </c>
    </row>
    <row r="156" spans="1:13" x14ac:dyDescent="0.25">
      <c r="A156" s="59"/>
      <c r="G156" s="16"/>
      <c r="H156" s="38">
        <v>151</v>
      </c>
      <c r="I156" s="39" t="str">
        <f t="shared" si="12"/>
        <v/>
      </c>
      <c r="J156" s="38">
        <f t="shared" si="15"/>
        <v>-6</v>
      </c>
      <c r="K156" s="38">
        <f t="shared" si="13"/>
        <v>-60</v>
      </c>
      <c r="L156" s="38"/>
      <c r="M156" s="40">
        <f t="shared" si="14"/>
        <v>0</v>
      </c>
    </row>
    <row r="157" spans="1:13" x14ac:dyDescent="0.25">
      <c r="A157" s="59"/>
      <c r="G157" s="16"/>
      <c r="H157" s="38">
        <v>152</v>
      </c>
      <c r="I157" s="39" t="str">
        <f t="shared" si="12"/>
        <v/>
      </c>
      <c r="J157" s="38">
        <f t="shared" si="15"/>
        <v>-6</v>
      </c>
      <c r="K157" s="38">
        <f t="shared" si="13"/>
        <v>-60</v>
      </c>
      <c r="L157" s="38"/>
      <c r="M157" s="40">
        <f t="shared" si="14"/>
        <v>0</v>
      </c>
    </row>
    <row r="158" spans="1:13" x14ac:dyDescent="0.25">
      <c r="A158" s="59"/>
      <c r="G158" s="16"/>
      <c r="H158" s="38">
        <v>153</v>
      </c>
      <c r="I158" s="39" t="str">
        <f t="shared" si="12"/>
        <v/>
      </c>
      <c r="J158" s="38">
        <f t="shared" si="15"/>
        <v>-6</v>
      </c>
      <c r="K158" s="38">
        <f t="shared" si="13"/>
        <v>-60</v>
      </c>
      <c r="L158" s="38"/>
      <c r="M158" s="40">
        <f t="shared" si="14"/>
        <v>0</v>
      </c>
    </row>
    <row r="159" spans="1:13" x14ac:dyDescent="0.25">
      <c r="A159" s="59"/>
      <c r="G159" s="16"/>
      <c r="H159" s="38">
        <v>154</v>
      </c>
      <c r="I159" s="39" t="str">
        <f t="shared" si="12"/>
        <v/>
      </c>
      <c r="J159" s="38">
        <f t="shared" si="15"/>
        <v>-6</v>
      </c>
      <c r="K159" s="38">
        <f t="shared" si="13"/>
        <v>-60</v>
      </c>
      <c r="L159" s="38"/>
      <c r="M159" s="40">
        <f t="shared" si="14"/>
        <v>0</v>
      </c>
    </row>
    <row r="160" spans="1:13" x14ac:dyDescent="0.25">
      <c r="A160" s="59"/>
      <c r="G160" s="16"/>
      <c r="H160" s="38">
        <v>155</v>
      </c>
      <c r="I160" s="39" t="str">
        <f t="shared" si="12"/>
        <v/>
      </c>
      <c r="J160" s="38">
        <f t="shared" si="15"/>
        <v>-6</v>
      </c>
      <c r="K160" s="38">
        <f t="shared" si="13"/>
        <v>-60</v>
      </c>
      <c r="L160" s="38"/>
      <c r="M160" s="40">
        <f t="shared" si="14"/>
        <v>0</v>
      </c>
    </row>
    <row r="161" spans="1:13" x14ac:dyDescent="0.25">
      <c r="A161" s="59"/>
      <c r="G161" s="16"/>
      <c r="H161" s="38">
        <v>156</v>
      </c>
      <c r="I161" s="39" t="str">
        <f t="shared" si="12"/>
        <v/>
      </c>
      <c r="J161" s="38">
        <f t="shared" si="15"/>
        <v>-6</v>
      </c>
      <c r="K161" s="38">
        <f t="shared" si="13"/>
        <v>-60</v>
      </c>
      <c r="L161" s="38"/>
      <c r="M161" s="40">
        <f t="shared" si="14"/>
        <v>0</v>
      </c>
    </row>
    <row r="162" spans="1:13" x14ac:dyDescent="0.25">
      <c r="A162" s="59"/>
      <c r="G162" s="16"/>
      <c r="H162" s="38">
        <v>157</v>
      </c>
      <c r="I162" s="39" t="str">
        <f t="shared" si="12"/>
        <v/>
      </c>
      <c r="J162" s="38">
        <f t="shared" si="15"/>
        <v>-6</v>
      </c>
      <c r="K162" s="38">
        <f t="shared" si="13"/>
        <v>-60</v>
      </c>
      <c r="L162" s="38"/>
      <c r="M162" s="40">
        <f t="shared" si="14"/>
        <v>0</v>
      </c>
    </row>
    <row r="163" spans="1:13" x14ac:dyDescent="0.25">
      <c r="A163" s="59"/>
      <c r="G163" s="16"/>
      <c r="H163" s="38">
        <v>158</v>
      </c>
      <c r="I163" s="39" t="str">
        <f t="shared" si="12"/>
        <v/>
      </c>
      <c r="J163" s="38">
        <f t="shared" si="15"/>
        <v>-6</v>
      </c>
      <c r="K163" s="38">
        <f t="shared" si="13"/>
        <v>-60</v>
      </c>
      <c r="L163" s="38"/>
      <c r="M163" s="40">
        <f t="shared" si="14"/>
        <v>0</v>
      </c>
    </row>
    <row r="164" spans="1:13" x14ac:dyDescent="0.25">
      <c r="A164" s="59"/>
      <c r="G164" s="16"/>
      <c r="H164" s="38">
        <v>159</v>
      </c>
      <c r="I164" s="39" t="str">
        <f t="shared" si="12"/>
        <v/>
      </c>
      <c r="J164" s="38">
        <f t="shared" si="15"/>
        <v>-6</v>
      </c>
      <c r="K164" s="38">
        <f t="shared" si="13"/>
        <v>-60</v>
      </c>
      <c r="L164" s="38"/>
      <c r="M164" s="40">
        <f t="shared" si="14"/>
        <v>0</v>
      </c>
    </row>
    <row r="165" spans="1:13" x14ac:dyDescent="0.25">
      <c r="A165" s="59"/>
      <c r="G165" s="16"/>
      <c r="H165" s="38">
        <v>160</v>
      </c>
      <c r="I165" s="39" t="str">
        <f t="shared" si="12"/>
        <v/>
      </c>
      <c r="J165" s="38">
        <f t="shared" si="15"/>
        <v>-6</v>
      </c>
      <c r="K165" s="38">
        <f t="shared" si="13"/>
        <v>-60</v>
      </c>
      <c r="L165" s="38"/>
      <c r="M165" s="40">
        <f t="shared" si="14"/>
        <v>0</v>
      </c>
    </row>
    <row r="166" spans="1:13" x14ac:dyDescent="0.25">
      <c r="A166" s="59"/>
      <c r="G166" s="16"/>
      <c r="H166" s="38">
        <v>161</v>
      </c>
      <c r="I166" s="39" t="str">
        <f t="shared" si="12"/>
        <v/>
      </c>
      <c r="J166" s="38">
        <f t="shared" si="15"/>
        <v>-6</v>
      </c>
      <c r="K166" s="38">
        <f t="shared" si="13"/>
        <v>-60</v>
      </c>
      <c r="L166" s="38"/>
      <c r="M166" s="40">
        <f t="shared" si="14"/>
        <v>0</v>
      </c>
    </row>
    <row r="167" spans="1:13" x14ac:dyDescent="0.25">
      <c r="A167" s="59"/>
      <c r="G167" s="16"/>
      <c r="H167" s="38">
        <v>162</v>
      </c>
      <c r="I167" s="39" t="str">
        <f t="shared" si="12"/>
        <v/>
      </c>
      <c r="J167" s="38">
        <f t="shared" si="15"/>
        <v>-6</v>
      </c>
      <c r="K167" s="38">
        <f t="shared" si="13"/>
        <v>-60</v>
      </c>
      <c r="L167" s="38"/>
      <c r="M167" s="40">
        <f t="shared" si="14"/>
        <v>0</v>
      </c>
    </row>
    <row r="168" spans="1:13" x14ac:dyDescent="0.25">
      <c r="A168" s="59"/>
      <c r="G168" s="16"/>
      <c r="H168" s="38">
        <v>163</v>
      </c>
      <c r="I168" s="39" t="str">
        <f t="shared" si="12"/>
        <v/>
      </c>
      <c r="J168" s="38">
        <f t="shared" si="15"/>
        <v>-6</v>
      </c>
      <c r="K168" s="38">
        <f t="shared" si="13"/>
        <v>-60</v>
      </c>
      <c r="L168" s="38"/>
      <c r="M168" s="40">
        <f t="shared" si="14"/>
        <v>0</v>
      </c>
    </row>
    <row r="169" spans="1:13" x14ac:dyDescent="0.25">
      <c r="A169" s="59"/>
      <c r="G169" s="16"/>
      <c r="H169" s="38">
        <v>164</v>
      </c>
      <c r="I169" s="39" t="str">
        <f t="shared" si="12"/>
        <v/>
      </c>
      <c r="J169" s="38">
        <f t="shared" si="15"/>
        <v>-6</v>
      </c>
      <c r="K169" s="38">
        <f t="shared" si="13"/>
        <v>-60</v>
      </c>
      <c r="L169" s="38"/>
      <c r="M169" s="40">
        <f t="shared" si="14"/>
        <v>0</v>
      </c>
    </row>
    <row r="170" spans="1:13" x14ac:dyDescent="0.25">
      <c r="A170" s="59"/>
      <c r="G170" s="16"/>
      <c r="H170" s="38">
        <v>165</v>
      </c>
      <c r="I170" s="39" t="str">
        <f t="shared" si="12"/>
        <v/>
      </c>
      <c r="J170" s="38">
        <f t="shared" si="15"/>
        <v>-6</v>
      </c>
      <c r="K170" s="38">
        <f t="shared" si="13"/>
        <v>-60</v>
      </c>
      <c r="L170" s="38"/>
      <c r="M170" s="40">
        <f t="shared" si="14"/>
        <v>0</v>
      </c>
    </row>
    <row r="171" spans="1:13" x14ac:dyDescent="0.25">
      <c r="A171" s="59"/>
      <c r="G171" s="16"/>
      <c r="H171" s="38">
        <v>166</v>
      </c>
      <c r="I171" s="39" t="str">
        <f t="shared" si="12"/>
        <v/>
      </c>
      <c r="J171" s="38">
        <f t="shared" si="15"/>
        <v>-6</v>
      </c>
      <c r="K171" s="38">
        <f t="shared" si="13"/>
        <v>-60</v>
      </c>
      <c r="L171" s="38"/>
      <c r="M171" s="40">
        <f t="shared" si="14"/>
        <v>0</v>
      </c>
    </row>
    <row r="172" spans="1:13" x14ac:dyDescent="0.25">
      <c r="A172" s="59"/>
      <c r="G172" s="16"/>
      <c r="H172" s="38">
        <v>167</v>
      </c>
      <c r="I172" s="39" t="str">
        <f t="shared" si="12"/>
        <v/>
      </c>
      <c r="J172" s="38">
        <f t="shared" si="15"/>
        <v>-6</v>
      </c>
      <c r="K172" s="38">
        <f t="shared" si="13"/>
        <v>-60</v>
      </c>
      <c r="L172" s="38"/>
      <c r="M172" s="40">
        <f t="shared" si="14"/>
        <v>0</v>
      </c>
    </row>
    <row r="173" spans="1:13" x14ac:dyDescent="0.25">
      <c r="A173" s="59"/>
      <c r="G173" s="16"/>
      <c r="H173" s="38">
        <v>168</v>
      </c>
      <c r="I173" s="39" t="str">
        <f t="shared" si="12"/>
        <v/>
      </c>
      <c r="J173" s="38">
        <f t="shared" si="15"/>
        <v>-6</v>
      </c>
      <c r="K173" s="38">
        <f t="shared" si="13"/>
        <v>-60</v>
      </c>
      <c r="L173" s="38"/>
      <c r="M173" s="40">
        <f t="shared" si="14"/>
        <v>0</v>
      </c>
    </row>
    <row r="174" spans="1:13" x14ac:dyDescent="0.25">
      <c r="A174" s="59"/>
      <c r="G174" s="16"/>
      <c r="H174" s="38">
        <v>169</v>
      </c>
      <c r="I174" s="39" t="str">
        <f t="shared" si="12"/>
        <v/>
      </c>
      <c r="J174" s="38">
        <f t="shared" si="15"/>
        <v>-6</v>
      </c>
      <c r="K174" s="38">
        <f t="shared" si="13"/>
        <v>-60</v>
      </c>
      <c r="L174" s="38"/>
      <c r="M174" s="40">
        <f t="shared" si="14"/>
        <v>0</v>
      </c>
    </row>
    <row r="175" spans="1:13" x14ac:dyDescent="0.25">
      <c r="A175" s="59"/>
      <c r="G175" s="16"/>
      <c r="H175" s="38">
        <v>170</v>
      </c>
      <c r="I175" s="39" t="str">
        <f t="shared" si="12"/>
        <v/>
      </c>
      <c r="J175" s="38">
        <f t="shared" si="15"/>
        <v>-6</v>
      </c>
      <c r="K175" s="38">
        <f t="shared" si="13"/>
        <v>-60</v>
      </c>
      <c r="L175" s="38"/>
      <c r="M175" s="40">
        <f t="shared" si="14"/>
        <v>0</v>
      </c>
    </row>
    <row r="176" spans="1:13" x14ac:dyDescent="0.25">
      <c r="A176" s="59"/>
      <c r="G176" s="16"/>
      <c r="H176" s="38">
        <v>171</v>
      </c>
      <c r="I176" s="39" t="str">
        <f t="shared" si="12"/>
        <v/>
      </c>
      <c r="J176" s="38">
        <f t="shared" si="15"/>
        <v>-6</v>
      </c>
      <c r="K176" s="38">
        <f t="shared" si="13"/>
        <v>-60</v>
      </c>
      <c r="L176" s="38"/>
      <c r="M176" s="40">
        <f t="shared" si="14"/>
        <v>0</v>
      </c>
    </row>
    <row r="177" spans="1:13" x14ac:dyDescent="0.25">
      <c r="A177" s="59"/>
      <c r="G177" s="16"/>
      <c r="H177" s="38">
        <v>172</v>
      </c>
      <c r="I177" s="39" t="str">
        <f t="shared" si="12"/>
        <v/>
      </c>
      <c r="J177" s="38">
        <f t="shared" si="15"/>
        <v>-6</v>
      </c>
      <c r="K177" s="38">
        <f t="shared" si="13"/>
        <v>-60</v>
      </c>
      <c r="L177" s="38"/>
      <c r="M177" s="40">
        <f t="shared" si="14"/>
        <v>0</v>
      </c>
    </row>
    <row r="178" spans="1:13" x14ac:dyDescent="0.25">
      <c r="A178" s="59"/>
      <c r="G178" s="16"/>
      <c r="H178" s="38">
        <v>173</v>
      </c>
      <c r="I178" s="39" t="str">
        <f t="shared" si="12"/>
        <v/>
      </c>
      <c r="J178" s="38">
        <f t="shared" si="15"/>
        <v>-6</v>
      </c>
      <c r="K178" s="38">
        <f t="shared" si="13"/>
        <v>-60</v>
      </c>
      <c r="L178" s="38"/>
      <c r="M178" s="40">
        <f t="shared" si="14"/>
        <v>0</v>
      </c>
    </row>
    <row r="179" spans="1:13" x14ac:dyDescent="0.25">
      <c r="A179" s="59"/>
      <c r="G179" s="16"/>
      <c r="H179" s="38">
        <v>174</v>
      </c>
      <c r="I179" s="39" t="str">
        <f t="shared" si="12"/>
        <v/>
      </c>
      <c r="J179" s="38">
        <f t="shared" si="15"/>
        <v>-6</v>
      </c>
      <c r="K179" s="38">
        <f t="shared" si="13"/>
        <v>-60</v>
      </c>
      <c r="L179" s="38"/>
      <c r="M179" s="40">
        <f t="shared" si="14"/>
        <v>0</v>
      </c>
    </row>
    <row r="180" spans="1:13" x14ac:dyDescent="0.25">
      <c r="A180" s="59"/>
      <c r="G180" s="16"/>
      <c r="H180" s="38">
        <v>175</v>
      </c>
      <c r="I180" s="39" t="str">
        <f t="shared" si="12"/>
        <v/>
      </c>
      <c r="J180" s="38">
        <f t="shared" si="15"/>
        <v>-6</v>
      </c>
      <c r="K180" s="38">
        <f t="shared" si="13"/>
        <v>-60</v>
      </c>
      <c r="L180" s="38"/>
      <c r="M180" s="40">
        <f t="shared" si="14"/>
        <v>0</v>
      </c>
    </row>
    <row r="181" spans="1:13" x14ac:dyDescent="0.25">
      <c r="A181" s="59"/>
      <c r="G181" s="16"/>
      <c r="H181" s="38">
        <v>176</v>
      </c>
      <c r="I181" s="39" t="str">
        <f t="shared" si="12"/>
        <v/>
      </c>
      <c r="J181" s="38">
        <f t="shared" si="15"/>
        <v>-6</v>
      </c>
      <c r="K181" s="38">
        <f t="shared" si="13"/>
        <v>-60</v>
      </c>
      <c r="L181" s="38"/>
      <c r="M181" s="40">
        <f t="shared" si="14"/>
        <v>0</v>
      </c>
    </row>
    <row r="182" spans="1:13" x14ac:dyDescent="0.25">
      <c r="A182" s="59"/>
      <c r="G182" s="16"/>
      <c r="H182" s="38">
        <v>177</v>
      </c>
      <c r="I182" s="39" t="str">
        <f t="shared" si="12"/>
        <v/>
      </c>
      <c r="J182" s="38">
        <f t="shared" si="15"/>
        <v>-6</v>
      </c>
      <c r="K182" s="38">
        <f t="shared" si="13"/>
        <v>-60</v>
      </c>
      <c r="L182" s="38"/>
      <c r="M182" s="40">
        <f t="shared" si="14"/>
        <v>0</v>
      </c>
    </row>
    <row r="183" spans="1:13" x14ac:dyDescent="0.25">
      <c r="A183" s="59"/>
      <c r="G183" s="16"/>
      <c r="H183" s="38">
        <v>178</v>
      </c>
      <c r="I183" s="39" t="str">
        <f t="shared" si="12"/>
        <v/>
      </c>
      <c r="J183" s="38">
        <f t="shared" si="15"/>
        <v>-6</v>
      </c>
      <c r="K183" s="38">
        <f t="shared" si="13"/>
        <v>-60</v>
      </c>
      <c r="L183" s="38"/>
      <c r="M183" s="40">
        <f t="shared" si="14"/>
        <v>0</v>
      </c>
    </row>
    <row r="184" spans="1:13" x14ac:dyDescent="0.25">
      <c r="A184" s="59"/>
      <c r="G184" s="16"/>
      <c r="H184" s="38">
        <v>179</v>
      </c>
      <c r="I184" s="39" t="str">
        <f t="shared" si="12"/>
        <v/>
      </c>
      <c r="J184" s="38">
        <f t="shared" si="15"/>
        <v>-6</v>
      </c>
      <c r="K184" s="38">
        <f t="shared" si="13"/>
        <v>-60</v>
      </c>
      <c r="L184" s="38"/>
      <c r="M184" s="40">
        <f t="shared" si="14"/>
        <v>0</v>
      </c>
    </row>
    <row r="185" spans="1:13" x14ac:dyDescent="0.25">
      <c r="A185" s="59"/>
      <c r="G185" s="16"/>
      <c r="H185" s="38">
        <v>180</v>
      </c>
      <c r="I185" s="39" t="str">
        <f t="shared" si="12"/>
        <v/>
      </c>
      <c r="J185" s="38">
        <f t="shared" si="15"/>
        <v>-6</v>
      </c>
      <c r="K185" s="38">
        <f t="shared" si="13"/>
        <v>-60</v>
      </c>
      <c r="L185" s="38"/>
      <c r="M185" s="40">
        <f t="shared" si="14"/>
        <v>0</v>
      </c>
    </row>
    <row r="186" spans="1:13" x14ac:dyDescent="0.25">
      <c r="A186" s="59"/>
      <c r="G186" s="16"/>
      <c r="H186" s="38">
        <v>181</v>
      </c>
      <c r="I186" s="39" t="str">
        <f t="shared" si="12"/>
        <v/>
      </c>
      <c r="J186" s="38">
        <f t="shared" si="15"/>
        <v>-6</v>
      </c>
      <c r="K186" s="38">
        <f t="shared" si="13"/>
        <v>-60</v>
      </c>
      <c r="L186" s="38"/>
      <c r="M186" s="40">
        <f t="shared" si="14"/>
        <v>0</v>
      </c>
    </row>
    <row r="187" spans="1:13" x14ac:dyDescent="0.25">
      <c r="A187" s="59"/>
      <c r="G187" s="16"/>
      <c r="H187" s="38">
        <v>182</v>
      </c>
      <c r="I187" s="39" t="str">
        <f t="shared" si="12"/>
        <v/>
      </c>
      <c r="J187" s="38">
        <f t="shared" si="15"/>
        <v>-6</v>
      </c>
      <c r="K187" s="38">
        <f t="shared" si="13"/>
        <v>-60</v>
      </c>
      <c r="L187" s="38"/>
      <c r="M187" s="40">
        <f t="shared" si="14"/>
        <v>0</v>
      </c>
    </row>
    <row r="188" spans="1:13" x14ac:dyDescent="0.25">
      <c r="A188" s="59"/>
      <c r="G188" s="16"/>
      <c r="H188" s="38">
        <v>183</v>
      </c>
      <c r="I188" s="39" t="str">
        <f t="shared" si="12"/>
        <v/>
      </c>
      <c r="J188" s="38">
        <f t="shared" si="15"/>
        <v>-6</v>
      </c>
      <c r="K188" s="38">
        <f t="shared" si="13"/>
        <v>-60</v>
      </c>
      <c r="L188" s="38"/>
      <c r="M188" s="40">
        <f t="shared" si="14"/>
        <v>0</v>
      </c>
    </row>
    <row r="189" spans="1:13" x14ac:dyDescent="0.25">
      <c r="A189" s="59"/>
      <c r="G189" s="16"/>
      <c r="H189" s="38">
        <v>184</v>
      </c>
      <c r="I189" s="39" t="str">
        <f t="shared" si="12"/>
        <v/>
      </c>
      <c r="J189" s="38">
        <f t="shared" si="15"/>
        <v>-6</v>
      </c>
      <c r="K189" s="38">
        <f t="shared" si="13"/>
        <v>-60</v>
      </c>
      <c r="L189" s="38"/>
      <c r="M189" s="40">
        <f t="shared" si="14"/>
        <v>0</v>
      </c>
    </row>
    <row r="190" spans="1:13" x14ac:dyDescent="0.25">
      <c r="A190" s="59"/>
      <c r="G190" s="16"/>
      <c r="H190" s="38">
        <v>185</v>
      </c>
      <c r="I190" s="39" t="str">
        <f t="shared" si="12"/>
        <v/>
      </c>
      <c r="J190" s="38">
        <f t="shared" si="15"/>
        <v>-6</v>
      </c>
      <c r="K190" s="38">
        <f t="shared" si="13"/>
        <v>-60</v>
      </c>
      <c r="L190" s="38"/>
      <c r="M190" s="40">
        <f t="shared" si="14"/>
        <v>0</v>
      </c>
    </row>
    <row r="191" spans="1:13" x14ac:dyDescent="0.25">
      <c r="A191" s="59"/>
      <c r="G191" s="16"/>
      <c r="H191" s="38">
        <v>186</v>
      </c>
      <c r="I191" s="39" t="str">
        <f t="shared" si="12"/>
        <v/>
      </c>
      <c r="J191" s="38">
        <f t="shared" si="15"/>
        <v>-6</v>
      </c>
      <c r="K191" s="38">
        <f t="shared" si="13"/>
        <v>-60</v>
      </c>
      <c r="L191" s="38"/>
      <c r="M191" s="40">
        <f t="shared" si="14"/>
        <v>0</v>
      </c>
    </row>
    <row r="192" spans="1:13" x14ac:dyDescent="0.25">
      <c r="A192" s="59"/>
      <c r="G192" s="16"/>
      <c r="H192" s="38">
        <v>187</v>
      </c>
      <c r="I192" s="39" t="str">
        <f t="shared" si="12"/>
        <v/>
      </c>
      <c r="J192" s="38">
        <f t="shared" si="15"/>
        <v>-6</v>
      </c>
      <c r="K192" s="38">
        <f t="shared" si="13"/>
        <v>-60</v>
      </c>
      <c r="L192" s="38"/>
      <c r="M192" s="40">
        <f t="shared" si="14"/>
        <v>0</v>
      </c>
    </row>
    <row r="193" spans="1:13" x14ac:dyDescent="0.25">
      <c r="A193" s="59"/>
      <c r="G193" s="16"/>
      <c r="H193" s="38">
        <v>188</v>
      </c>
      <c r="I193" s="39" t="str">
        <f t="shared" si="12"/>
        <v/>
      </c>
      <c r="J193" s="38">
        <f t="shared" si="15"/>
        <v>-6</v>
      </c>
      <c r="K193" s="38">
        <f t="shared" si="13"/>
        <v>-60</v>
      </c>
      <c r="L193" s="38"/>
      <c r="M193" s="40">
        <f t="shared" si="14"/>
        <v>0</v>
      </c>
    </row>
    <row r="194" spans="1:13" x14ac:dyDescent="0.25">
      <c r="A194" s="59"/>
      <c r="G194" s="16"/>
      <c r="H194" s="38">
        <v>189</v>
      </c>
      <c r="I194" s="39" t="str">
        <f t="shared" si="12"/>
        <v/>
      </c>
      <c r="J194" s="38">
        <f t="shared" si="15"/>
        <v>-6</v>
      </c>
      <c r="K194" s="38">
        <f t="shared" si="13"/>
        <v>-60</v>
      </c>
      <c r="L194" s="38"/>
      <c r="M194" s="40">
        <f t="shared" si="14"/>
        <v>0</v>
      </c>
    </row>
    <row r="195" spans="1:13" x14ac:dyDescent="0.25">
      <c r="A195" s="59"/>
      <c r="G195" s="16"/>
      <c r="H195" s="38">
        <v>190</v>
      </c>
      <c r="I195" s="39" t="str">
        <f t="shared" si="12"/>
        <v/>
      </c>
      <c r="J195" s="38">
        <f t="shared" si="15"/>
        <v>-6</v>
      </c>
      <c r="K195" s="38">
        <f t="shared" si="13"/>
        <v>-60</v>
      </c>
      <c r="L195" s="38"/>
      <c r="M195" s="40">
        <f t="shared" si="14"/>
        <v>0</v>
      </c>
    </row>
    <row r="196" spans="1:13" x14ac:dyDescent="0.25">
      <c r="A196" s="59"/>
      <c r="G196" s="16"/>
      <c r="H196" s="38">
        <v>191</v>
      </c>
      <c r="I196" s="39" t="str">
        <f t="shared" si="12"/>
        <v/>
      </c>
      <c r="J196" s="38">
        <f t="shared" si="15"/>
        <v>-6</v>
      </c>
      <c r="K196" s="38">
        <f t="shared" si="13"/>
        <v>-60</v>
      </c>
      <c r="L196" s="38"/>
      <c r="M196" s="40">
        <f t="shared" si="14"/>
        <v>0</v>
      </c>
    </row>
    <row r="197" spans="1:13" x14ac:dyDescent="0.25">
      <c r="A197" s="59"/>
      <c r="G197" s="16"/>
      <c r="H197" s="38">
        <v>192</v>
      </c>
      <c r="I197" s="39" t="str">
        <f t="shared" si="12"/>
        <v/>
      </c>
      <c r="J197" s="38">
        <f t="shared" si="15"/>
        <v>-6</v>
      </c>
      <c r="K197" s="38">
        <f t="shared" si="13"/>
        <v>-60</v>
      </c>
      <c r="L197" s="38"/>
      <c r="M197" s="40">
        <f t="shared" si="14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6">IF(H198&lt;$H$2+1,($I$2-($I$2-1)*(LOG(H198)/LOG($H$2))),"")</f>
        <v/>
      </c>
      <c r="J198" s="38">
        <f t="shared" si="15"/>
        <v>-6</v>
      </c>
      <c r="K198" s="38">
        <f t="shared" ref="K198:K261" si="17">J198*$J$2</f>
        <v>-60</v>
      </c>
      <c r="L198" s="38"/>
      <c r="M198" s="40">
        <f t="shared" ref="M198:M261" si="18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6"/>
        <v/>
      </c>
      <c r="J199" s="38">
        <f t="shared" ref="J199:J262" si="19">INT(LOG($H$2,2))-ROUNDUP(LOG(H199,2),0)+IF(OR($H$2=1,$H$2=2,$H$2=4,$H$2=8,$H$2=16,$H$2=32,$H$2=64,$H$2=128,$H$2=256),1,0)</f>
        <v>-6</v>
      </c>
      <c r="K199" s="38">
        <f t="shared" si="17"/>
        <v>-60</v>
      </c>
      <c r="L199" s="38"/>
      <c r="M199" s="40">
        <f t="shared" si="18"/>
        <v>0</v>
      </c>
    </row>
    <row r="200" spans="1:13" x14ac:dyDescent="0.25">
      <c r="A200" s="59"/>
      <c r="G200" s="16"/>
      <c r="H200" s="38">
        <v>195</v>
      </c>
      <c r="I200" s="39" t="str">
        <f t="shared" si="16"/>
        <v/>
      </c>
      <c r="J200" s="38">
        <f t="shared" si="19"/>
        <v>-6</v>
      </c>
      <c r="K200" s="38">
        <f t="shared" si="17"/>
        <v>-60</v>
      </c>
      <c r="L200" s="38"/>
      <c r="M200" s="40">
        <f t="shared" si="18"/>
        <v>0</v>
      </c>
    </row>
    <row r="201" spans="1:13" x14ac:dyDescent="0.25">
      <c r="A201" s="59"/>
      <c r="G201" s="16"/>
      <c r="H201" s="38">
        <v>196</v>
      </c>
      <c r="I201" s="39" t="str">
        <f t="shared" si="16"/>
        <v/>
      </c>
      <c r="J201" s="38">
        <f t="shared" si="19"/>
        <v>-6</v>
      </c>
      <c r="K201" s="38">
        <f t="shared" si="17"/>
        <v>-60</v>
      </c>
      <c r="L201" s="38"/>
      <c r="M201" s="40">
        <f t="shared" si="18"/>
        <v>0</v>
      </c>
    </row>
    <row r="202" spans="1:13" x14ac:dyDescent="0.25">
      <c r="A202" s="59"/>
      <c r="G202" s="16"/>
      <c r="H202" s="38">
        <v>197</v>
      </c>
      <c r="I202" s="39" t="str">
        <f t="shared" si="16"/>
        <v/>
      </c>
      <c r="J202" s="38">
        <f t="shared" si="19"/>
        <v>-6</v>
      </c>
      <c r="K202" s="38">
        <f t="shared" si="17"/>
        <v>-60</v>
      </c>
      <c r="L202" s="38"/>
      <c r="M202" s="40">
        <f t="shared" si="18"/>
        <v>0</v>
      </c>
    </row>
    <row r="203" spans="1:13" x14ac:dyDescent="0.25">
      <c r="A203" s="59"/>
      <c r="G203" s="16"/>
      <c r="H203" s="38">
        <v>198</v>
      </c>
      <c r="I203" s="39" t="str">
        <f t="shared" si="16"/>
        <v/>
      </c>
      <c r="J203" s="38">
        <f t="shared" si="19"/>
        <v>-6</v>
      </c>
      <c r="K203" s="38">
        <f t="shared" si="17"/>
        <v>-60</v>
      </c>
      <c r="L203" s="38"/>
      <c r="M203" s="40">
        <f t="shared" si="18"/>
        <v>0</v>
      </c>
    </row>
    <row r="204" spans="1:13" x14ac:dyDescent="0.25">
      <c r="A204" s="59"/>
      <c r="G204" s="16"/>
      <c r="H204" s="38">
        <v>199</v>
      </c>
      <c r="I204" s="39" t="str">
        <f t="shared" si="16"/>
        <v/>
      </c>
      <c r="J204" s="38">
        <f t="shared" si="19"/>
        <v>-6</v>
      </c>
      <c r="K204" s="38">
        <f t="shared" si="17"/>
        <v>-60</v>
      </c>
      <c r="L204" s="38"/>
      <c r="M204" s="40">
        <f t="shared" si="18"/>
        <v>0</v>
      </c>
    </row>
    <row r="205" spans="1:13" x14ac:dyDescent="0.25">
      <c r="A205" s="59"/>
      <c r="G205" s="16"/>
      <c r="H205" s="38">
        <v>200</v>
      </c>
      <c r="I205" s="39" t="str">
        <f t="shared" si="16"/>
        <v/>
      </c>
      <c r="J205" s="38">
        <f t="shared" si="19"/>
        <v>-6</v>
      </c>
      <c r="K205" s="38">
        <f t="shared" si="17"/>
        <v>-60</v>
      </c>
      <c r="L205" s="38"/>
      <c r="M205" s="40">
        <f t="shared" si="18"/>
        <v>0</v>
      </c>
    </row>
    <row r="206" spans="1:13" x14ac:dyDescent="0.25">
      <c r="A206" s="59"/>
      <c r="G206" s="16"/>
      <c r="H206" s="38">
        <v>201</v>
      </c>
      <c r="I206" s="39" t="str">
        <f t="shared" si="16"/>
        <v/>
      </c>
      <c r="J206" s="38">
        <f t="shared" si="19"/>
        <v>-6</v>
      </c>
      <c r="K206" s="38">
        <f t="shared" si="17"/>
        <v>-60</v>
      </c>
      <c r="L206" s="38"/>
      <c r="M206" s="40">
        <f t="shared" si="18"/>
        <v>0</v>
      </c>
    </row>
    <row r="207" spans="1:13" x14ac:dyDescent="0.25">
      <c r="A207" s="59"/>
      <c r="G207" s="16"/>
      <c r="H207" s="38">
        <v>202</v>
      </c>
      <c r="I207" s="39" t="str">
        <f t="shared" si="16"/>
        <v/>
      </c>
      <c r="J207" s="38">
        <f t="shared" si="19"/>
        <v>-6</v>
      </c>
      <c r="K207" s="38">
        <f t="shared" si="17"/>
        <v>-60</v>
      </c>
      <c r="L207" s="38"/>
      <c r="M207" s="40">
        <f t="shared" si="18"/>
        <v>0</v>
      </c>
    </row>
    <row r="208" spans="1:13" x14ac:dyDescent="0.25">
      <c r="A208" s="59"/>
      <c r="G208" s="16"/>
      <c r="H208" s="38">
        <v>203</v>
      </c>
      <c r="I208" s="39" t="str">
        <f t="shared" si="16"/>
        <v/>
      </c>
      <c r="J208" s="38">
        <f t="shared" si="19"/>
        <v>-6</v>
      </c>
      <c r="K208" s="38">
        <f t="shared" si="17"/>
        <v>-60</v>
      </c>
      <c r="L208" s="38"/>
      <c r="M208" s="40">
        <f t="shared" si="18"/>
        <v>0</v>
      </c>
    </row>
    <row r="209" spans="1:13" x14ac:dyDescent="0.25">
      <c r="A209" s="59"/>
      <c r="G209" s="16"/>
      <c r="H209" s="38">
        <v>204</v>
      </c>
      <c r="I209" s="39" t="str">
        <f t="shared" si="16"/>
        <v/>
      </c>
      <c r="J209" s="38">
        <f t="shared" si="19"/>
        <v>-6</v>
      </c>
      <c r="K209" s="38">
        <f t="shared" si="17"/>
        <v>-60</v>
      </c>
      <c r="L209" s="38"/>
      <c r="M209" s="40">
        <f t="shared" si="18"/>
        <v>0</v>
      </c>
    </row>
    <row r="210" spans="1:13" x14ac:dyDescent="0.25">
      <c r="A210" s="59"/>
      <c r="G210" s="16"/>
      <c r="H210" s="38">
        <v>205</v>
      </c>
      <c r="I210" s="39" t="str">
        <f t="shared" si="16"/>
        <v/>
      </c>
      <c r="J210" s="38">
        <f t="shared" si="19"/>
        <v>-6</v>
      </c>
      <c r="K210" s="38">
        <f t="shared" si="17"/>
        <v>-60</v>
      </c>
      <c r="L210" s="38"/>
      <c r="M210" s="40">
        <f t="shared" si="18"/>
        <v>0</v>
      </c>
    </row>
    <row r="211" spans="1:13" x14ac:dyDescent="0.25">
      <c r="A211" s="59"/>
      <c r="G211" s="16"/>
      <c r="H211" s="38">
        <v>206</v>
      </c>
      <c r="I211" s="39" t="str">
        <f t="shared" si="16"/>
        <v/>
      </c>
      <c r="J211" s="38">
        <f t="shared" si="19"/>
        <v>-6</v>
      </c>
      <c r="K211" s="38">
        <f t="shared" si="17"/>
        <v>-60</v>
      </c>
      <c r="L211" s="38"/>
      <c r="M211" s="40">
        <f t="shared" si="18"/>
        <v>0</v>
      </c>
    </row>
    <row r="212" spans="1:13" x14ac:dyDescent="0.25">
      <c r="A212" s="59"/>
      <c r="G212" s="16"/>
      <c r="H212" s="38">
        <v>207</v>
      </c>
      <c r="I212" s="39" t="str">
        <f t="shared" si="16"/>
        <v/>
      </c>
      <c r="J212" s="38">
        <f t="shared" si="19"/>
        <v>-6</v>
      </c>
      <c r="K212" s="38">
        <f t="shared" si="17"/>
        <v>-60</v>
      </c>
      <c r="L212" s="38"/>
      <c r="M212" s="40">
        <f t="shared" si="18"/>
        <v>0</v>
      </c>
    </row>
    <row r="213" spans="1:13" x14ac:dyDescent="0.25">
      <c r="A213" s="59"/>
      <c r="G213" s="16"/>
      <c r="H213" s="38">
        <v>208</v>
      </c>
      <c r="I213" s="39" t="str">
        <f t="shared" si="16"/>
        <v/>
      </c>
      <c r="J213" s="38">
        <f t="shared" si="19"/>
        <v>-6</v>
      </c>
      <c r="K213" s="38">
        <f t="shared" si="17"/>
        <v>-60</v>
      </c>
      <c r="L213" s="38"/>
      <c r="M213" s="40">
        <f t="shared" si="18"/>
        <v>0</v>
      </c>
    </row>
    <row r="214" spans="1:13" x14ac:dyDescent="0.25">
      <c r="A214" s="59"/>
      <c r="G214" s="16"/>
      <c r="H214" s="38">
        <v>209</v>
      </c>
      <c r="I214" s="39" t="str">
        <f t="shared" si="16"/>
        <v/>
      </c>
      <c r="J214" s="38">
        <f t="shared" si="19"/>
        <v>-6</v>
      </c>
      <c r="K214" s="38">
        <f t="shared" si="17"/>
        <v>-60</v>
      </c>
      <c r="L214" s="38"/>
      <c r="M214" s="40">
        <f t="shared" si="18"/>
        <v>0</v>
      </c>
    </row>
    <row r="215" spans="1:13" x14ac:dyDescent="0.25">
      <c r="A215" s="59"/>
      <c r="G215" s="16"/>
      <c r="H215" s="38">
        <v>210</v>
      </c>
      <c r="I215" s="39" t="str">
        <f t="shared" si="16"/>
        <v/>
      </c>
      <c r="J215" s="38">
        <f t="shared" si="19"/>
        <v>-6</v>
      </c>
      <c r="K215" s="38">
        <f t="shared" si="17"/>
        <v>-60</v>
      </c>
      <c r="L215" s="38"/>
      <c r="M215" s="40">
        <f t="shared" si="18"/>
        <v>0</v>
      </c>
    </row>
    <row r="216" spans="1:13" x14ac:dyDescent="0.25">
      <c r="A216" s="59"/>
      <c r="G216" s="16"/>
      <c r="H216" s="38">
        <v>211</v>
      </c>
      <c r="I216" s="39" t="str">
        <f t="shared" si="16"/>
        <v/>
      </c>
      <c r="J216" s="38">
        <f t="shared" si="19"/>
        <v>-6</v>
      </c>
      <c r="K216" s="38">
        <f t="shared" si="17"/>
        <v>-60</v>
      </c>
      <c r="L216" s="38"/>
      <c r="M216" s="40">
        <f t="shared" si="18"/>
        <v>0</v>
      </c>
    </row>
    <row r="217" spans="1:13" x14ac:dyDescent="0.25">
      <c r="A217" s="59"/>
      <c r="G217" s="16"/>
      <c r="H217" s="38">
        <v>212</v>
      </c>
      <c r="I217" s="39" t="str">
        <f t="shared" si="16"/>
        <v/>
      </c>
      <c r="J217" s="38">
        <f t="shared" si="19"/>
        <v>-6</v>
      </c>
      <c r="K217" s="38">
        <f t="shared" si="17"/>
        <v>-60</v>
      </c>
      <c r="L217" s="38"/>
      <c r="M217" s="40">
        <f t="shared" si="18"/>
        <v>0</v>
      </c>
    </row>
    <row r="218" spans="1:13" x14ac:dyDescent="0.25">
      <c r="A218" s="59"/>
      <c r="G218" s="16"/>
      <c r="H218" s="38">
        <v>213</v>
      </c>
      <c r="I218" s="39" t="str">
        <f t="shared" si="16"/>
        <v/>
      </c>
      <c r="J218" s="38">
        <f t="shared" si="19"/>
        <v>-6</v>
      </c>
      <c r="K218" s="38">
        <f t="shared" si="17"/>
        <v>-60</v>
      </c>
      <c r="L218" s="38"/>
      <c r="M218" s="40">
        <f t="shared" si="18"/>
        <v>0</v>
      </c>
    </row>
    <row r="219" spans="1:13" x14ac:dyDescent="0.25">
      <c r="A219" s="59"/>
      <c r="G219" s="16"/>
      <c r="H219" s="38">
        <v>214</v>
      </c>
      <c r="I219" s="39" t="str">
        <f t="shared" si="16"/>
        <v/>
      </c>
      <c r="J219" s="38">
        <f t="shared" si="19"/>
        <v>-6</v>
      </c>
      <c r="K219" s="38">
        <f t="shared" si="17"/>
        <v>-60</v>
      </c>
      <c r="L219" s="38"/>
      <c r="M219" s="40">
        <f t="shared" si="18"/>
        <v>0</v>
      </c>
    </row>
    <row r="220" spans="1:13" x14ac:dyDescent="0.25">
      <c r="A220" s="59"/>
      <c r="G220" s="16"/>
      <c r="H220" s="38">
        <v>215</v>
      </c>
      <c r="I220" s="39" t="str">
        <f t="shared" si="16"/>
        <v/>
      </c>
      <c r="J220" s="38">
        <f t="shared" si="19"/>
        <v>-6</v>
      </c>
      <c r="K220" s="38">
        <f t="shared" si="17"/>
        <v>-60</v>
      </c>
      <c r="L220" s="38"/>
      <c r="M220" s="40">
        <f t="shared" si="18"/>
        <v>0</v>
      </c>
    </row>
    <row r="221" spans="1:13" x14ac:dyDescent="0.25">
      <c r="A221" s="59"/>
      <c r="G221" s="16"/>
      <c r="H221" s="38">
        <v>216</v>
      </c>
      <c r="I221" s="39" t="str">
        <f t="shared" si="16"/>
        <v/>
      </c>
      <c r="J221" s="38">
        <f t="shared" si="19"/>
        <v>-6</v>
      </c>
      <c r="K221" s="38">
        <f t="shared" si="17"/>
        <v>-60</v>
      </c>
      <c r="L221" s="38"/>
      <c r="M221" s="40">
        <f t="shared" si="18"/>
        <v>0</v>
      </c>
    </row>
    <row r="222" spans="1:13" x14ac:dyDescent="0.25">
      <c r="A222" s="59"/>
      <c r="G222" s="16"/>
      <c r="H222" s="38">
        <v>217</v>
      </c>
      <c r="I222" s="39" t="str">
        <f t="shared" si="16"/>
        <v/>
      </c>
      <c r="J222" s="38">
        <f t="shared" si="19"/>
        <v>-6</v>
      </c>
      <c r="K222" s="38">
        <f t="shared" si="17"/>
        <v>-60</v>
      </c>
      <c r="L222" s="38"/>
      <c r="M222" s="40">
        <f t="shared" si="18"/>
        <v>0</v>
      </c>
    </row>
    <row r="223" spans="1:13" x14ac:dyDescent="0.25">
      <c r="A223" s="59"/>
      <c r="G223" s="16"/>
      <c r="H223" s="38">
        <v>218</v>
      </c>
      <c r="I223" s="39" t="str">
        <f t="shared" si="16"/>
        <v/>
      </c>
      <c r="J223" s="38">
        <f t="shared" si="19"/>
        <v>-6</v>
      </c>
      <c r="K223" s="38">
        <f t="shared" si="17"/>
        <v>-60</v>
      </c>
      <c r="L223" s="38"/>
      <c r="M223" s="40">
        <f t="shared" si="18"/>
        <v>0</v>
      </c>
    </row>
    <row r="224" spans="1:13" x14ac:dyDescent="0.25">
      <c r="A224" s="59"/>
      <c r="G224" s="16"/>
      <c r="H224" s="38">
        <v>219</v>
      </c>
      <c r="I224" s="39" t="str">
        <f t="shared" si="16"/>
        <v/>
      </c>
      <c r="J224" s="38">
        <f t="shared" si="19"/>
        <v>-6</v>
      </c>
      <c r="K224" s="38">
        <f t="shared" si="17"/>
        <v>-60</v>
      </c>
      <c r="L224" s="38"/>
      <c r="M224" s="40">
        <f t="shared" si="18"/>
        <v>0</v>
      </c>
    </row>
    <row r="225" spans="1:13" x14ac:dyDescent="0.25">
      <c r="A225" s="59"/>
      <c r="G225" s="16"/>
      <c r="H225" s="38">
        <v>220</v>
      </c>
      <c r="I225" s="39" t="str">
        <f t="shared" si="16"/>
        <v/>
      </c>
      <c r="J225" s="38">
        <f t="shared" si="19"/>
        <v>-6</v>
      </c>
      <c r="K225" s="38">
        <f t="shared" si="17"/>
        <v>-60</v>
      </c>
      <c r="L225" s="38"/>
      <c r="M225" s="40">
        <f t="shared" si="18"/>
        <v>0</v>
      </c>
    </row>
    <row r="226" spans="1:13" x14ac:dyDescent="0.25">
      <c r="A226" s="59"/>
      <c r="G226" s="16"/>
      <c r="H226" s="38">
        <v>221</v>
      </c>
      <c r="I226" s="39" t="str">
        <f t="shared" si="16"/>
        <v/>
      </c>
      <c r="J226" s="38">
        <f t="shared" si="19"/>
        <v>-6</v>
      </c>
      <c r="K226" s="38">
        <f t="shared" si="17"/>
        <v>-60</v>
      </c>
      <c r="L226" s="38"/>
      <c r="M226" s="40">
        <f t="shared" si="18"/>
        <v>0</v>
      </c>
    </row>
    <row r="227" spans="1:13" x14ac:dyDescent="0.25">
      <c r="A227" s="59"/>
      <c r="G227" s="16"/>
      <c r="H227" s="38">
        <v>222</v>
      </c>
      <c r="I227" s="39" t="str">
        <f t="shared" si="16"/>
        <v/>
      </c>
      <c r="J227" s="38">
        <f t="shared" si="19"/>
        <v>-6</v>
      </c>
      <c r="K227" s="38">
        <f t="shared" si="17"/>
        <v>-60</v>
      </c>
      <c r="L227" s="38"/>
      <c r="M227" s="40">
        <f t="shared" si="18"/>
        <v>0</v>
      </c>
    </row>
    <row r="228" spans="1:13" x14ac:dyDescent="0.25">
      <c r="A228" s="59"/>
      <c r="G228" s="16"/>
      <c r="H228" s="38">
        <v>223</v>
      </c>
      <c r="I228" s="39" t="str">
        <f t="shared" si="16"/>
        <v/>
      </c>
      <c r="J228" s="38">
        <f t="shared" si="19"/>
        <v>-6</v>
      </c>
      <c r="K228" s="38">
        <f t="shared" si="17"/>
        <v>-60</v>
      </c>
      <c r="L228" s="38"/>
      <c r="M228" s="40">
        <f t="shared" si="18"/>
        <v>0</v>
      </c>
    </row>
    <row r="229" spans="1:13" x14ac:dyDescent="0.25">
      <c r="A229" s="59"/>
      <c r="G229" s="16"/>
      <c r="H229" s="38">
        <v>224</v>
      </c>
      <c r="I229" s="39" t="str">
        <f t="shared" si="16"/>
        <v/>
      </c>
      <c r="J229" s="38">
        <f t="shared" si="19"/>
        <v>-6</v>
      </c>
      <c r="K229" s="38">
        <f t="shared" si="17"/>
        <v>-60</v>
      </c>
      <c r="L229" s="38"/>
      <c r="M229" s="40">
        <f t="shared" si="18"/>
        <v>0</v>
      </c>
    </row>
    <row r="230" spans="1:13" x14ac:dyDescent="0.25">
      <c r="A230" s="59"/>
      <c r="G230" s="16"/>
      <c r="H230" s="38">
        <v>225</v>
      </c>
      <c r="I230" s="39" t="str">
        <f t="shared" si="16"/>
        <v/>
      </c>
      <c r="J230" s="38">
        <f t="shared" si="19"/>
        <v>-6</v>
      </c>
      <c r="K230" s="38">
        <f t="shared" si="17"/>
        <v>-60</v>
      </c>
      <c r="L230" s="38"/>
      <c r="M230" s="40">
        <f t="shared" si="18"/>
        <v>0</v>
      </c>
    </row>
    <row r="231" spans="1:13" x14ac:dyDescent="0.25">
      <c r="A231" s="59"/>
      <c r="G231" s="16"/>
      <c r="H231" s="38">
        <v>226</v>
      </c>
      <c r="I231" s="39" t="str">
        <f t="shared" si="16"/>
        <v/>
      </c>
      <c r="J231" s="38">
        <f t="shared" si="19"/>
        <v>-6</v>
      </c>
      <c r="K231" s="38">
        <f t="shared" si="17"/>
        <v>-60</v>
      </c>
      <c r="L231" s="38"/>
      <c r="M231" s="40">
        <f t="shared" si="18"/>
        <v>0</v>
      </c>
    </row>
    <row r="232" spans="1:13" x14ac:dyDescent="0.25">
      <c r="A232" s="59"/>
      <c r="G232" s="16"/>
      <c r="H232" s="38">
        <v>227</v>
      </c>
      <c r="I232" s="39" t="str">
        <f t="shared" si="16"/>
        <v/>
      </c>
      <c r="J232" s="38">
        <f t="shared" si="19"/>
        <v>-6</v>
      </c>
      <c r="K232" s="38">
        <f t="shared" si="17"/>
        <v>-60</v>
      </c>
      <c r="L232" s="38"/>
      <c r="M232" s="40">
        <f t="shared" si="18"/>
        <v>0</v>
      </c>
    </row>
    <row r="233" spans="1:13" x14ac:dyDescent="0.25">
      <c r="A233" s="59"/>
      <c r="G233" s="16"/>
      <c r="H233" s="38">
        <v>228</v>
      </c>
      <c r="I233" s="39" t="str">
        <f t="shared" si="16"/>
        <v/>
      </c>
      <c r="J233" s="38">
        <f t="shared" si="19"/>
        <v>-6</v>
      </c>
      <c r="K233" s="38">
        <f t="shared" si="17"/>
        <v>-60</v>
      </c>
      <c r="L233" s="38"/>
      <c r="M233" s="40">
        <f t="shared" si="18"/>
        <v>0</v>
      </c>
    </row>
    <row r="234" spans="1:13" x14ac:dyDescent="0.25">
      <c r="A234" s="59"/>
      <c r="G234" s="16"/>
      <c r="H234" s="38">
        <v>229</v>
      </c>
      <c r="I234" s="39" t="str">
        <f t="shared" si="16"/>
        <v/>
      </c>
      <c r="J234" s="38">
        <f t="shared" si="19"/>
        <v>-6</v>
      </c>
      <c r="K234" s="38">
        <f t="shared" si="17"/>
        <v>-60</v>
      </c>
      <c r="L234" s="38"/>
      <c r="M234" s="40">
        <f t="shared" si="18"/>
        <v>0</v>
      </c>
    </row>
    <row r="235" spans="1:13" x14ac:dyDescent="0.25">
      <c r="A235" s="59"/>
      <c r="G235" s="16"/>
      <c r="H235" s="38">
        <v>230</v>
      </c>
      <c r="I235" s="39" t="str">
        <f t="shared" si="16"/>
        <v/>
      </c>
      <c r="J235" s="38">
        <f t="shared" si="19"/>
        <v>-6</v>
      </c>
      <c r="K235" s="38">
        <f t="shared" si="17"/>
        <v>-60</v>
      </c>
      <c r="L235" s="38"/>
      <c r="M235" s="40">
        <f t="shared" si="18"/>
        <v>0</v>
      </c>
    </row>
    <row r="236" spans="1:13" x14ac:dyDescent="0.25">
      <c r="A236" s="59"/>
      <c r="G236" s="16"/>
      <c r="H236" s="38">
        <v>231</v>
      </c>
      <c r="I236" s="39" t="str">
        <f t="shared" si="16"/>
        <v/>
      </c>
      <c r="J236" s="38">
        <f t="shared" si="19"/>
        <v>-6</v>
      </c>
      <c r="K236" s="38">
        <f t="shared" si="17"/>
        <v>-60</v>
      </c>
      <c r="L236" s="38"/>
      <c r="M236" s="40">
        <f t="shared" si="18"/>
        <v>0</v>
      </c>
    </row>
    <row r="237" spans="1:13" x14ac:dyDescent="0.25">
      <c r="A237" s="59"/>
      <c r="G237" s="16"/>
      <c r="H237" s="38">
        <v>232</v>
      </c>
      <c r="I237" s="39" t="str">
        <f t="shared" si="16"/>
        <v/>
      </c>
      <c r="J237" s="38">
        <f t="shared" si="19"/>
        <v>-6</v>
      </c>
      <c r="K237" s="38">
        <f t="shared" si="17"/>
        <v>-60</v>
      </c>
      <c r="L237" s="38"/>
      <c r="M237" s="40">
        <f t="shared" si="18"/>
        <v>0</v>
      </c>
    </row>
    <row r="238" spans="1:13" x14ac:dyDescent="0.25">
      <c r="A238" s="59"/>
      <c r="G238" s="16"/>
      <c r="H238" s="38">
        <v>233</v>
      </c>
      <c r="I238" s="39" t="str">
        <f t="shared" si="16"/>
        <v/>
      </c>
      <c r="J238" s="38">
        <f t="shared" si="19"/>
        <v>-6</v>
      </c>
      <c r="K238" s="38">
        <f t="shared" si="17"/>
        <v>-60</v>
      </c>
      <c r="L238" s="38"/>
      <c r="M238" s="40">
        <f t="shared" si="18"/>
        <v>0</v>
      </c>
    </row>
    <row r="239" spans="1:13" x14ac:dyDescent="0.25">
      <c r="A239" s="59"/>
      <c r="G239" s="16"/>
      <c r="H239" s="38">
        <v>234</v>
      </c>
      <c r="I239" s="39" t="str">
        <f t="shared" si="16"/>
        <v/>
      </c>
      <c r="J239" s="38">
        <f t="shared" si="19"/>
        <v>-6</v>
      </c>
      <c r="K239" s="38">
        <f t="shared" si="17"/>
        <v>-60</v>
      </c>
      <c r="L239" s="38"/>
      <c r="M239" s="40">
        <f t="shared" si="18"/>
        <v>0</v>
      </c>
    </row>
    <row r="240" spans="1:13" x14ac:dyDescent="0.25">
      <c r="A240" s="59"/>
      <c r="G240" s="16"/>
      <c r="H240" s="38">
        <v>235</v>
      </c>
      <c r="I240" s="39" t="str">
        <f t="shared" si="16"/>
        <v/>
      </c>
      <c r="J240" s="38">
        <f t="shared" si="19"/>
        <v>-6</v>
      </c>
      <c r="K240" s="38">
        <f t="shared" si="17"/>
        <v>-60</v>
      </c>
      <c r="L240" s="38"/>
      <c r="M240" s="40">
        <f t="shared" si="18"/>
        <v>0</v>
      </c>
    </row>
    <row r="241" spans="1:13" x14ac:dyDescent="0.25">
      <c r="A241" s="59"/>
      <c r="G241" s="16"/>
      <c r="H241" s="38">
        <v>236</v>
      </c>
      <c r="I241" s="39" t="str">
        <f t="shared" si="16"/>
        <v/>
      </c>
      <c r="J241" s="38">
        <f t="shared" si="19"/>
        <v>-6</v>
      </c>
      <c r="K241" s="38">
        <f t="shared" si="17"/>
        <v>-60</v>
      </c>
      <c r="L241" s="38"/>
      <c r="M241" s="40">
        <f t="shared" si="18"/>
        <v>0</v>
      </c>
    </row>
    <row r="242" spans="1:13" x14ac:dyDescent="0.25">
      <c r="A242" s="59"/>
      <c r="G242" s="16"/>
      <c r="H242" s="38">
        <v>237</v>
      </c>
      <c r="I242" s="39" t="str">
        <f t="shared" si="16"/>
        <v/>
      </c>
      <c r="J242" s="38">
        <f t="shared" si="19"/>
        <v>-6</v>
      </c>
      <c r="K242" s="38">
        <f t="shared" si="17"/>
        <v>-60</v>
      </c>
      <c r="L242" s="38"/>
      <c r="M242" s="40">
        <f t="shared" si="18"/>
        <v>0</v>
      </c>
    </row>
    <row r="243" spans="1:13" x14ac:dyDescent="0.25">
      <c r="A243" s="59"/>
      <c r="G243" s="16"/>
      <c r="H243" s="38">
        <v>238</v>
      </c>
      <c r="I243" s="39" t="str">
        <f t="shared" si="16"/>
        <v/>
      </c>
      <c r="J243" s="38">
        <f t="shared" si="19"/>
        <v>-6</v>
      </c>
      <c r="K243" s="38">
        <f t="shared" si="17"/>
        <v>-60</v>
      </c>
      <c r="L243" s="38"/>
      <c r="M243" s="40">
        <f t="shared" si="18"/>
        <v>0</v>
      </c>
    </row>
    <row r="244" spans="1:13" x14ac:dyDescent="0.25">
      <c r="A244" s="59"/>
      <c r="G244" s="16"/>
      <c r="H244" s="38">
        <v>239</v>
      </c>
      <c r="I244" s="39" t="str">
        <f t="shared" si="16"/>
        <v/>
      </c>
      <c r="J244" s="38">
        <f t="shared" si="19"/>
        <v>-6</v>
      </c>
      <c r="K244" s="38">
        <f t="shared" si="17"/>
        <v>-60</v>
      </c>
      <c r="L244" s="38"/>
      <c r="M244" s="40">
        <f t="shared" si="18"/>
        <v>0</v>
      </c>
    </row>
    <row r="245" spans="1:13" x14ac:dyDescent="0.25">
      <c r="A245" s="59"/>
      <c r="G245" s="16"/>
      <c r="H245" s="38">
        <v>240</v>
      </c>
      <c r="I245" s="39" t="str">
        <f t="shared" si="16"/>
        <v/>
      </c>
      <c r="J245" s="38">
        <f t="shared" si="19"/>
        <v>-6</v>
      </c>
      <c r="K245" s="38">
        <f t="shared" si="17"/>
        <v>-60</v>
      </c>
      <c r="L245" s="38"/>
      <c r="M245" s="40">
        <f t="shared" si="18"/>
        <v>0</v>
      </c>
    </row>
    <row r="246" spans="1:13" x14ac:dyDescent="0.25">
      <c r="A246" s="59"/>
      <c r="G246" s="16"/>
      <c r="H246" s="38">
        <v>241</v>
      </c>
      <c r="I246" s="39" t="str">
        <f t="shared" si="16"/>
        <v/>
      </c>
      <c r="J246" s="38">
        <f t="shared" si="19"/>
        <v>-6</v>
      </c>
      <c r="K246" s="38">
        <f t="shared" si="17"/>
        <v>-60</v>
      </c>
      <c r="L246" s="38"/>
      <c r="M246" s="40">
        <f t="shared" si="18"/>
        <v>0</v>
      </c>
    </row>
    <row r="247" spans="1:13" x14ac:dyDescent="0.25">
      <c r="A247" s="59"/>
      <c r="G247" s="16"/>
      <c r="H247" s="38">
        <v>242</v>
      </c>
      <c r="I247" s="39" t="str">
        <f t="shared" si="16"/>
        <v/>
      </c>
      <c r="J247" s="38">
        <f t="shared" si="19"/>
        <v>-6</v>
      </c>
      <c r="K247" s="38">
        <f t="shared" si="17"/>
        <v>-60</v>
      </c>
      <c r="L247" s="38"/>
      <c r="M247" s="40">
        <f t="shared" si="18"/>
        <v>0</v>
      </c>
    </row>
    <row r="248" spans="1:13" x14ac:dyDescent="0.25">
      <c r="A248" s="59"/>
      <c r="G248" s="16"/>
      <c r="H248" s="38">
        <v>243</v>
      </c>
      <c r="I248" s="39" t="str">
        <f t="shared" si="16"/>
        <v/>
      </c>
      <c r="J248" s="38">
        <f t="shared" si="19"/>
        <v>-6</v>
      </c>
      <c r="K248" s="38">
        <f t="shared" si="17"/>
        <v>-60</v>
      </c>
      <c r="L248" s="38"/>
      <c r="M248" s="40">
        <f t="shared" si="18"/>
        <v>0</v>
      </c>
    </row>
    <row r="249" spans="1:13" x14ac:dyDescent="0.25">
      <c r="A249" s="59"/>
      <c r="G249" s="16"/>
      <c r="H249" s="38">
        <v>244</v>
      </c>
      <c r="I249" s="39" t="str">
        <f t="shared" si="16"/>
        <v/>
      </c>
      <c r="J249" s="38">
        <f t="shared" si="19"/>
        <v>-6</v>
      </c>
      <c r="K249" s="38">
        <f t="shared" si="17"/>
        <v>-60</v>
      </c>
      <c r="L249" s="38"/>
      <c r="M249" s="40">
        <f t="shared" si="18"/>
        <v>0</v>
      </c>
    </row>
    <row r="250" spans="1:13" x14ac:dyDescent="0.25">
      <c r="A250" s="59"/>
      <c r="G250" s="16"/>
      <c r="H250" s="38">
        <v>245</v>
      </c>
      <c r="I250" s="39" t="str">
        <f t="shared" si="16"/>
        <v/>
      </c>
      <c r="J250" s="38">
        <f t="shared" si="19"/>
        <v>-6</v>
      </c>
      <c r="K250" s="38">
        <f t="shared" si="17"/>
        <v>-60</v>
      </c>
      <c r="L250" s="38"/>
      <c r="M250" s="40">
        <f t="shared" si="18"/>
        <v>0</v>
      </c>
    </row>
    <row r="251" spans="1:13" x14ac:dyDescent="0.25">
      <c r="A251" s="59"/>
      <c r="G251" s="16"/>
      <c r="H251" s="38">
        <v>246</v>
      </c>
      <c r="I251" s="39" t="str">
        <f t="shared" si="16"/>
        <v/>
      </c>
      <c r="J251" s="38">
        <f t="shared" si="19"/>
        <v>-6</v>
      </c>
      <c r="K251" s="38">
        <f t="shared" si="17"/>
        <v>-60</v>
      </c>
      <c r="L251" s="38"/>
      <c r="M251" s="40">
        <f t="shared" si="18"/>
        <v>0</v>
      </c>
    </row>
    <row r="252" spans="1:13" x14ac:dyDescent="0.25">
      <c r="A252" s="59"/>
      <c r="G252" s="16"/>
      <c r="H252" s="38">
        <v>247</v>
      </c>
      <c r="I252" s="39" t="str">
        <f t="shared" si="16"/>
        <v/>
      </c>
      <c r="J252" s="38">
        <f t="shared" si="19"/>
        <v>-6</v>
      </c>
      <c r="K252" s="38">
        <f t="shared" si="17"/>
        <v>-60</v>
      </c>
      <c r="L252" s="38"/>
      <c r="M252" s="40">
        <f t="shared" si="18"/>
        <v>0</v>
      </c>
    </row>
    <row r="253" spans="1:13" x14ac:dyDescent="0.25">
      <c r="A253" s="59"/>
      <c r="G253" s="16"/>
      <c r="H253" s="38">
        <v>248</v>
      </c>
      <c r="I253" s="39" t="str">
        <f t="shared" si="16"/>
        <v/>
      </c>
      <c r="J253" s="38">
        <f t="shared" si="19"/>
        <v>-6</v>
      </c>
      <c r="K253" s="38">
        <f t="shared" si="17"/>
        <v>-60</v>
      </c>
      <c r="L253" s="38"/>
      <c r="M253" s="40">
        <f t="shared" si="18"/>
        <v>0</v>
      </c>
    </row>
    <row r="254" spans="1:13" x14ac:dyDescent="0.25">
      <c r="A254" s="59"/>
      <c r="G254" s="16"/>
      <c r="H254" s="38">
        <v>249</v>
      </c>
      <c r="I254" s="39" t="str">
        <f t="shared" si="16"/>
        <v/>
      </c>
      <c r="J254" s="38">
        <f t="shared" si="19"/>
        <v>-6</v>
      </c>
      <c r="K254" s="38">
        <f t="shared" si="17"/>
        <v>-60</v>
      </c>
      <c r="L254" s="38"/>
      <c r="M254" s="40">
        <f t="shared" si="18"/>
        <v>0</v>
      </c>
    </row>
    <row r="255" spans="1:13" x14ac:dyDescent="0.25">
      <c r="A255" s="59"/>
      <c r="G255" s="16"/>
      <c r="H255" s="38">
        <v>250</v>
      </c>
      <c r="I255" s="39" t="str">
        <f t="shared" si="16"/>
        <v/>
      </c>
      <c r="J255" s="38">
        <f t="shared" si="19"/>
        <v>-6</v>
      </c>
      <c r="K255" s="38">
        <f t="shared" si="17"/>
        <v>-60</v>
      </c>
      <c r="L255" s="38"/>
      <c r="M255" s="40">
        <f t="shared" si="18"/>
        <v>0</v>
      </c>
    </row>
    <row r="256" spans="1:13" x14ac:dyDescent="0.25">
      <c r="A256" s="59"/>
      <c r="G256" s="16"/>
      <c r="H256" s="38">
        <v>251</v>
      </c>
      <c r="I256" s="39" t="str">
        <f t="shared" si="16"/>
        <v/>
      </c>
      <c r="J256" s="38">
        <f t="shared" si="19"/>
        <v>-6</v>
      </c>
      <c r="K256" s="38">
        <f t="shared" si="17"/>
        <v>-60</v>
      </c>
      <c r="L256" s="38"/>
      <c r="M256" s="40">
        <f t="shared" si="18"/>
        <v>0</v>
      </c>
    </row>
    <row r="257" spans="1:13" x14ac:dyDescent="0.25">
      <c r="A257" s="59"/>
      <c r="G257" s="16"/>
      <c r="H257" s="38">
        <v>252</v>
      </c>
      <c r="I257" s="39" t="str">
        <f t="shared" si="16"/>
        <v/>
      </c>
      <c r="J257" s="38">
        <f t="shared" si="19"/>
        <v>-6</v>
      </c>
      <c r="K257" s="38">
        <f t="shared" si="17"/>
        <v>-60</v>
      </c>
      <c r="L257" s="38"/>
      <c r="M257" s="40">
        <f t="shared" si="18"/>
        <v>0</v>
      </c>
    </row>
    <row r="258" spans="1:13" x14ac:dyDescent="0.25">
      <c r="A258" s="59"/>
      <c r="G258" s="16"/>
      <c r="H258" s="38">
        <v>253</v>
      </c>
      <c r="I258" s="39" t="str">
        <f t="shared" si="16"/>
        <v/>
      </c>
      <c r="J258" s="38">
        <f t="shared" si="19"/>
        <v>-6</v>
      </c>
      <c r="K258" s="38">
        <f t="shared" si="17"/>
        <v>-60</v>
      </c>
      <c r="L258" s="38"/>
      <c r="M258" s="40">
        <f t="shared" si="18"/>
        <v>0</v>
      </c>
    </row>
    <row r="259" spans="1:13" x14ac:dyDescent="0.25">
      <c r="A259" s="59"/>
      <c r="G259" s="16"/>
      <c r="H259" s="38">
        <v>254</v>
      </c>
      <c r="I259" s="39" t="str">
        <f t="shared" si="16"/>
        <v/>
      </c>
      <c r="J259" s="38">
        <f t="shared" si="19"/>
        <v>-6</v>
      </c>
      <c r="K259" s="38">
        <f t="shared" si="17"/>
        <v>-60</v>
      </c>
      <c r="L259" s="38"/>
      <c r="M259" s="40">
        <f t="shared" si="18"/>
        <v>0</v>
      </c>
    </row>
    <row r="260" spans="1:13" x14ac:dyDescent="0.25">
      <c r="A260" s="59"/>
      <c r="G260" s="16"/>
      <c r="H260" s="38">
        <v>255</v>
      </c>
      <c r="I260" s="39" t="str">
        <f t="shared" si="16"/>
        <v/>
      </c>
      <c r="J260" s="38">
        <f t="shared" si="19"/>
        <v>-6</v>
      </c>
      <c r="K260" s="38">
        <f t="shared" si="17"/>
        <v>-60</v>
      </c>
      <c r="L260" s="38"/>
      <c r="M260" s="40">
        <f t="shared" si="18"/>
        <v>0</v>
      </c>
    </row>
    <row r="261" spans="1:13" x14ac:dyDescent="0.25">
      <c r="A261" s="59"/>
      <c r="G261" s="16"/>
      <c r="H261" s="38">
        <v>256</v>
      </c>
      <c r="I261" s="39" t="str">
        <f t="shared" si="16"/>
        <v/>
      </c>
      <c r="J261" s="38">
        <f t="shared" si="19"/>
        <v>-6</v>
      </c>
      <c r="K261" s="38">
        <f t="shared" si="17"/>
        <v>-60</v>
      </c>
      <c r="L261" s="38"/>
      <c r="M261" s="40">
        <f t="shared" si="18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20">IF(H262&lt;$H$2+1,($I$2-($I$2-1)*(LOG(H262)/LOG($H$2))),"")</f>
        <v/>
      </c>
      <c r="J262" s="38">
        <f t="shared" si="19"/>
        <v>-7</v>
      </c>
      <c r="K262" s="38">
        <f t="shared" ref="K262:K305" si="21">J262*$J$2</f>
        <v>-70</v>
      </c>
      <c r="L262" s="38"/>
      <c r="M262" s="40">
        <f t="shared" ref="M262:M305" si="22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20"/>
        <v/>
      </c>
      <c r="J263" s="38">
        <f t="shared" ref="J263:J305" si="23">INT(LOG($H$2,2))-ROUNDUP(LOG(H263,2),0)+IF(OR($H$2=1,$H$2=2,$H$2=4,$H$2=8,$H$2=16,$H$2=32,$H$2=64,$H$2=128,$H$2=256),1,0)</f>
        <v>-7</v>
      </c>
      <c r="K263" s="38">
        <f t="shared" si="21"/>
        <v>-70</v>
      </c>
      <c r="L263" s="38"/>
      <c r="M263" s="40">
        <f t="shared" si="22"/>
        <v>0</v>
      </c>
    </row>
    <row r="264" spans="1:13" x14ac:dyDescent="0.25">
      <c r="A264" s="59"/>
      <c r="G264" s="16"/>
      <c r="H264" s="38">
        <v>259</v>
      </c>
      <c r="I264" s="39" t="str">
        <f t="shared" si="20"/>
        <v/>
      </c>
      <c r="J264" s="38">
        <f t="shared" si="23"/>
        <v>-7</v>
      </c>
      <c r="K264" s="38">
        <f t="shared" si="21"/>
        <v>-70</v>
      </c>
      <c r="L264" s="38"/>
      <c r="M264" s="40">
        <f t="shared" si="22"/>
        <v>0</v>
      </c>
    </row>
    <row r="265" spans="1:13" x14ac:dyDescent="0.25">
      <c r="A265" s="59"/>
      <c r="G265" s="16"/>
      <c r="H265" s="38">
        <v>260</v>
      </c>
      <c r="I265" s="39" t="str">
        <f t="shared" si="20"/>
        <v/>
      </c>
      <c r="J265" s="38">
        <f t="shared" si="23"/>
        <v>-7</v>
      </c>
      <c r="K265" s="38">
        <f t="shared" si="21"/>
        <v>-70</v>
      </c>
      <c r="L265" s="38"/>
      <c r="M265" s="40">
        <f t="shared" si="22"/>
        <v>0</v>
      </c>
    </row>
    <row r="266" spans="1:13" x14ac:dyDescent="0.25">
      <c r="A266" s="59"/>
      <c r="G266" s="16"/>
      <c r="H266" s="38">
        <v>261</v>
      </c>
      <c r="I266" s="39" t="str">
        <f t="shared" si="20"/>
        <v/>
      </c>
      <c r="J266" s="38">
        <f t="shared" si="23"/>
        <v>-7</v>
      </c>
      <c r="K266" s="38">
        <f t="shared" si="21"/>
        <v>-70</v>
      </c>
      <c r="L266" s="38"/>
      <c r="M266" s="40">
        <f t="shared" si="22"/>
        <v>0</v>
      </c>
    </row>
    <row r="267" spans="1:13" x14ac:dyDescent="0.25">
      <c r="A267" s="59"/>
      <c r="G267" s="16"/>
      <c r="H267" s="38">
        <v>262</v>
      </c>
      <c r="I267" s="39" t="str">
        <f t="shared" si="20"/>
        <v/>
      </c>
      <c r="J267" s="38">
        <f t="shared" si="23"/>
        <v>-7</v>
      </c>
      <c r="K267" s="38">
        <f t="shared" si="21"/>
        <v>-70</v>
      </c>
      <c r="L267" s="38"/>
      <c r="M267" s="40">
        <f t="shared" si="22"/>
        <v>0</v>
      </c>
    </row>
    <row r="268" spans="1:13" x14ac:dyDescent="0.25">
      <c r="A268" s="59"/>
      <c r="G268" s="16"/>
      <c r="H268" s="38">
        <v>263</v>
      </c>
      <c r="I268" s="39" t="str">
        <f t="shared" si="20"/>
        <v/>
      </c>
      <c r="J268" s="38">
        <f t="shared" si="23"/>
        <v>-7</v>
      </c>
      <c r="K268" s="38">
        <f t="shared" si="21"/>
        <v>-70</v>
      </c>
      <c r="L268" s="38"/>
      <c r="M268" s="40">
        <f t="shared" si="22"/>
        <v>0</v>
      </c>
    </row>
    <row r="269" spans="1:13" x14ac:dyDescent="0.25">
      <c r="A269" s="59"/>
      <c r="G269" s="16"/>
      <c r="H269" s="38">
        <v>264</v>
      </c>
      <c r="I269" s="39" t="str">
        <f t="shared" si="20"/>
        <v/>
      </c>
      <c r="J269" s="38">
        <f t="shared" si="23"/>
        <v>-7</v>
      </c>
      <c r="K269" s="38">
        <f t="shared" si="21"/>
        <v>-70</v>
      </c>
      <c r="L269" s="38"/>
      <c r="M269" s="40">
        <f t="shared" si="22"/>
        <v>0</v>
      </c>
    </row>
    <row r="270" spans="1:13" x14ac:dyDescent="0.25">
      <c r="A270" s="59"/>
      <c r="G270" s="16"/>
      <c r="H270" s="38">
        <v>265</v>
      </c>
      <c r="I270" s="39" t="str">
        <f t="shared" si="20"/>
        <v/>
      </c>
      <c r="J270" s="38">
        <f t="shared" si="23"/>
        <v>-7</v>
      </c>
      <c r="K270" s="38">
        <f t="shared" si="21"/>
        <v>-70</v>
      </c>
      <c r="L270" s="38"/>
      <c r="M270" s="40">
        <f t="shared" si="22"/>
        <v>0</v>
      </c>
    </row>
    <row r="271" spans="1:13" x14ac:dyDescent="0.25">
      <c r="A271" s="59"/>
      <c r="G271" s="16"/>
      <c r="H271" s="38">
        <v>266</v>
      </c>
      <c r="I271" s="39" t="str">
        <f t="shared" si="20"/>
        <v/>
      </c>
      <c r="J271" s="38">
        <f t="shared" si="23"/>
        <v>-7</v>
      </c>
      <c r="K271" s="38">
        <f t="shared" si="21"/>
        <v>-70</v>
      </c>
      <c r="L271" s="38"/>
      <c r="M271" s="40">
        <f t="shared" si="22"/>
        <v>0</v>
      </c>
    </row>
    <row r="272" spans="1:13" x14ac:dyDescent="0.25">
      <c r="A272" s="59"/>
      <c r="G272" s="16"/>
      <c r="H272" s="38">
        <v>267</v>
      </c>
      <c r="I272" s="39" t="str">
        <f t="shared" si="20"/>
        <v/>
      </c>
      <c r="J272" s="38">
        <f t="shared" si="23"/>
        <v>-7</v>
      </c>
      <c r="K272" s="38">
        <f t="shared" si="21"/>
        <v>-70</v>
      </c>
      <c r="L272" s="38"/>
      <c r="M272" s="40">
        <f t="shared" si="22"/>
        <v>0</v>
      </c>
    </row>
    <row r="273" spans="1:13" x14ac:dyDescent="0.25">
      <c r="A273" s="59"/>
      <c r="G273" s="16"/>
      <c r="H273" s="38">
        <v>268</v>
      </c>
      <c r="I273" s="39" t="str">
        <f t="shared" si="20"/>
        <v/>
      </c>
      <c r="J273" s="38">
        <f t="shared" si="23"/>
        <v>-7</v>
      </c>
      <c r="K273" s="38">
        <f t="shared" si="21"/>
        <v>-70</v>
      </c>
      <c r="L273" s="38"/>
      <c r="M273" s="40">
        <f t="shared" si="22"/>
        <v>0</v>
      </c>
    </row>
    <row r="274" spans="1:13" x14ac:dyDescent="0.25">
      <c r="A274" s="59"/>
      <c r="G274" s="16"/>
      <c r="H274" s="38">
        <v>269</v>
      </c>
      <c r="I274" s="39" t="str">
        <f t="shared" si="20"/>
        <v/>
      </c>
      <c r="J274" s="38">
        <f t="shared" si="23"/>
        <v>-7</v>
      </c>
      <c r="K274" s="38">
        <f t="shared" si="21"/>
        <v>-70</v>
      </c>
      <c r="L274" s="38"/>
      <c r="M274" s="40">
        <f t="shared" si="22"/>
        <v>0</v>
      </c>
    </row>
    <row r="275" spans="1:13" x14ac:dyDescent="0.25">
      <c r="A275" s="59"/>
      <c r="G275" s="16"/>
      <c r="H275" s="38">
        <v>270</v>
      </c>
      <c r="I275" s="39" t="str">
        <f t="shared" si="20"/>
        <v/>
      </c>
      <c r="J275" s="38">
        <f t="shared" si="23"/>
        <v>-7</v>
      </c>
      <c r="K275" s="38">
        <f t="shared" si="21"/>
        <v>-70</v>
      </c>
      <c r="L275" s="38"/>
      <c r="M275" s="40">
        <f t="shared" si="22"/>
        <v>0</v>
      </c>
    </row>
    <row r="276" spans="1:13" x14ac:dyDescent="0.25">
      <c r="A276" s="59"/>
      <c r="G276" s="16"/>
      <c r="H276" s="38">
        <v>271</v>
      </c>
      <c r="I276" s="39" t="str">
        <f t="shared" si="20"/>
        <v/>
      </c>
      <c r="J276" s="38">
        <f t="shared" si="23"/>
        <v>-7</v>
      </c>
      <c r="K276" s="38">
        <f t="shared" si="21"/>
        <v>-70</v>
      </c>
      <c r="L276" s="38"/>
      <c r="M276" s="40">
        <f t="shared" si="22"/>
        <v>0</v>
      </c>
    </row>
    <row r="277" spans="1:13" x14ac:dyDescent="0.25">
      <c r="A277" s="59"/>
      <c r="G277" s="16"/>
      <c r="H277" s="38">
        <v>272</v>
      </c>
      <c r="I277" s="39" t="str">
        <f t="shared" si="20"/>
        <v/>
      </c>
      <c r="J277" s="38">
        <f t="shared" si="23"/>
        <v>-7</v>
      </c>
      <c r="K277" s="38">
        <f t="shared" si="21"/>
        <v>-70</v>
      </c>
      <c r="L277" s="38"/>
      <c r="M277" s="40">
        <f t="shared" si="22"/>
        <v>0</v>
      </c>
    </row>
    <row r="278" spans="1:13" x14ac:dyDescent="0.25">
      <c r="A278" s="59"/>
      <c r="G278" s="16"/>
      <c r="H278" s="38">
        <v>273</v>
      </c>
      <c r="I278" s="39" t="str">
        <f t="shared" si="20"/>
        <v/>
      </c>
      <c r="J278" s="38">
        <f t="shared" si="23"/>
        <v>-7</v>
      </c>
      <c r="K278" s="38">
        <f t="shared" si="21"/>
        <v>-70</v>
      </c>
      <c r="L278" s="38"/>
      <c r="M278" s="40">
        <f t="shared" si="22"/>
        <v>0</v>
      </c>
    </row>
    <row r="279" spans="1:13" x14ac:dyDescent="0.25">
      <c r="A279" s="59"/>
      <c r="G279" s="16"/>
      <c r="H279" s="38">
        <v>274</v>
      </c>
      <c r="I279" s="39" t="str">
        <f t="shared" si="20"/>
        <v/>
      </c>
      <c r="J279" s="38">
        <f t="shared" si="23"/>
        <v>-7</v>
      </c>
      <c r="K279" s="38">
        <f t="shared" si="21"/>
        <v>-70</v>
      </c>
      <c r="L279" s="38"/>
      <c r="M279" s="40">
        <f t="shared" si="22"/>
        <v>0</v>
      </c>
    </row>
    <row r="280" spans="1:13" x14ac:dyDescent="0.25">
      <c r="A280" s="59"/>
      <c r="G280" s="16"/>
      <c r="H280" s="38">
        <v>275</v>
      </c>
      <c r="I280" s="39" t="str">
        <f t="shared" si="20"/>
        <v/>
      </c>
      <c r="J280" s="38">
        <f t="shared" si="23"/>
        <v>-7</v>
      </c>
      <c r="K280" s="38">
        <f t="shared" si="21"/>
        <v>-70</v>
      </c>
      <c r="L280" s="38"/>
      <c r="M280" s="40">
        <f t="shared" si="22"/>
        <v>0</v>
      </c>
    </row>
    <row r="281" spans="1:13" x14ac:dyDescent="0.25">
      <c r="A281" s="59"/>
      <c r="G281" s="16"/>
      <c r="H281" s="38">
        <v>276</v>
      </c>
      <c r="I281" s="39" t="str">
        <f t="shared" si="20"/>
        <v/>
      </c>
      <c r="J281" s="38">
        <f t="shared" si="23"/>
        <v>-7</v>
      </c>
      <c r="K281" s="38">
        <f t="shared" si="21"/>
        <v>-70</v>
      </c>
      <c r="L281" s="38"/>
      <c r="M281" s="40">
        <f t="shared" si="22"/>
        <v>0</v>
      </c>
    </row>
    <row r="282" spans="1:13" x14ac:dyDescent="0.25">
      <c r="A282" s="59"/>
      <c r="G282" s="16"/>
      <c r="H282" s="38">
        <v>277</v>
      </c>
      <c r="I282" s="39" t="str">
        <f t="shared" si="20"/>
        <v/>
      </c>
      <c r="J282" s="38">
        <f t="shared" si="23"/>
        <v>-7</v>
      </c>
      <c r="K282" s="38">
        <f t="shared" si="21"/>
        <v>-70</v>
      </c>
      <c r="L282" s="38"/>
      <c r="M282" s="40">
        <f t="shared" si="22"/>
        <v>0</v>
      </c>
    </row>
    <row r="283" spans="1:13" x14ac:dyDescent="0.25">
      <c r="A283" s="59"/>
      <c r="G283" s="16"/>
      <c r="H283" s="38">
        <v>278</v>
      </c>
      <c r="I283" s="39" t="str">
        <f t="shared" si="20"/>
        <v/>
      </c>
      <c r="J283" s="38">
        <f t="shared" si="23"/>
        <v>-7</v>
      </c>
      <c r="K283" s="38">
        <f t="shared" si="21"/>
        <v>-70</v>
      </c>
      <c r="L283" s="38"/>
      <c r="M283" s="40">
        <f t="shared" si="22"/>
        <v>0</v>
      </c>
    </row>
    <row r="284" spans="1:13" x14ac:dyDescent="0.25">
      <c r="A284" s="59"/>
      <c r="G284" s="16"/>
      <c r="H284" s="38">
        <v>279</v>
      </c>
      <c r="I284" s="39" t="str">
        <f t="shared" si="20"/>
        <v/>
      </c>
      <c r="J284" s="38">
        <f t="shared" si="23"/>
        <v>-7</v>
      </c>
      <c r="K284" s="38">
        <f t="shared" si="21"/>
        <v>-70</v>
      </c>
      <c r="L284" s="38"/>
      <c r="M284" s="40">
        <f t="shared" si="22"/>
        <v>0</v>
      </c>
    </row>
    <row r="285" spans="1:13" x14ac:dyDescent="0.25">
      <c r="A285" s="59"/>
      <c r="G285" s="16"/>
      <c r="H285" s="38">
        <v>280</v>
      </c>
      <c r="I285" s="39" t="str">
        <f t="shared" si="20"/>
        <v/>
      </c>
      <c r="J285" s="38">
        <f t="shared" si="23"/>
        <v>-7</v>
      </c>
      <c r="K285" s="38">
        <f t="shared" si="21"/>
        <v>-70</v>
      </c>
      <c r="L285" s="38"/>
      <c r="M285" s="40">
        <f t="shared" si="22"/>
        <v>0</v>
      </c>
    </row>
    <row r="286" spans="1:13" x14ac:dyDescent="0.25">
      <c r="A286" s="59"/>
      <c r="G286" s="16"/>
      <c r="H286" s="38">
        <v>281</v>
      </c>
      <c r="I286" s="39" t="str">
        <f t="shared" si="20"/>
        <v/>
      </c>
      <c r="J286" s="38">
        <f t="shared" si="23"/>
        <v>-7</v>
      </c>
      <c r="K286" s="38">
        <f t="shared" si="21"/>
        <v>-70</v>
      </c>
      <c r="L286" s="38"/>
      <c r="M286" s="40">
        <f t="shared" si="22"/>
        <v>0</v>
      </c>
    </row>
    <row r="287" spans="1:13" x14ac:dyDescent="0.25">
      <c r="A287" s="59"/>
      <c r="G287" s="16"/>
      <c r="H287" s="38">
        <v>282</v>
      </c>
      <c r="I287" s="39" t="str">
        <f t="shared" si="20"/>
        <v/>
      </c>
      <c r="J287" s="38">
        <f t="shared" si="23"/>
        <v>-7</v>
      </c>
      <c r="K287" s="38">
        <f t="shared" si="21"/>
        <v>-70</v>
      </c>
      <c r="L287" s="38"/>
      <c r="M287" s="40">
        <f t="shared" si="22"/>
        <v>0</v>
      </c>
    </row>
    <row r="288" spans="1:13" x14ac:dyDescent="0.25">
      <c r="A288" s="59"/>
      <c r="G288" s="16"/>
      <c r="H288" s="38">
        <v>283</v>
      </c>
      <c r="I288" s="39" t="str">
        <f t="shared" si="20"/>
        <v/>
      </c>
      <c r="J288" s="38">
        <f t="shared" si="23"/>
        <v>-7</v>
      </c>
      <c r="K288" s="38">
        <f t="shared" si="21"/>
        <v>-70</v>
      </c>
      <c r="L288" s="38"/>
      <c r="M288" s="40">
        <f t="shared" si="22"/>
        <v>0</v>
      </c>
    </row>
    <row r="289" spans="1:13" x14ac:dyDescent="0.25">
      <c r="A289" s="59"/>
      <c r="G289" s="16"/>
      <c r="H289" s="38">
        <v>284</v>
      </c>
      <c r="I289" s="39" t="str">
        <f t="shared" si="20"/>
        <v/>
      </c>
      <c r="J289" s="38">
        <f t="shared" si="23"/>
        <v>-7</v>
      </c>
      <c r="K289" s="38">
        <f t="shared" si="21"/>
        <v>-70</v>
      </c>
      <c r="L289" s="38"/>
      <c r="M289" s="40">
        <f t="shared" si="22"/>
        <v>0</v>
      </c>
    </row>
    <row r="290" spans="1:13" x14ac:dyDescent="0.25">
      <c r="A290" s="59"/>
      <c r="G290" s="16"/>
      <c r="H290" s="38">
        <v>285</v>
      </c>
      <c r="I290" s="39" t="str">
        <f t="shared" si="20"/>
        <v/>
      </c>
      <c r="J290" s="38">
        <f t="shared" si="23"/>
        <v>-7</v>
      </c>
      <c r="K290" s="38">
        <f t="shared" si="21"/>
        <v>-70</v>
      </c>
      <c r="L290" s="38"/>
      <c r="M290" s="40">
        <f t="shared" si="22"/>
        <v>0</v>
      </c>
    </row>
    <row r="291" spans="1:13" x14ac:dyDescent="0.25">
      <c r="A291" s="59"/>
      <c r="G291" s="16"/>
      <c r="H291" s="38">
        <v>286</v>
      </c>
      <c r="I291" s="39" t="str">
        <f t="shared" si="20"/>
        <v/>
      </c>
      <c r="J291" s="38">
        <f t="shared" si="23"/>
        <v>-7</v>
      </c>
      <c r="K291" s="38">
        <f t="shared" si="21"/>
        <v>-70</v>
      </c>
      <c r="L291" s="38"/>
      <c r="M291" s="40">
        <f t="shared" si="22"/>
        <v>0</v>
      </c>
    </row>
    <row r="292" spans="1:13" x14ac:dyDescent="0.25">
      <c r="A292" s="59"/>
      <c r="G292" s="16"/>
      <c r="H292" s="38">
        <v>287</v>
      </c>
      <c r="I292" s="39" t="str">
        <f t="shared" si="20"/>
        <v/>
      </c>
      <c r="J292" s="38">
        <f t="shared" si="23"/>
        <v>-7</v>
      </c>
      <c r="K292" s="38">
        <f t="shared" si="21"/>
        <v>-70</v>
      </c>
      <c r="L292" s="38"/>
      <c r="M292" s="40">
        <f t="shared" si="22"/>
        <v>0</v>
      </c>
    </row>
    <row r="293" spans="1:13" x14ac:dyDescent="0.25">
      <c r="A293" s="59"/>
      <c r="G293" s="16"/>
      <c r="H293" s="38">
        <v>288</v>
      </c>
      <c r="I293" s="39" t="str">
        <f t="shared" si="20"/>
        <v/>
      </c>
      <c r="J293" s="38">
        <f t="shared" si="23"/>
        <v>-7</v>
      </c>
      <c r="K293" s="38">
        <f t="shared" si="21"/>
        <v>-70</v>
      </c>
      <c r="L293" s="38"/>
      <c r="M293" s="40">
        <f t="shared" si="22"/>
        <v>0</v>
      </c>
    </row>
    <row r="294" spans="1:13" x14ac:dyDescent="0.25">
      <c r="A294" s="59"/>
      <c r="G294" s="16"/>
      <c r="H294" s="38">
        <v>289</v>
      </c>
      <c r="I294" s="39" t="str">
        <f t="shared" si="20"/>
        <v/>
      </c>
      <c r="J294" s="38">
        <f t="shared" si="23"/>
        <v>-7</v>
      </c>
      <c r="K294" s="38">
        <f t="shared" si="21"/>
        <v>-70</v>
      </c>
      <c r="L294" s="38"/>
      <c r="M294" s="40">
        <f t="shared" si="22"/>
        <v>0</v>
      </c>
    </row>
    <row r="295" spans="1:13" x14ac:dyDescent="0.25">
      <c r="A295" s="59"/>
      <c r="G295" s="16"/>
      <c r="H295" s="38">
        <v>290</v>
      </c>
      <c r="I295" s="39" t="str">
        <f t="shared" si="20"/>
        <v/>
      </c>
      <c r="J295" s="38">
        <f t="shared" si="23"/>
        <v>-7</v>
      </c>
      <c r="K295" s="38">
        <f t="shared" si="21"/>
        <v>-70</v>
      </c>
      <c r="L295" s="38"/>
      <c r="M295" s="40">
        <f t="shared" si="22"/>
        <v>0</v>
      </c>
    </row>
    <row r="296" spans="1:13" x14ac:dyDescent="0.25">
      <c r="A296" s="59"/>
      <c r="G296" s="16"/>
      <c r="H296" s="38">
        <v>291</v>
      </c>
      <c r="I296" s="39" t="str">
        <f t="shared" si="20"/>
        <v/>
      </c>
      <c r="J296" s="38">
        <f t="shared" si="23"/>
        <v>-7</v>
      </c>
      <c r="K296" s="38">
        <f t="shared" si="21"/>
        <v>-70</v>
      </c>
      <c r="L296" s="38"/>
      <c r="M296" s="40">
        <f t="shared" si="22"/>
        <v>0</v>
      </c>
    </row>
    <row r="297" spans="1:13" x14ac:dyDescent="0.25">
      <c r="A297" s="59"/>
      <c r="G297" s="16"/>
      <c r="H297" s="38">
        <v>292</v>
      </c>
      <c r="I297" s="39" t="str">
        <f t="shared" si="20"/>
        <v/>
      </c>
      <c r="J297" s="38">
        <f t="shared" si="23"/>
        <v>-7</v>
      </c>
      <c r="K297" s="38">
        <f t="shared" si="21"/>
        <v>-70</v>
      </c>
      <c r="L297" s="38"/>
      <c r="M297" s="40">
        <f t="shared" si="22"/>
        <v>0</v>
      </c>
    </row>
    <row r="298" spans="1:13" x14ac:dyDescent="0.25">
      <c r="A298" s="59"/>
      <c r="G298" s="16"/>
      <c r="H298" s="38">
        <v>293</v>
      </c>
      <c r="I298" s="39" t="str">
        <f t="shared" si="20"/>
        <v/>
      </c>
      <c r="J298" s="38">
        <f t="shared" si="23"/>
        <v>-7</v>
      </c>
      <c r="K298" s="38">
        <f t="shared" si="21"/>
        <v>-70</v>
      </c>
      <c r="L298" s="38"/>
      <c r="M298" s="40">
        <f t="shared" si="22"/>
        <v>0</v>
      </c>
    </row>
    <row r="299" spans="1:13" x14ac:dyDescent="0.25">
      <c r="A299" s="59"/>
      <c r="G299" s="16"/>
      <c r="H299" s="38">
        <v>294</v>
      </c>
      <c r="I299" s="39" t="str">
        <f t="shared" si="20"/>
        <v/>
      </c>
      <c r="J299" s="38">
        <f t="shared" si="23"/>
        <v>-7</v>
      </c>
      <c r="K299" s="38">
        <f t="shared" si="21"/>
        <v>-70</v>
      </c>
      <c r="L299" s="38"/>
      <c r="M299" s="40">
        <f t="shared" si="22"/>
        <v>0</v>
      </c>
    </row>
    <row r="300" spans="1:13" x14ac:dyDescent="0.25">
      <c r="A300" s="59"/>
      <c r="G300" s="16"/>
      <c r="H300" s="38">
        <v>295</v>
      </c>
      <c r="I300" s="39" t="str">
        <f t="shared" si="20"/>
        <v/>
      </c>
      <c r="J300" s="38">
        <f t="shared" si="23"/>
        <v>-7</v>
      </c>
      <c r="K300" s="38">
        <f t="shared" si="21"/>
        <v>-70</v>
      </c>
      <c r="L300" s="38"/>
      <c r="M300" s="40">
        <f t="shared" si="22"/>
        <v>0</v>
      </c>
    </row>
    <row r="301" spans="1:13" x14ac:dyDescent="0.25">
      <c r="A301" s="59"/>
      <c r="G301" s="16"/>
      <c r="H301" s="38">
        <v>296</v>
      </c>
      <c r="I301" s="39" t="str">
        <f t="shared" si="20"/>
        <v/>
      </c>
      <c r="J301" s="38">
        <f t="shared" si="23"/>
        <v>-7</v>
      </c>
      <c r="K301" s="38">
        <f t="shared" si="21"/>
        <v>-70</v>
      </c>
      <c r="L301" s="38"/>
      <c r="M301" s="40">
        <f t="shared" si="22"/>
        <v>0</v>
      </c>
    </row>
    <row r="302" spans="1:13" x14ac:dyDescent="0.25">
      <c r="A302" s="59"/>
      <c r="G302" s="16"/>
      <c r="H302" s="38">
        <v>297</v>
      </c>
      <c r="I302" s="39" t="str">
        <f t="shared" si="20"/>
        <v/>
      </c>
      <c r="J302" s="38">
        <f t="shared" si="23"/>
        <v>-7</v>
      </c>
      <c r="K302" s="38">
        <f t="shared" si="21"/>
        <v>-70</v>
      </c>
      <c r="L302" s="38"/>
      <c r="M302" s="40">
        <f t="shared" si="22"/>
        <v>0</v>
      </c>
    </row>
    <row r="303" spans="1:13" x14ac:dyDescent="0.25">
      <c r="A303" s="59"/>
      <c r="G303" s="16"/>
      <c r="H303" s="38">
        <v>298</v>
      </c>
      <c r="I303" s="39" t="str">
        <f t="shared" si="20"/>
        <v/>
      </c>
      <c r="J303" s="38">
        <f t="shared" si="23"/>
        <v>-7</v>
      </c>
      <c r="K303" s="38">
        <f t="shared" si="21"/>
        <v>-70</v>
      </c>
      <c r="L303" s="38"/>
      <c r="M303" s="40">
        <f t="shared" si="22"/>
        <v>0</v>
      </c>
    </row>
    <row r="304" spans="1:13" x14ac:dyDescent="0.25">
      <c r="A304" s="59"/>
      <c r="G304" s="16"/>
      <c r="H304" s="38">
        <v>299</v>
      </c>
      <c r="I304" s="39" t="str">
        <f t="shared" si="20"/>
        <v/>
      </c>
      <c r="J304" s="38">
        <f t="shared" si="23"/>
        <v>-7</v>
      </c>
      <c r="K304" s="38">
        <f t="shared" si="21"/>
        <v>-70</v>
      </c>
      <c r="L304" s="38"/>
      <c r="M304" s="40">
        <f t="shared" si="22"/>
        <v>0</v>
      </c>
    </row>
    <row r="305" spans="1:16" x14ac:dyDescent="0.25">
      <c r="A305" s="59"/>
      <c r="G305" s="16"/>
      <c r="H305" s="38">
        <v>300</v>
      </c>
      <c r="I305" s="39" t="str">
        <f t="shared" si="20"/>
        <v/>
      </c>
      <c r="J305" s="38">
        <f t="shared" si="23"/>
        <v>-7</v>
      </c>
      <c r="K305" s="38">
        <f t="shared" si="21"/>
        <v>-70</v>
      </c>
      <c r="L305" s="38"/>
      <c r="M305" s="40">
        <f t="shared" si="22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77B3CC89-E5AE-4702-B00A-E4265E0ADDAC}">
      <formula1>#REF!</formula1>
    </dataValidation>
  </dataValidations>
  <hyperlinks>
    <hyperlink ref="C2:D2" r:id="rId1" display="NIEPOŁOMICE" xr:uid="{8F215A53-98B9-4368-A193-505A3D456077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9C8-B69D-45A2-BF15-3014CFE6CBD4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2.25" style="63" customWidth="1"/>
    <col min="14" max="15" width="13.875" style="16" customWidth="1"/>
    <col min="16" max="18" width="8.875" style="16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29</v>
      </c>
      <c r="L1" s="20"/>
      <c r="M1" s="20"/>
    </row>
    <row r="2" spans="1:36" ht="14.45" customHeight="1" x14ac:dyDescent="0.25">
      <c r="A2" s="16"/>
      <c r="B2" s="22" t="s">
        <v>30</v>
      </c>
      <c r="C2" s="289" t="s">
        <v>71</v>
      </c>
      <c r="D2" s="289"/>
      <c r="E2" s="23"/>
      <c r="F2" s="23"/>
      <c r="G2" s="23"/>
      <c r="H2" s="24">
        <v>4</v>
      </c>
      <c r="I2" s="25">
        <v>50</v>
      </c>
      <c r="J2" s="25">
        <v>10</v>
      </c>
      <c r="K2" s="26">
        <f>3*H2^(1/3)</f>
        <v>4.7622031559045981</v>
      </c>
      <c r="L2" s="20"/>
      <c r="M2" s="20"/>
    </row>
    <row r="3" spans="1:36" ht="14.45" customHeight="1" x14ac:dyDescent="0.25">
      <c r="A3" s="16"/>
      <c r="B3" s="27" t="s">
        <v>32</v>
      </c>
      <c r="C3" s="290" t="s">
        <v>72</v>
      </c>
      <c r="D3" s="290"/>
      <c r="E3" s="28"/>
      <c r="F3" s="28"/>
      <c r="G3" s="28"/>
      <c r="H3" s="20"/>
      <c r="I3" s="20"/>
      <c r="J3" s="29"/>
      <c r="K3" s="20"/>
      <c r="L3" s="20"/>
      <c r="M3" s="20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</row>
    <row r="6" spans="1:36" ht="14.45" customHeight="1" x14ac:dyDescent="0.25">
      <c r="A6" s="35">
        <f t="shared" ref="A6:A37" si="0">M6</f>
        <v>84.286609467713788</v>
      </c>
      <c r="B6" s="36">
        <f t="shared" ref="B6:B17" si="1">IF(H6&gt;$H$2,"",(ROW()-5))</f>
        <v>1</v>
      </c>
      <c r="C6" s="37" t="s">
        <v>23</v>
      </c>
      <c r="D6" s="37" t="s">
        <v>54</v>
      </c>
      <c r="E6" s="37"/>
      <c r="F6" s="37" t="s">
        <v>73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2">J6*$J$2</f>
        <v>20</v>
      </c>
      <c r="L6" s="40">
        <f>3*K2</f>
        <v>14.286609467713795</v>
      </c>
      <c r="M6" s="40">
        <f t="shared" ref="M6:M69" si="3">IF(I6&lt;&gt;"",K6+I6+L6,0)</f>
        <v>84.286609467713788</v>
      </c>
    </row>
    <row r="7" spans="1:36" ht="14.45" customHeight="1" x14ac:dyDescent="0.25">
      <c r="A7" s="41">
        <f t="shared" si="0"/>
        <v>45.024406311809194</v>
      </c>
      <c r="B7" s="42">
        <f t="shared" si="1"/>
        <v>2</v>
      </c>
      <c r="C7" s="43" t="s">
        <v>20</v>
      </c>
      <c r="D7" s="43" t="s">
        <v>54</v>
      </c>
      <c r="E7" s="43"/>
      <c r="F7" s="43" t="s">
        <v>73</v>
      </c>
      <c r="G7" s="30"/>
      <c r="H7" s="44">
        <v>2</v>
      </c>
      <c r="I7" s="45">
        <f t="shared" ref="I7:I69" si="4">IF(H7&lt;$H$2+1,($I$2-($I$2-1)*(LOG(H7)/LOG($H$2))),"")</f>
        <v>25.5</v>
      </c>
      <c r="J7" s="44">
        <f t="shared" ref="J7:J70" si="5">INT(LOG($H$2,2))-ROUNDUP(LOG(H7,2),0)+IF(OR($H$2=1,$H$2=2,$H$2=4,$H$2=8,$H$2=16,$H$2=32,$H$2=64,$H$2=128,$H$2=256),0,1)</f>
        <v>1</v>
      </c>
      <c r="K7" s="44">
        <f t="shared" si="2"/>
        <v>10</v>
      </c>
      <c r="L7" s="46">
        <f>2*K2</f>
        <v>9.5244063118091962</v>
      </c>
      <c r="M7" s="46">
        <f t="shared" si="3"/>
        <v>45.024406311809194</v>
      </c>
    </row>
    <row r="8" spans="1:36" ht="14.45" customHeight="1" x14ac:dyDescent="0.25">
      <c r="A8" s="35">
        <f t="shared" si="0"/>
        <v>15.930621888236271</v>
      </c>
      <c r="B8" s="36">
        <f t="shared" si="1"/>
        <v>3</v>
      </c>
      <c r="C8" s="37" t="s">
        <v>19</v>
      </c>
      <c r="D8" s="37" t="s">
        <v>46</v>
      </c>
      <c r="E8" s="37"/>
      <c r="F8" s="37" t="s">
        <v>73</v>
      </c>
      <c r="G8" s="30"/>
      <c r="H8" s="38">
        <v>3</v>
      </c>
      <c r="I8" s="39">
        <f t="shared" si="4"/>
        <v>11.168418732331673</v>
      </c>
      <c r="J8" s="38">
        <f t="shared" si="5"/>
        <v>0</v>
      </c>
      <c r="K8" s="38">
        <f t="shared" si="2"/>
        <v>0</v>
      </c>
      <c r="L8" s="40">
        <f>K2</f>
        <v>4.7622031559045981</v>
      </c>
      <c r="M8" s="40">
        <f t="shared" si="3"/>
        <v>15.930621888236271</v>
      </c>
    </row>
    <row r="9" spans="1:36" ht="14.45" customHeight="1" x14ac:dyDescent="0.25">
      <c r="A9" s="41">
        <f t="shared" si="0"/>
        <v>1</v>
      </c>
      <c r="B9" s="42">
        <f t="shared" si="1"/>
        <v>4</v>
      </c>
      <c r="C9" s="43" t="s">
        <v>22</v>
      </c>
      <c r="D9" s="43" t="s">
        <v>56</v>
      </c>
      <c r="E9" s="43"/>
      <c r="F9" s="43" t="s">
        <v>73</v>
      </c>
      <c r="G9" s="30"/>
      <c r="H9" s="44">
        <v>4</v>
      </c>
      <c r="I9" s="45">
        <f t="shared" si="4"/>
        <v>1</v>
      </c>
      <c r="J9" s="44">
        <f t="shared" si="5"/>
        <v>0</v>
      </c>
      <c r="K9" s="44">
        <f t="shared" si="2"/>
        <v>0</v>
      </c>
      <c r="L9" s="46"/>
      <c r="M9" s="46">
        <f t="shared" si="3"/>
        <v>1</v>
      </c>
      <c r="V9" s="47"/>
      <c r="Z9" s="48"/>
      <c r="AA9" s="48"/>
      <c r="AG9" s="49"/>
      <c r="AH9" s="21" t="s">
        <v>53</v>
      </c>
      <c r="AI9" s="21">
        <v>23</v>
      </c>
    </row>
    <row r="10" spans="1:36" ht="14.45" customHeight="1" x14ac:dyDescent="0.25">
      <c r="A10" s="35">
        <f t="shared" si="0"/>
        <v>0</v>
      </c>
      <c r="B10" s="36" t="str">
        <f t="shared" si="1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-1</v>
      </c>
      <c r="K10" s="38">
        <f t="shared" si="2"/>
        <v>-10</v>
      </c>
      <c r="L10" s="38"/>
      <c r="M10" s="40">
        <f t="shared" si="3"/>
        <v>0</v>
      </c>
      <c r="V10" s="47"/>
      <c r="Z10" s="48"/>
      <c r="AA10" s="48"/>
      <c r="AG10" s="49"/>
      <c r="AH10" s="21" t="s">
        <v>55</v>
      </c>
      <c r="AI10" s="21">
        <v>45</v>
      </c>
    </row>
    <row r="11" spans="1:36" ht="14.45" customHeight="1" x14ac:dyDescent="0.25">
      <c r="A11" s="41">
        <f t="shared" si="0"/>
        <v>0</v>
      </c>
      <c r="B11" s="42" t="str">
        <f t="shared" si="1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-1</v>
      </c>
      <c r="K11" s="44">
        <f t="shared" si="2"/>
        <v>-10</v>
      </c>
      <c r="L11" s="44"/>
      <c r="M11" s="46">
        <f t="shared" si="3"/>
        <v>0</v>
      </c>
      <c r="V11" s="50"/>
      <c r="Z11" s="48"/>
      <c r="AA11" s="48"/>
      <c r="AG11" s="49"/>
      <c r="AH11" s="21" t="s">
        <v>57</v>
      </c>
      <c r="AI11" s="21">
        <v>50</v>
      </c>
    </row>
    <row r="12" spans="1:36" ht="14.45" customHeight="1" x14ac:dyDescent="0.25">
      <c r="A12" s="35">
        <f t="shared" si="0"/>
        <v>0</v>
      </c>
      <c r="B12" s="36" t="str">
        <f t="shared" si="1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-1</v>
      </c>
      <c r="K12" s="38">
        <f t="shared" si="2"/>
        <v>-10</v>
      </c>
      <c r="L12" s="38"/>
      <c r="M12" s="40">
        <f t="shared" si="3"/>
        <v>0</v>
      </c>
      <c r="Z12" s="48"/>
      <c r="AA12" s="48"/>
      <c r="AG12" s="49"/>
      <c r="AH12" s="21" t="s">
        <v>58</v>
      </c>
      <c r="AI12" s="21">
        <f>AI11-1</f>
        <v>49</v>
      </c>
    </row>
    <row r="13" spans="1:36" ht="14.45" customHeight="1" x14ac:dyDescent="0.25">
      <c r="A13" s="51">
        <f t="shared" si="0"/>
        <v>0</v>
      </c>
      <c r="B13" s="42" t="str">
        <f t="shared" si="1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-1</v>
      </c>
      <c r="K13" s="44">
        <f t="shared" si="2"/>
        <v>-10</v>
      </c>
      <c r="L13" s="44"/>
      <c r="M13" s="46">
        <f t="shared" si="3"/>
        <v>0</v>
      </c>
      <c r="X13" s="47"/>
      <c r="AG13" s="49"/>
      <c r="AH13" s="21" t="s">
        <v>59</v>
      </c>
      <c r="AI13" s="21">
        <f>LOG(AI9)</f>
        <v>1.3617278360175928</v>
      </c>
    </row>
    <row r="14" spans="1:36" x14ac:dyDescent="0.25">
      <c r="A14" s="52">
        <f t="shared" si="0"/>
        <v>0</v>
      </c>
      <c r="B14" s="72" t="str">
        <f t="shared" si="1"/>
        <v/>
      </c>
      <c r="C14" s="73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-2</v>
      </c>
      <c r="K14" s="38">
        <f t="shared" si="2"/>
        <v>-20</v>
      </c>
      <c r="L14" s="38"/>
      <c r="M14" s="40">
        <f t="shared" si="3"/>
        <v>0</v>
      </c>
      <c r="X14" s="53"/>
      <c r="Z14" s="48"/>
      <c r="AA14" s="48"/>
      <c r="AG14" s="49"/>
      <c r="AH14" s="21" t="s">
        <v>65</v>
      </c>
      <c r="AI14" s="21">
        <f>LOG(AI10)</f>
        <v>1.6532125137753437</v>
      </c>
    </row>
    <row r="15" spans="1:36" x14ac:dyDescent="0.25">
      <c r="A15" s="51">
        <f t="shared" si="0"/>
        <v>0</v>
      </c>
      <c r="B15" s="42" t="str">
        <f t="shared" si="1"/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-2</v>
      </c>
      <c r="K15" s="44">
        <f t="shared" si="2"/>
        <v>-20</v>
      </c>
      <c r="L15" s="44"/>
      <c r="M15" s="46">
        <f t="shared" si="3"/>
        <v>0</v>
      </c>
      <c r="X15" s="47"/>
      <c r="Z15" s="48"/>
      <c r="AA15" s="48"/>
    </row>
    <row r="16" spans="1:36" x14ac:dyDescent="0.25">
      <c r="A16" s="52">
        <f t="shared" si="0"/>
        <v>0</v>
      </c>
      <c r="B16" s="36" t="str">
        <f t="shared" si="1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-2</v>
      </c>
      <c r="K16" s="38">
        <f t="shared" si="2"/>
        <v>-20</v>
      </c>
      <c r="L16" s="38"/>
      <c r="M16" s="40">
        <f t="shared" si="3"/>
        <v>0</v>
      </c>
      <c r="R16" s="54"/>
      <c r="Z16" s="48"/>
      <c r="AA16" s="48"/>
      <c r="AH16" s="55" t="s">
        <v>61</v>
      </c>
      <c r="AI16" s="21">
        <f>AI11-AI12*AI13/AI14</f>
        <v>9.6393909380186855</v>
      </c>
      <c r="AJ16" s="21" t="s">
        <v>62</v>
      </c>
    </row>
    <row r="17" spans="1:19" x14ac:dyDescent="0.25">
      <c r="A17" s="51">
        <f t="shared" si="0"/>
        <v>0</v>
      </c>
      <c r="B17" s="42" t="str">
        <f t="shared" si="1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-2</v>
      </c>
      <c r="K17" s="44">
        <f t="shared" si="2"/>
        <v>-20</v>
      </c>
      <c r="L17" s="44"/>
      <c r="M17" s="46">
        <f t="shared" si="3"/>
        <v>0</v>
      </c>
    </row>
    <row r="18" spans="1:19" x14ac:dyDescent="0.25">
      <c r="A18" s="52">
        <f t="shared" si="0"/>
        <v>0</v>
      </c>
      <c r="B18" s="36" t="str">
        <f t="shared" ref="B18:B65" si="6">IF(H18&gt;$H$2,"",(ROW()-5))</f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-2</v>
      </c>
      <c r="K18" s="38">
        <f t="shared" si="2"/>
        <v>-20</v>
      </c>
      <c r="L18" s="38"/>
      <c r="M18" s="40">
        <f t="shared" si="3"/>
        <v>0</v>
      </c>
    </row>
    <row r="19" spans="1:19" x14ac:dyDescent="0.25">
      <c r="A19" s="51">
        <f t="shared" si="0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-2</v>
      </c>
      <c r="K19" s="44">
        <f t="shared" si="2"/>
        <v>-20</v>
      </c>
      <c r="L19" s="44"/>
      <c r="M19" s="46">
        <f t="shared" si="3"/>
        <v>0</v>
      </c>
    </row>
    <row r="20" spans="1:19" x14ac:dyDescent="0.25">
      <c r="A20" s="52">
        <f t="shared" si="0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-2</v>
      </c>
      <c r="K20" s="38">
        <f t="shared" si="2"/>
        <v>-20</v>
      </c>
      <c r="L20" s="38"/>
      <c r="M20" s="40">
        <f t="shared" si="3"/>
        <v>0</v>
      </c>
      <c r="R20" s="56"/>
      <c r="S20" s="57"/>
    </row>
    <row r="21" spans="1:19" x14ac:dyDescent="0.25">
      <c r="A21" s="51">
        <f t="shared" si="0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-2</v>
      </c>
      <c r="K21" s="44">
        <f t="shared" si="2"/>
        <v>-20</v>
      </c>
      <c r="L21" s="44"/>
      <c r="M21" s="46">
        <f t="shared" si="3"/>
        <v>0</v>
      </c>
    </row>
    <row r="22" spans="1:19" x14ac:dyDescent="0.25">
      <c r="A22" s="52">
        <f t="shared" si="0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-3</v>
      </c>
      <c r="K22" s="38">
        <f t="shared" si="2"/>
        <v>-30</v>
      </c>
      <c r="L22" s="38"/>
      <c r="M22" s="40">
        <f t="shared" si="3"/>
        <v>0</v>
      </c>
    </row>
    <row r="23" spans="1:19" x14ac:dyDescent="0.25">
      <c r="A23" s="51">
        <f t="shared" si="0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-3</v>
      </c>
      <c r="K23" s="44">
        <f t="shared" si="2"/>
        <v>-30</v>
      </c>
      <c r="L23" s="44"/>
      <c r="M23" s="46">
        <f t="shared" si="3"/>
        <v>0</v>
      </c>
    </row>
    <row r="24" spans="1:19" x14ac:dyDescent="0.25">
      <c r="A24" s="52">
        <f t="shared" si="0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-3</v>
      </c>
      <c r="K24" s="38">
        <f t="shared" si="2"/>
        <v>-30</v>
      </c>
      <c r="L24" s="38"/>
      <c r="M24" s="40">
        <f t="shared" si="3"/>
        <v>0</v>
      </c>
      <c r="R24" s="56"/>
      <c r="S24" s="57"/>
    </row>
    <row r="25" spans="1:19" x14ac:dyDescent="0.25">
      <c r="A25" s="51">
        <f t="shared" si="0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-3</v>
      </c>
      <c r="K25" s="44">
        <f t="shared" si="2"/>
        <v>-30</v>
      </c>
      <c r="L25" s="44"/>
      <c r="M25" s="46">
        <f t="shared" si="3"/>
        <v>0</v>
      </c>
    </row>
    <row r="26" spans="1:19" x14ac:dyDescent="0.25">
      <c r="A26" s="52">
        <f t="shared" si="0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-3</v>
      </c>
      <c r="K26" s="38">
        <f t="shared" si="2"/>
        <v>-30</v>
      </c>
      <c r="L26" s="38"/>
      <c r="M26" s="40">
        <f t="shared" si="3"/>
        <v>0</v>
      </c>
    </row>
    <row r="27" spans="1:19" x14ac:dyDescent="0.25">
      <c r="A27" s="51">
        <f t="shared" si="0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-3</v>
      </c>
      <c r="K27" s="44">
        <f t="shared" si="2"/>
        <v>-30</v>
      </c>
      <c r="L27" s="44"/>
      <c r="M27" s="46">
        <f t="shared" si="3"/>
        <v>0</v>
      </c>
    </row>
    <row r="28" spans="1:19" x14ac:dyDescent="0.25">
      <c r="A28" s="52">
        <f t="shared" si="0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-3</v>
      </c>
      <c r="K28" s="38">
        <f t="shared" si="2"/>
        <v>-30</v>
      </c>
      <c r="L28" s="38"/>
      <c r="M28" s="40">
        <f t="shared" si="3"/>
        <v>0</v>
      </c>
      <c r="R28" s="56"/>
      <c r="S28" s="57"/>
    </row>
    <row r="29" spans="1:19" x14ac:dyDescent="0.25">
      <c r="A29" s="51">
        <f t="shared" si="0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-3</v>
      </c>
      <c r="K29" s="44">
        <f t="shared" si="2"/>
        <v>-30</v>
      </c>
      <c r="L29" s="44"/>
      <c r="M29" s="46">
        <f t="shared" si="3"/>
        <v>0</v>
      </c>
    </row>
    <row r="30" spans="1:19" x14ac:dyDescent="0.25">
      <c r="A30" s="52">
        <f t="shared" si="0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-3</v>
      </c>
      <c r="K30" s="38">
        <f t="shared" si="2"/>
        <v>-30</v>
      </c>
      <c r="L30" s="38"/>
      <c r="M30" s="40">
        <f t="shared" si="3"/>
        <v>0</v>
      </c>
    </row>
    <row r="31" spans="1:19" x14ac:dyDescent="0.25">
      <c r="A31" s="51">
        <f t="shared" si="0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-3</v>
      </c>
      <c r="K31" s="44">
        <f t="shared" si="2"/>
        <v>-30</v>
      </c>
      <c r="L31" s="44"/>
      <c r="M31" s="46">
        <f t="shared" si="3"/>
        <v>0</v>
      </c>
    </row>
    <row r="32" spans="1:19" x14ac:dyDescent="0.25">
      <c r="A32" s="52">
        <f t="shared" si="0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-3</v>
      </c>
      <c r="K32" s="38">
        <f t="shared" si="2"/>
        <v>-30</v>
      </c>
      <c r="L32" s="38"/>
      <c r="M32" s="40">
        <f t="shared" si="3"/>
        <v>0</v>
      </c>
      <c r="R32" s="56"/>
      <c r="S32" s="57"/>
    </row>
    <row r="33" spans="1:21" x14ac:dyDescent="0.25">
      <c r="A33" s="51">
        <f t="shared" si="0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-3</v>
      </c>
      <c r="K33" s="44">
        <f t="shared" si="2"/>
        <v>-30</v>
      </c>
      <c r="L33" s="44"/>
      <c r="M33" s="46">
        <f t="shared" si="3"/>
        <v>0</v>
      </c>
    </row>
    <row r="34" spans="1:21" x14ac:dyDescent="0.25">
      <c r="A34" s="52">
        <f t="shared" si="0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-3</v>
      </c>
      <c r="K34" s="38">
        <f t="shared" si="2"/>
        <v>-30</v>
      </c>
      <c r="L34" s="38"/>
      <c r="M34" s="40">
        <f t="shared" si="3"/>
        <v>0</v>
      </c>
    </row>
    <row r="35" spans="1:21" x14ac:dyDescent="0.25">
      <c r="A35" s="51">
        <f t="shared" si="0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-3</v>
      </c>
      <c r="K35" s="44">
        <f t="shared" si="2"/>
        <v>-30</v>
      </c>
      <c r="L35" s="44"/>
      <c r="M35" s="46">
        <f t="shared" si="3"/>
        <v>0</v>
      </c>
    </row>
    <row r="36" spans="1:21" x14ac:dyDescent="0.25">
      <c r="A36" s="52">
        <f t="shared" si="0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-3</v>
      </c>
      <c r="K36" s="38">
        <f t="shared" si="2"/>
        <v>-30</v>
      </c>
      <c r="L36" s="38"/>
      <c r="M36" s="40">
        <f t="shared" si="3"/>
        <v>0</v>
      </c>
      <c r="R36" s="56"/>
      <c r="S36" s="57"/>
    </row>
    <row r="37" spans="1:21" x14ac:dyDescent="0.25">
      <c r="A37" s="51">
        <f t="shared" si="0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-3</v>
      </c>
      <c r="K37" s="44">
        <f t="shared" si="2"/>
        <v>-30</v>
      </c>
      <c r="L37" s="44"/>
      <c r="M37" s="46">
        <f t="shared" si="3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-4</v>
      </c>
      <c r="K38" s="38">
        <f t="shared" si="2"/>
        <v>-40</v>
      </c>
      <c r="L38" s="38"/>
      <c r="M38" s="40">
        <f t="shared" si="3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-4</v>
      </c>
      <c r="K39" s="44">
        <f t="shared" si="2"/>
        <v>-40</v>
      </c>
      <c r="L39" s="44"/>
      <c r="M39" s="46">
        <f t="shared" si="3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-4</v>
      </c>
      <c r="K40" s="38">
        <f t="shared" si="2"/>
        <v>-40</v>
      </c>
      <c r="L40" s="38"/>
      <c r="M40" s="40">
        <f t="shared" si="3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-4</v>
      </c>
      <c r="K41" s="44">
        <f t="shared" si="2"/>
        <v>-40</v>
      </c>
      <c r="L41" s="44"/>
      <c r="M41" s="46">
        <f t="shared" si="3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-4</v>
      </c>
      <c r="K42" s="38">
        <f t="shared" si="2"/>
        <v>-40</v>
      </c>
      <c r="L42" s="38"/>
      <c r="M42" s="40">
        <f t="shared" si="3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-4</v>
      </c>
      <c r="K43" s="44">
        <f t="shared" si="2"/>
        <v>-40</v>
      </c>
      <c r="L43" s="44"/>
      <c r="M43" s="46">
        <f t="shared" si="3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-4</v>
      </c>
      <c r="K44" s="38">
        <f t="shared" si="2"/>
        <v>-40</v>
      </c>
      <c r="L44" s="38"/>
      <c r="M44" s="40">
        <f t="shared" si="3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-4</v>
      </c>
      <c r="K45" s="44">
        <f t="shared" si="2"/>
        <v>-40</v>
      </c>
      <c r="L45" s="44"/>
      <c r="M45" s="46">
        <f t="shared" si="3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-4</v>
      </c>
      <c r="K46" s="38">
        <f t="shared" si="2"/>
        <v>-40</v>
      </c>
      <c r="L46" s="38"/>
      <c r="M46" s="40">
        <f t="shared" si="3"/>
        <v>0</v>
      </c>
      <c r="R46" s="16">
        <f>LOG($H$2,2)</f>
        <v>2</v>
      </c>
      <c r="T46" s="21">
        <f>LOG(H38,2)</f>
        <v>5.0443941193584534</v>
      </c>
      <c r="U46" s="21">
        <f>R46-T46</f>
        <v>-3.0443941193584534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-4</v>
      </c>
      <c r="K47" s="44">
        <f t="shared" si="2"/>
        <v>-40</v>
      </c>
      <c r="L47" s="44"/>
      <c r="M47" s="46">
        <f t="shared" si="3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-4</v>
      </c>
      <c r="K48" s="38">
        <f t="shared" si="2"/>
        <v>-40</v>
      </c>
      <c r="L48" s="38"/>
      <c r="M48" s="40">
        <f t="shared" si="3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-4</v>
      </c>
      <c r="K49" s="44">
        <f t="shared" si="2"/>
        <v>-40</v>
      </c>
      <c r="L49" s="44"/>
      <c r="M49" s="46">
        <f t="shared" si="3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-4</v>
      </c>
      <c r="K50" s="38">
        <f t="shared" si="2"/>
        <v>-40</v>
      </c>
      <c r="L50" s="38"/>
      <c r="M50" s="40">
        <f t="shared" si="3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-4</v>
      </c>
      <c r="K51" s="44">
        <f t="shared" si="2"/>
        <v>-40</v>
      </c>
      <c r="L51" s="44"/>
      <c r="M51" s="46">
        <f t="shared" si="3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-4</v>
      </c>
      <c r="K52" s="38">
        <f t="shared" si="2"/>
        <v>-40</v>
      </c>
      <c r="L52" s="38"/>
      <c r="M52" s="40">
        <f t="shared" si="3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-4</v>
      </c>
      <c r="K53" s="44">
        <f t="shared" si="2"/>
        <v>-40</v>
      </c>
      <c r="L53" s="44"/>
      <c r="M53" s="46">
        <f t="shared" si="3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-4</v>
      </c>
      <c r="K54" s="38">
        <f t="shared" si="2"/>
        <v>-40</v>
      </c>
      <c r="L54" s="38"/>
      <c r="M54" s="40">
        <f t="shared" si="3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-4</v>
      </c>
      <c r="K55" s="44">
        <f t="shared" si="2"/>
        <v>-40</v>
      </c>
      <c r="L55" s="44"/>
      <c r="M55" s="46">
        <f t="shared" si="3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-4</v>
      </c>
      <c r="K56" s="38">
        <f t="shared" si="2"/>
        <v>-40</v>
      </c>
      <c r="L56" s="38"/>
      <c r="M56" s="40">
        <f t="shared" si="3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-4</v>
      </c>
      <c r="K57" s="44">
        <f t="shared" si="2"/>
        <v>-40</v>
      </c>
      <c r="L57" s="44"/>
      <c r="M57" s="46">
        <f t="shared" si="3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-4</v>
      </c>
      <c r="K58" s="38">
        <f t="shared" si="2"/>
        <v>-40</v>
      </c>
      <c r="L58" s="38"/>
      <c r="M58" s="40">
        <f t="shared" si="3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-4</v>
      </c>
      <c r="K59" s="44">
        <f t="shared" si="2"/>
        <v>-40</v>
      </c>
      <c r="L59" s="44"/>
      <c r="M59" s="46">
        <f t="shared" si="3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-4</v>
      </c>
      <c r="K60" s="38">
        <f t="shared" si="2"/>
        <v>-40</v>
      </c>
      <c r="L60" s="38"/>
      <c r="M60" s="40">
        <f t="shared" si="3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-4</v>
      </c>
      <c r="K61" s="44">
        <f t="shared" si="2"/>
        <v>-40</v>
      </c>
      <c r="L61" s="44"/>
      <c r="M61" s="46">
        <f t="shared" si="3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-4</v>
      </c>
      <c r="K62" s="38">
        <f t="shared" si="2"/>
        <v>-40</v>
      </c>
      <c r="L62" s="38"/>
      <c r="M62" s="40">
        <f t="shared" si="3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-4</v>
      </c>
      <c r="K63" s="44">
        <f t="shared" si="2"/>
        <v>-40</v>
      </c>
      <c r="L63" s="44"/>
      <c r="M63" s="46">
        <f t="shared" si="3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-4</v>
      </c>
      <c r="K64" s="38">
        <f t="shared" si="2"/>
        <v>-40</v>
      </c>
      <c r="L64" s="38"/>
      <c r="M64" s="40">
        <f t="shared" si="3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-4</v>
      </c>
      <c r="K65" s="44">
        <f t="shared" si="2"/>
        <v>-40</v>
      </c>
      <c r="L65" s="44"/>
      <c r="M65" s="46">
        <f t="shared" si="3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-4</v>
      </c>
      <c r="K66" s="38">
        <f t="shared" si="2"/>
        <v>-40</v>
      </c>
      <c r="L66" s="38"/>
      <c r="M66" s="40">
        <f t="shared" si="3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-4</v>
      </c>
      <c r="K67" s="38">
        <f t="shared" si="2"/>
        <v>-40</v>
      </c>
      <c r="L67" s="38"/>
      <c r="M67" s="40">
        <f t="shared" si="3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-4</v>
      </c>
      <c r="K68" s="38">
        <f t="shared" si="2"/>
        <v>-40</v>
      </c>
      <c r="L68" s="38"/>
      <c r="M68" s="40">
        <f t="shared" si="3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-4</v>
      </c>
      <c r="K69" s="38">
        <f t="shared" si="2"/>
        <v>-40</v>
      </c>
      <c r="L69" s="38"/>
      <c r="M69" s="40">
        <f t="shared" si="3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-5</v>
      </c>
      <c r="K70" s="38">
        <f t="shared" ref="K70:K133" si="8">J70*$J$2</f>
        <v>-50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26" si="10">INT(LOG($H$2,2))-ROUNDUP(LOG(H71,2),0)+IF(OR($H$2=1,$H$2=2,$H$2=4,$H$2=8,$H$2=16,$H$2=32,$H$2=64,$H$2=128,$H$2=256),0,1)</f>
        <v>-5</v>
      </c>
      <c r="K71" s="38">
        <f t="shared" si="8"/>
        <v>-50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-5</v>
      </c>
      <c r="K72" s="38">
        <f t="shared" si="8"/>
        <v>-50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-5</v>
      </c>
      <c r="K73" s="38">
        <f t="shared" si="8"/>
        <v>-50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-5</v>
      </c>
      <c r="K74" s="38">
        <f t="shared" si="8"/>
        <v>-50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-5</v>
      </c>
      <c r="K75" s="38">
        <f t="shared" si="8"/>
        <v>-50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-5</v>
      </c>
      <c r="K76" s="38">
        <f t="shared" si="8"/>
        <v>-50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-5</v>
      </c>
      <c r="K77" s="38">
        <f t="shared" si="8"/>
        <v>-50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-5</v>
      </c>
      <c r="K78" s="38">
        <f t="shared" si="8"/>
        <v>-50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-5</v>
      </c>
      <c r="K79" s="38">
        <f t="shared" si="8"/>
        <v>-50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-5</v>
      </c>
      <c r="K80" s="38">
        <f t="shared" si="8"/>
        <v>-50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-5</v>
      </c>
      <c r="K81" s="38">
        <f t="shared" si="8"/>
        <v>-50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-5</v>
      </c>
      <c r="K82" s="38">
        <f t="shared" si="8"/>
        <v>-50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-5</v>
      </c>
      <c r="K83" s="38">
        <f t="shared" si="8"/>
        <v>-50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-5</v>
      </c>
      <c r="K84" s="38">
        <f t="shared" si="8"/>
        <v>-50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-5</v>
      </c>
      <c r="K85" s="38">
        <f t="shared" si="8"/>
        <v>-50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-5</v>
      </c>
      <c r="K86" s="38">
        <f t="shared" si="8"/>
        <v>-50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-5</v>
      </c>
      <c r="K87" s="38">
        <f t="shared" si="8"/>
        <v>-50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-5</v>
      </c>
      <c r="K88" s="38">
        <f t="shared" si="8"/>
        <v>-50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-5</v>
      </c>
      <c r="K89" s="38">
        <f t="shared" si="8"/>
        <v>-50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-5</v>
      </c>
      <c r="K90" s="38">
        <f t="shared" si="8"/>
        <v>-50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-5</v>
      </c>
      <c r="K91" s="38">
        <f t="shared" si="8"/>
        <v>-50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-5</v>
      </c>
      <c r="K92" s="38">
        <f t="shared" si="8"/>
        <v>-50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-5</v>
      </c>
      <c r="K93" s="38">
        <f t="shared" si="8"/>
        <v>-50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-5</v>
      </c>
      <c r="K94" s="38">
        <f t="shared" si="8"/>
        <v>-50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-5</v>
      </c>
      <c r="K95" s="38">
        <f t="shared" si="8"/>
        <v>-50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-5</v>
      </c>
      <c r="K96" s="38">
        <f t="shared" si="8"/>
        <v>-50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-5</v>
      </c>
      <c r="K97" s="38">
        <f t="shared" si="8"/>
        <v>-50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-5</v>
      </c>
      <c r="K98" s="38">
        <f t="shared" si="8"/>
        <v>-50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-5</v>
      </c>
      <c r="K99" s="38">
        <f t="shared" si="8"/>
        <v>-50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-5</v>
      </c>
      <c r="K100" s="38">
        <f t="shared" si="8"/>
        <v>-50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-5</v>
      </c>
      <c r="K101" s="38">
        <f t="shared" si="8"/>
        <v>-50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-5</v>
      </c>
      <c r="K102" s="38">
        <f t="shared" si="8"/>
        <v>-50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-5</v>
      </c>
      <c r="K103" s="38">
        <f t="shared" si="8"/>
        <v>-50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-5</v>
      </c>
      <c r="K104" s="38">
        <f t="shared" si="8"/>
        <v>-50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-5</v>
      </c>
      <c r="K105" s="38">
        <f t="shared" si="8"/>
        <v>-50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-5</v>
      </c>
      <c r="K106" s="38">
        <f t="shared" si="8"/>
        <v>-50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-5</v>
      </c>
      <c r="K107" s="38">
        <f t="shared" si="8"/>
        <v>-50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-5</v>
      </c>
      <c r="K108" s="38">
        <f t="shared" si="8"/>
        <v>-50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-5</v>
      </c>
      <c r="K109" s="38">
        <f t="shared" si="8"/>
        <v>-50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-5</v>
      </c>
      <c r="K110" s="38">
        <f t="shared" si="8"/>
        <v>-50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-5</v>
      </c>
      <c r="K111" s="38">
        <f t="shared" si="8"/>
        <v>-50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-5</v>
      </c>
      <c r="K112" s="38">
        <f t="shared" si="8"/>
        <v>-50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-5</v>
      </c>
      <c r="K113" s="38">
        <f t="shared" si="8"/>
        <v>-50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-5</v>
      </c>
      <c r="K114" s="38">
        <f t="shared" si="8"/>
        <v>-50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-5</v>
      </c>
      <c r="K115" s="38">
        <f t="shared" si="8"/>
        <v>-50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-5</v>
      </c>
      <c r="K116" s="38">
        <f t="shared" si="8"/>
        <v>-50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-5</v>
      </c>
      <c r="K117" s="38">
        <f t="shared" si="8"/>
        <v>-50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-5</v>
      </c>
      <c r="K118" s="38">
        <f t="shared" si="8"/>
        <v>-50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-5</v>
      </c>
      <c r="K119" s="38">
        <f t="shared" si="8"/>
        <v>-50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-5</v>
      </c>
      <c r="K120" s="38">
        <f t="shared" si="8"/>
        <v>-50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-5</v>
      </c>
      <c r="K121" s="38">
        <f t="shared" si="8"/>
        <v>-50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-5</v>
      </c>
      <c r="K122" s="38">
        <f t="shared" si="8"/>
        <v>-50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-5</v>
      </c>
      <c r="K123" s="38">
        <f t="shared" si="8"/>
        <v>-50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-5</v>
      </c>
      <c r="K124" s="38">
        <f t="shared" si="8"/>
        <v>-50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-5</v>
      </c>
      <c r="K125" s="38">
        <f t="shared" si="8"/>
        <v>-50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-5</v>
      </c>
      <c r="K126" s="38">
        <f t="shared" si="8"/>
        <v>-50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ref="J127:J134" si="11">INT(LOG($H$2,2))-ROUNDUP(LOG(H127,2),0)+IF(OR($H$2=1,$H$2=2,$H$2=4,$H$2=8,$H$2=16,$H$2=32,$H$2=64,$H$2=128,$H$2=256),1,0)</f>
        <v>-4</v>
      </c>
      <c r="K127" s="38">
        <f t="shared" si="8"/>
        <v>-40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1"/>
        <v>-4</v>
      </c>
      <c r="K128" s="38">
        <f t="shared" si="8"/>
        <v>-40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1"/>
        <v>-4</v>
      </c>
      <c r="K129" s="38">
        <f t="shared" si="8"/>
        <v>-40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1"/>
        <v>-4</v>
      </c>
      <c r="K130" s="38">
        <f t="shared" si="8"/>
        <v>-40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1"/>
        <v>-4</v>
      </c>
      <c r="K131" s="38">
        <f t="shared" si="8"/>
        <v>-40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1"/>
        <v>-4</v>
      </c>
      <c r="K132" s="38">
        <f t="shared" si="8"/>
        <v>-40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1"/>
        <v>-4</v>
      </c>
      <c r="K133" s="38">
        <f t="shared" si="8"/>
        <v>-40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2">IF(H134&lt;$H$2+1,($I$2-($I$2-1)*(LOG(H134)/LOG($H$2))),"")</f>
        <v/>
      </c>
      <c r="J134" s="38">
        <f t="shared" si="11"/>
        <v>-5</v>
      </c>
      <c r="K134" s="38">
        <f t="shared" ref="K134:K197" si="13">J134*$J$2</f>
        <v>-50</v>
      </c>
      <c r="L134" s="38"/>
      <c r="M134" s="40">
        <f t="shared" ref="M134:M197" si="14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2"/>
        <v/>
      </c>
      <c r="J135" s="38">
        <f t="shared" ref="J135:J198" si="15">INT(LOG($H$2,2))-ROUNDUP(LOG(H135,2),0)+IF(OR($H$2=1,$H$2=2,$H$2=4,$H$2=8,$H$2=16,$H$2=32,$H$2=64,$H$2=128,$H$2=256),1,0)</f>
        <v>-5</v>
      </c>
      <c r="K135" s="38">
        <f t="shared" si="13"/>
        <v>-50</v>
      </c>
      <c r="L135" s="38"/>
      <c r="M135" s="40">
        <f t="shared" si="14"/>
        <v>0</v>
      </c>
    </row>
    <row r="136" spans="1:13" x14ac:dyDescent="0.25">
      <c r="A136" s="59"/>
      <c r="G136" s="16"/>
      <c r="H136" s="38">
        <v>131</v>
      </c>
      <c r="I136" s="39" t="str">
        <f t="shared" si="12"/>
        <v/>
      </c>
      <c r="J136" s="38">
        <f t="shared" si="15"/>
        <v>-5</v>
      </c>
      <c r="K136" s="38">
        <f t="shared" si="13"/>
        <v>-50</v>
      </c>
      <c r="L136" s="38"/>
      <c r="M136" s="40">
        <f t="shared" si="14"/>
        <v>0</v>
      </c>
    </row>
    <row r="137" spans="1:13" x14ac:dyDescent="0.25">
      <c r="A137" s="59"/>
      <c r="G137" s="16"/>
      <c r="H137" s="38">
        <v>132</v>
      </c>
      <c r="I137" s="39" t="str">
        <f t="shared" si="12"/>
        <v/>
      </c>
      <c r="J137" s="38">
        <f t="shared" si="15"/>
        <v>-5</v>
      </c>
      <c r="K137" s="38">
        <f t="shared" si="13"/>
        <v>-50</v>
      </c>
      <c r="L137" s="38"/>
      <c r="M137" s="40">
        <f t="shared" si="14"/>
        <v>0</v>
      </c>
    </row>
    <row r="138" spans="1:13" x14ac:dyDescent="0.25">
      <c r="A138" s="59"/>
      <c r="G138" s="16"/>
      <c r="H138" s="38">
        <v>133</v>
      </c>
      <c r="I138" s="39" t="str">
        <f t="shared" si="12"/>
        <v/>
      </c>
      <c r="J138" s="38">
        <f t="shared" si="15"/>
        <v>-5</v>
      </c>
      <c r="K138" s="38">
        <f t="shared" si="13"/>
        <v>-50</v>
      </c>
      <c r="L138" s="38"/>
      <c r="M138" s="40">
        <f t="shared" si="14"/>
        <v>0</v>
      </c>
    </row>
    <row r="139" spans="1:13" x14ac:dyDescent="0.25">
      <c r="A139" s="59"/>
      <c r="G139" s="16"/>
      <c r="H139" s="38">
        <v>134</v>
      </c>
      <c r="I139" s="39" t="str">
        <f t="shared" si="12"/>
        <v/>
      </c>
      <c r="J139" s="38">
        <f t="shared" si="15"/>
        <v>-5</v>
      </c>
      <c r="K139" s="38">
        <f t="shared" si="13"/>
        <v>-50</v>
      </c>
      <c r="L139" s="38"/>
      <c r="M139" s="40">
        <f t="shared" si="14"/>
        <v>0</v>
      </c>
    </row>
    <row r="140" spans="1:13" x14ac:dyDescent="0.25">
      <c r="A140" s="59"/>
      <c r="G140" s="16"/>
      <c r="H140" s="38">
        <v>135</v>
      </c>
      <c r="I140" s="39" t="str">
        <f t="shared" si="12"/>
        <v/>
      </c>
      <c r="J140" s="38">
        <f t="shared" si="15"/>
        <v>-5</v>
      </c>
      <c r="K140" s="38">
        <f t="shared" si="13"/>
        <v>-50</v>
      </c>
      <c r="L140" s="38"/>
      <c r="M140" s="40">
        <f t="shared" si="14"/>
        <v>0</v>
      </c>
    </row>
    <row r="141" spans="1:13" x14ac:dyDescent="0.25">
      <c r="A141" s="59"/>
      <c r="G141" s="16"/>
      <c r="H141" s="38">
        <v>136</v>
      </c>
      <c r="I141" s="39" t="str">
        <f t="shared" si="12"/>
        <v/>
      </c>
      <c r="J141" s="38">
        <f t="shared" si="15"/>
        <v>-5</v>
      </c>
      <c r="K141" s="38">
        <f t="shared" si="13"/>
        <v>-50</v>
      </c>
      <c r="L141" s="38"/>
      <c r="M141" s="40">
        <f t="shared" si="14"/>
        <v>0</v>
      </c>
    </row>
    <row r="142" spans="1:13" x14ac:dyDescent="0.25">
      <c r="A142" s="59"/>
      <c r="G142" s="16"/>
      <c r="H142" s="38">
        <v>137</v>
      </c>
      <c r="I142" s="39" t="str">
        <f t="shared" si="12"/>
        <v/>
      </c>
      <c r="J142" s="38">
        <f t="shared" si="15"/>
        <v>-5</v>
      </c>
      <c r="K142" s="38">
        <f t="shared" si="13"/>
        <v>-50</v>
      </c>
      <c r="L142" s="38"/>
      <c r="M142" s="40">
        <f t="shared" si="14"/>
        <v>0</v>
      </c>
    </row>
    <row r="143" spans="1:13" x14ac:dyDescent="0.25">
      <c r="A143" s="59"/>
      <c r="G143" s="16"/>
      <c r="H143" s="38">
        <v>138</v>
      </c>
      <c r="I143" s="39" t="str">
        <f t="shared" si="12"/>
        <v/>
      </c>
      <c r="J143" s="38">
        <f t="shared" si="15"/>
        <v>-5</v>
      </c>
      <c r="K143" s="38">
        <f t="shared" si="13"/>
        <v>-50</v>
      </c>
      <c r="L143" s="38"/>
      <c r="M143" s="40">
        <f t="shared" si="14"/>
        <v>0</v>
      </c>
    </row>
    <row r="144" spans="1:13" x14ac:dyDescent="0.25">
      <c r="A144" s="59"/>
      <c r="G144" s="16"/>
      <c r="H144" s="38">
        <v>139</v>
      </c>
      <c r="I144" s="39" t="str">
        <f t="shared" si="12"/>
        <v/>
      </c>
      <c r="J144" s="38">
        <f t="shared" si="15"/>
        <v>-5</v>
      </c>
      <c r="K144" s="38">
        <f t="shared" si="13"/>
        <v>-50</v>
      </c>
      <c r="L144" s="38"/>
      <c r="M144" s="40">
        <f t="shared" si="14"/>
        <v>0</v>
      </c>
    </row>
    <row r="145" spans="1:13" x14ac:dyDescent="0.25">
      <c r="A145" s="59"/>
      <c r="G145" s="16"/>
      <c r="H145" s="38">
        <v>140</v>
      </c>
      <c r="I145" s="39" t="str">
        <f t="shared" si="12"/>
        <v/>
      </c>
      <c r="J145" s="38">
        <f t="shared" si="15"/>
        <v>-5</v>
      </c>
      <c r="K145" s="38">
        <f t="shared" si="13"/>
        <v>-50</v>
      </c>
      <c r="L145" s="38"/>
      <c r="M145" s="40">
        <f t="shared" si="14"/>
        <v>0</v>
      </c>
    </row>
    <row r="146" spans="1:13" x14ac:dyDescent="0.25">
      <c r="A146" s="59"/>
      <c r="G146" s="16"/>
      <c r="H146" s="38">
        <v>141</v>
      </c>
      <c r="I146" s="39" t="str">
        <f t="shared" si="12"/>
        <v/>
      </c>
      <c r="J146" s="38">
        <f t="shared" si="15"/>
        <v>-5</v>
      </c>
      <c r="K146" s="38">
        <f t="shared" si="13"/>
        <v>-50</v>
      </c>
      <c r="L146" s="38"/>
      <c r="M146" s="40">
        <f t="shared" si="14"/>
        <v>0</v>
      </c>
    </row>
    <row r="147" spans="1:13" x14ac:dyDescent="0.25">
      <c r="A147" s="59"/>
      <c r="G147" s="16"/>
      <c r="H147" s="38">
        <v>142</v>
      </c>
      <c r="I147" s="39" t="str">
        <f t="shared" si="12"/>
        <v/>
      </c>
      <c r="J147" s="38">
        <f t="shared" si="15"/>
        <v>-5</v>
      </c>
      <c r="K147" s="38">
        <f t="shared" si="13"/>
        <v>-50</v>
      </c>
      <c r="L147" s="38"/>
      <c r="M147" s="40">
        <f t="shared" si="14"/>
        <v>0</v>
      </c>
    </row>
    <row r="148" spans="1:13" x14ac:dyDescent="0.25">
      <c r="A148" s="59"/>
      <c r="G148" s="16"/>
      <c r="H148" s="38">
        <v>143</v>
      </c>
      <c r="I148" s="39" t="str">
        <f t="shared" si="12"/>
        <v/>
      </c>
      <c r="J148" s="38">
        <f t="shared" si="15"/>
        <v>-5</v>
      </c>
      <c r="K148" s="38">
        <f t="shared" si="13"/>
        <v>-50</v>
      </c>
      <c r="L148" s="38"/>
      <c r="M148" s="40">
        <f t="shared" si="14"/>
        <v>0</v>
      </c>
    </row>
    <row r="149" spans="1:13" x14ac:dyDescent="0.25">
      <c r="A149" s="59"/>
      <c r="G149" s="16"/>
      <c r="H149" s="38">
        <v>144</v>
      </c>
      <c r="I149" s="39" t="str">
        <f t="shared" si="12"/>
        <v/>
      </c>
      <c r="J149" s="38">
        <f t="shared" si="15"/>
        <v>-5</v>
      </c>
      <c r="K149" s="38">
        <f t="shared" si="13"/>
        <v>-50</v>
      </c>
      <c r="L149" s="38"/>
      <c r="M149" s="40">
        <f t="shared" si="14"/>
        <v>0</v>
      </c>
    </row>
    <row r="150" spans="1:13" x14ac:dyDescent="0.25">
      <c r="A150" s="59"/>
      <c r="G150" s="16"/>
      <c r="H150" s="38">
        <v>145</v>
      </c>
      <c r="I150" s="39" t="str">
        <f t="shared" si="12"/>
        <v/>
      </c>
      <c r="J150" s="38">
        <f t="shared" si="15"/>
        <v>-5</v>
      </c>
      <c r="K150" s="38">
        <f t="shared" si="13"/>
        <v>-50</v>
      </c>
      <c r="L150" s="38"/>
      <c r="M150" s="40">
        <f t="shared" si="14"/>
        <v>0</v>
      </c>
    </row>
    <row r="151" spans="1:13" x14ac:dyDescent="0.25">
      <c r="A151" s="59"/>
      <c r="G151" s="16"/>
      <c r="H151" s="38">
        <v>146</v>
      </c>
      <c r="I151" s="39" t="str">
        <f t="shared" si="12"/>
        <v/>
      </c>
      <c r="J151" s="38">
        <f t="shared" si="15"/>
        <v>-5</v>
      </c>
      <c r="K151" s="38">
        <f t="shared" si="13"/>
        <v>-50</v>
      </c>
      <c r="L151" s="38"/>
      <c r="M151" s="40">
        <f t="shared" si="14"/>
        <v>0</v>
      </c>
    </row>
    <row r="152" spans="1:13" x14ac:dyDescent="0.25">
      <c r="A152" s="59"/>
      <c r="G152" s="16"/>
      <c r="H152" s="38">
        <v>147</v>
      </c>
      <c r="I152" s="39" t="str">
        <f t="shared" si="12"/>
        <v/>
      </c>
      <c r="J152" s="38">
        <f t="shared" si="15"/>
        <v>-5</v>
      </c>
      <c r="K152" s="38">
        <f t="shared" si="13"/>
        <v>-50</v>
      </c>
      <c r="L152" s="38"/>
      <c r="M152" s="40">
        <f t="shared" si="14"/>
        <v>0</v>
      </c>
    </row>
    <row r="153" spans="1:13" x14ac:dyDescent="0.25">
      <c r="A153" s="59"/>
      <c r="G153" s="16"/>
      <c r="H153" s="38">
        <v>148</v>
      </c>
      <c r="I153" s="39" t="str">
        <f t="shared" si="12"/>
        <v/>
      </c>
      <c r="J153" s="38">
        <f t="shared" si="15"/>
        <v>-5</v>
      </c>
      <c r="K153" s="38">
        <f t="shared" si="13"/>
        <v>-50</v>
      </c>
      <c r="L153" s="38"/>
      <c r="M153" s="40">
        <f t="shared" si="14"/>
        <v>0</v>
      </c>
    </row>
    <row r="154" spans="1:13" x14ac:dyDescent="0.25">
      <c r="A154" s="59"/>
      <c r="G154" s="16"/>
      <c r="H154" s="38">
        <v>149</v>
      </c>
      <c r="I154" s="39" t="str">
        <f t="shared" si="12"/>
        <v/>
      </c>
      <c r="J154" s="38">
        <f t="shared" si="15"/>
        <v>-5</v>
      </c>
      <c r="K154" s="38">
        <f t="shared" si="13"/>
        <v>-50</v>
      </c>
      <c r="L154" s="38"/>
      <c r="M154" s="40">
        <f t="shared" si="14"/>
        <v>0</v>
      </c>
    </row>
    <row r="155" spans="1:13" x14ac:dyDescent="0.25">
      <c r="A155" s="59"/>
      <c r="G155" s="16"/>
      <c r="H155" s="38">
        <v>150</v>
      </c>
      <c r="I155" s="39" t="str">
        <f t="shared" si="12"/>
        <v/>
      </c>
      <c r="J155" s="38">
        <f t="shared" si="15"/>
        <v>-5</v>
      </c>
      <c r="K155" s="38">
        <f t="shared" si="13"/>
        <v>-50</v>
      </c>
      <c r="L155" s="38"/>
      <c r="M155" s="40">
        <f t="shared" si="14"/>
        <v>0</v>
      </c>
    </row>
    <row r="156" spans="1:13" x14ac:dyDescent="0.25">
      <c r="A156" s="59"/>
      <c r="G156" s="16"/>
      <c r="H156" s="38">
        <v>151</v>
      </c>
      <c r="I156" s="39" t="str">
        <f t="shared" si="12"/>
        <v/>
      </c>
      <c r="J156" s="38">
        <f t="shared" si="15"/>
        <v>-5</v>
      </c>
      <c r="K156" s="38">
        <f t="shared" si="13"/>
        <v>-50</v>
      </c>
      <c r="L156" s="38"/>
      <c r="M156" s="40">
        <f t="shared" si="14"/>
        <v>0</v>
      </c>
    </row>
    <row r="157" spans="1:13" x14ac:dyDescent="0.25">
      <c r="A157" s="59"/>
      <c r="G157" s="16"/>
      <c r="H157" s="38">
        <v>152</v>
      </c>
      <c r="I157" s="39" t="str">
        <f t="shared" si="12"/>
        <v/>
      </c>
      <c r="J157" s="38">
        <f t="shared" si="15"/>
        <v>-5</v>
      </c>
      <c r="K157" s="38">
        <f t="shared" si="13"/>
        <v>-50</v>
      </c>
      <c r="L157" s="38"/>
      <c r="M157" s="40">
        <f t="shared" si="14"/>
        <v>0</v>
      </c>
    </row>
    <row r="158" spans="1:13" x14ac:dyDescent="0.25">
      <c r="A158" s="59"/>
      <c r="G158" s="16"/>
      <c r="H158" s="38">
        <v>153</v>
      </c>
      <c r="I158" s="39" t="str">
        <f t="shared" si="12"/>
        <v/>
      </c>
      <c r="J158" s="38">
        <f t="shared" si="15"/>
        <v>-5</v>
      </c>
      <c r="K158" s="38">
        <f t="shared" si="13"/>
        <v>-50</v>
      </c>
      <c r="L158" s="38"/>
      <c r="M158" s="40">
        <f t="shared" si="14"/>
        <v>0</v>
      </c>
    </row>
    <row r="159" spans="1:13" x14ac:dyDescent="0.25">
      <c r="A159" s="59"/>
      <c r="G159" s="16"/>
      <c r="H159" s="38">
        <v>154</v>
      </c>
      <c r="I159" s="39" t="str">
        <f t="shared" si="12"/>
        <v/>
      </c>
      <c r="J159" s="38">
        <f t="shared" si="15"/>
        <v>-5</v>
      </c>
      <c r="K159" s="38">
        <f t="shared" si="13"/>
        <v>-50</v>
      </c>
      <c r="L159" s="38"/>
      <c r="M159" s="40">
        <f t="shared" si="14"/>
        <v>0</v>
      </c>
    </row>
    <row r="160" spans="1:13" x14ac:dyDescent="0.25">
      <c r="A160" s="59"/>
      <c r="G160" s="16"/>
      <c r="H160" s="38">
        <v>155</v>
      </c>
      <c r="I160" s="39" t="str">
        <f t="shared" si="12"/>
        <v/>
      </c>
      <c r="J160" s="38">
        <f t="shared" si="15"/>
        <v>-5</v>
      </c>
      <c r="K160" s="38">
        <f t="shared" si="13"/>
        <v>-50</v>
      </c>
      <c r="L160" s="38"/>
      <c r="M160" s="40">
        <f t="shared" si="14"/>
        <v>0</v>
      </c>
    </row>
    <row r="161" spans="1:13" x14ac:dyDescent="0.25">
      <c r="A161" s="59"/>
      <c r="G161" s="16"/>
      <c r="H161" s="38">
        <v>156</v>
      </c>
      <c r="I161" s="39" t="str">
        <f t="shared" si="12"/>
        <v/>
      </c>
      <c r="J161" s="38">
        <f t="shared" si="15"/>
        <v>-5</v>
      </c>
      <c r="K161" s="38">
        <f t="shared" si="13"/>
        <v>-50</v>
      </c>
      <c r="L161" s="38"/>
      <c r="M161" s="40">
        <f t="shared" si="14"/>
        <v>0</v>
      </c>
    </row>
    <row r="162" spans="1:13" x14ac:dyDescent="0.25">
      <c r="A162" s="59"/>
      <c r="G162" s="16"/>
      <c r="H162" s="38">
        <v>157</v>
      </c>
      <c r="I162" s="39" t="str">
        <f t="shared" si="12"/>
        <v/>
      </c>
      <c r="J162" s="38">
        <f t="shared" si="15"/>
        <v>-5</v>
      </c>
      <c r="K162" s="38">
        <f t="shared" si="13"/>
        <v>-50</v>
      </c>
      <c r="L162" s="38"/>
      <c r="M162" s="40">
        <f t="shared" si="14"/>
        <v>0</v>
      </c>
    </row>
    <row r="163" spans="1:13" x14ac:dyDescent="0.25">
      <c r="A163" s="59"/>
      <c r="G163" s="16"/>
      <c r="H163" s="38">
        <v>158</v>
      </c>
      <c r="I163" s="39" t="str">
        <f t="shared" si="12"/>
        <v/>
      </c>
      <c r="J163" s="38">
        <f t="shared" si="15"/>
        <v>-5</v>
      </c>
      <c r="K163" s="38">
        <f t="shared" si="13"/>
        <v>-50</v>
      </c>
      <c r="L163" s="38"/>
      <c r="M163" s="40">
        <f t="shared" si="14"/>
        <v>0</v>
      </c>
    </row>
    <row r="164" spans="1:13" x14ac:dyDescent="0.25">
      <c r="A164" s="59"/>
      <c r="G164" s="16"/>
      <c r="H164" s="38">
        <v>159</v>
      </c>
      <c r="I164" s="39" t="str">
        <f t="shared" si="12"/>
        <v/>
      </c>
      <c r="J164" s="38">
        <f t="shared" si="15"/>
        <v>-5</v>
      </c>
      <c r="K164" s="38">
        <f t="shared" si="13"/>
        <v>-50</v>
      </c>
      <c r="L164" s="38"/>
      <c r="M164" s="40">
        <f t="shared" si="14"/>
        <v>0</v>
      </c>
    </row>
    <row r="165" spans="1:13" x14ac:dyDescent="0.25">
      <c r="A165" s="59"/>
      <c r="G165" s="16"/>
      <c r="H165" s="38">
        <v>160</v>
      </c>
      <c r="I165" s="39" t="str">
        <f t="shared" si="12"/>
        <v/>
      </c>
      <c r="J165" s="38">
        <f t="shared" si="15"/>
        <v>-5</v>
      </c>
      <c r="K165" s="38">
        <f t="shared" si="13"/>
        <v>-50</v>
      </c>
      <c r="L165" s="38"/>
      <c r="M165" s="40">
        <f t="shared" si="14"/>
        <v>0</v>
      </c>
    </row>
    <row r="166" spans="1:13" x14ac:dyDescent="0.25">
      <c r="A166" s="59"/>
      <c r="G166" s="16"/>
      <c r="H166" s="38">
        <v>161</v>
      </c>
      <c r="I166" s="39" t="str">
        <f t="shared" si="12"/>
        <v/>
      </c>
      <c r="J166" s="38">
        <f t="shared" si="15"/>
        <v>-5</v>
      </c>
      <c r="K166" s="38">
        <f t="shared" si="13"/>
        <v>-50</v>
      </c>
      <c r="L166" s="38"/>
      <c r="M166" s="40">
        <f t="shared" si="14"/>
        <v>0</v>
      </c>
    </row>
    <row r="167" spans="1:13" x14ac:dyDescent="0.25">
      <c r="A167" s="59"/>
      <c r="G167" s="16"/>
      <c r="H167" s="38">
        <v>162</v>
      </c>
      <c r="I167" s="39" t="str">
        <f t="shared" si="12"/>
        <v/>
      </c>
      <c r="J167" s="38">
        <f t="shared" si="15"/>
        <v>-5</v>
      </c>
      <c r="K167" s="38">
        <f t="shared" si="13"/>
        <v>-50</v>
      </c>
      <c r="L167" s="38"/>
      <c r="M167" s="40">
        <f t="shared" si="14"/>
        <v>0</v>
      </c>
    </row>
    <row r="168" spans="1:13" x14ac:dyDescent="0.25">
      <c r="A168" s="59"/>
      <c r="G168" s="16"/>
      <c r="H168" s="38">
        <v>163</v>
      </c>
      <c r="I168" s="39" t="str">
        <f t="shared" si="12"/>
        <v/>
      </c>
      <c r="J168" s="38">
        <f t="shared" si="15"/>
        <v>-5</v>
      </c>
      <c r="K168" s="38">
        <f t="shared" si="13"/>
        <v>-50</v>
      </c>
      <c r="L168" s="38"/>
      <c r="M168" s="40">
        <f t="shared" si="14"/>
        <v>0</v>
      </c>
    </row>
    <row r="169" spans="1:13" x14ac:dyDescent="0.25">
      <c r="A169" s="59"/>
      <c r="G169" s="16"/>
      <c r="H169" s="38">
        <v>164</v>
      </c>
      <c r="I169" s="39" t="str">
        <f t="shared" si="12"/>
        <v/>
      </c>
      <c r="J169" s="38">
        <f t="shared" si="15"/>
        <v>-5</v>
      </c>
      <c r="K169" s="38">
        <f t="shared" si="13"/>
        <v>-50</v>
      </c>
      <c r="L169" s="38"/>
      <c r="M169" s="40">
        <f t="shared" si="14"/>
        <v>0</v>
      </c>
    </row>
    <row r="170" spans="1:13" x14ac:dyDescent="0.25">
      <c r="A170" s="59"/>
      <c r="G170" s="16"/>
      <c r="H170" s="38">
        <v>165</v>
      </c>
      <c r="I170" s="39" t="str">
        <f t="shared" si="12"/>
        <v/>
      </c>
      <c r="J170" s="38">
        <f t="shared" si="15"/>
        <v>-5</v>
      </c>
      <c r="K170" s="38">
        <f t="shared" si="13"/>
        <v>-50</v>
      </c>
      <c r="L170" s="38"/>
      <c r="M170" s="40">
        <f t="shared" si="14"/>
        <v>0</v>
      </c>
    </row>
    <row r="171" spans="1:13" x14ac:dyDescent="0.25">
      <c r="A171" s="59"/>
      <c r="G171" s="16"/>
      <c r="H171" s="38">
        <v>166</v>
      </c>
      <c r="I171" s="39" t="str">
        <f t="shared" si="12"/>
        <v/>
      </c>
      <c r="J171" s="38">
        <f t="shared" si="15"/>
        <v>-5</v>
      </c>
      <c r="K171" s="38">
        <f t="shared" si="13"/>
        <v>-50</v>
      </c>
      <c r="L171" s="38"/>
      <c r="M171" s="40">
        <f t="shared" si="14"/>
        <v>0</v>
      </c>
    </row>
    <row r="172" spans="1:13" x14ac:dyDescent="0.25">
      <c r="A172" s="59"/>
      <c r="G172" s="16"/>
      <c r="H172" s="38">
        <v>167</v>
      </c>
      <c r="I172" s="39" t="str">
        <f t="shared" si="12"/>
        <v/>
      </c>
      <c r="J172" s="38">
        <f t="shared" si="15"/>
        <v>-5</v>
      </c>
      <c r="K172" s="38">
        <f t="shared" si="13"/>
        <v>-50</v>
      </c>
      <c r="L172" s="38"/>
      <c r="M172" s="40">
        <f t="shared" si="14"/>
        <v>0</v>
      </c>
    </row>
    <row r="173" spans="1:13" x14ac:dyDescent="0.25">
      <c r="A173" s="59"/>
      <c r="G173" s="16"/>
      <c r="H173" s="38">
        <v>168</v>
      </c>
      <c r="I173" s="39" t="str">
        <f t="shared" si="12"/>
        <v/>
      </c>
      <c r="J173" s="38">
        <f t="shared" si="15"/>
        <v>-5</v>
      </c>
      <c r="K173" s="38">
        <f t="shared" si="13"/>
        <v>-50</v>
      </c>
      <c r="L173" s="38"/>
      <c r="M173" s="40">
        <f t="shared" si="14"/>
        <v>0</v>
      </c>
    </row>
    <row r="174" spans="1:13" x14ac:dyDescent="0.25">
      <c r="A174" s="59"/>
      <c r="G174" s="16"/>
      <c r="H174" s="38">
        <v>169</v>
      </c>
      <c r="I174" s="39" t="str">
        <f t="shared" si="12"/>
        <v/>
      </c>
      <c r="J174" s="38">
        <f t="shared" si="15"/>
        <v>-5</v>
      </c>
      <c r="K174" s="38">
        <f t="shared" si="13"/>
        <v>-50</v>
      </c>
      <c r="L174" s="38"/>
      <c r="M174" s="40">
        <f t="shared" si="14"/>
        <v>0</v>
      </c>
    </row>
    <row r="175" spans="1:13" x14ac:dyDescent="0.25">
      <c r="A175" s="59"/>
      <c r="G175" s="16"/>
      <c r="H175" s="38">
        <v>170</v>
      </c>
      <c r="I175" s="39" t="str">
        <f t="shared" si="12"/>
        <v/>
      </c>
      <c r="J175" s="38">
        <f t="shared" si="15"/>
        <v>-5</v>
      </c>
      <c r="K175" s="38">
        <f t="shared" si="13"/>
        <v>-50</v>
      </c>
      <c r="L175" s="38"/>
      <c r="M175" s="40">
        <f t="shared" si="14"/>
        <v>0</v>
      </c>
    </row>
    <row r="176" spans="1:13" x14ac:dyDescent="0.25">
      <c r="A176" s="59"/>
      <c r="G176" s="16"/>
      <c r="H176" s="38">
        <v>171</v>
      </c>
      <c r="I176" s="39" t="str">
        <f t="shared" si="12"/>
        <v/>
      </c>
      <c r="J176" s="38">
        <f t="shared" si="15"/>
        <v>-5</v>
      </c>
      <c r="K176" s="38">
        <f t="shared" si="13"/>
        <v>-50</v>
      </c>
      <c r="L176" s="38"/>
      <c r="M176" s="40">
        <f t="shared" si="14"/>
        <v>0</v>
      </c>
    </row>
    <row r="177" spans="1:13" x14ac:dyDescent="0.25">
      <c r="A177" s="59"/>
      <c r="G177" s="16"/>
      <c r="H177" s="38">
        <v>172</v>
      </c>
      <c r="I177" s="39" t="str">
        <f t="shared" si="12"/>
        <v/>
      </c>
      <c r="J177" s="38">
        <f t="shared" si="15"/>
        <v>-5</v>
      </c>
      <c r="K177" s="38">
        <f t="shared" si="13"/>
        <v>-50</v>
      </c>
      <c r="L177" s="38"/>
      <c r="M177" s="40">
        <f t="shared" si="14"/>
        <v>0</v>
      </c>
    </row>
    <row r="178" spans="1:13" x14ac:dyDescent="0.25">
      <c r="A178" s="59"/>
      <c r="G178" s="16"/>
      <c r="H178" s="38">
        <v>173</v>
      </c>
      <c r="I178" s="39" t="str">
        <f t="shared" si="12"/>
        <v/>
      </c>
      <c r="J178" s="38">
        <f t="shared" si="15"/>
        <v>-5</v>
      </c>
      <c r="K178" s="38">
        <f t="shared" si="13"/>
        <v>-50</v>
      </c>
      <c r="L178" s="38"/>
      <c r="M178" s="40">
        <f t="shared" si="14"/>
        <v>0</v>
      </c>
    </row>
    <row r="179" spans="1:13" x14ac:dyDescent="0.25">
      <c r="A179" s="59"/>
      <c r="G179" s="16"/>
      <c r="H179" s="38">
        <v>174</v>
      </c>
      <c r="I179" s="39" t="str">
        <f t="shared" si="12"/>
        <v/>
      </c>
      <c r="J179" s="38">
        <f t="shared" si="15"/>
        <v>-5</v>
      </c>
      <c r="K179" s="38">
        <f t="shared" si="13"/>
        <v>-50</v>
      </c>
      <c r="L179" s="38"/>
      <c r="M179" s="40">
        <f t="shared" si="14"/>
        <v>0</v>
      </c>
    </row>
    <row r="180" spans="1:13" x14ac:dyDescent="0.25">
      <c r="A180" s="59"/>
      <c r="G180" s="16"/>
      <c r="H180" s="38">
        <v>175</v>
      </c>
      <c r="I180" s="39" t="str">
        <f t="shared" si="12"/>
        <v/>
      </c>
      <c r="J180" s="38">
        <f t="shared" si="15"/>
        <v>-5</v>
      </c>
      <c r="K180" s="38">
        <f t="shared" si="13"/>
        <v>-50</v>
      </c>
      <c r="L180" s="38"/>
      <c r="M180" s="40">
        <f t="shared" si="14"/>
        <v>0</v>
      </c>
    </row>
    <row r="181" spans="1:13" x14ac:dyDescent="0.25">
      <c r="A181" s="59"/>
      <c r="G181" s="16"/>
      <c r="H181" s="38">
        <v>176</v>
      </c>
      <c r="I181" s="39" t="str">
        <f t="shared" si="12"/>
        <v/>
      </c>
      <c r="J181" s="38">
        <f t="shared" si="15"/>
        <v>-5</v>
      </c>
      <c r="K181" s="38">
        <f t="shared" si="13"/>
        <v>-50</v>
      </c>
      <c r="L181" s="38"/>
      <c r="M181" s="40">
        <f t="shared" si="14"/>
        <v>0</v>
      </c>
    </row>
    <row r="182" spans="1:13" x14ac:dyDescent="0.25">
      <c r="A182" s="59"/>
      <c r="G182" s="16"/>
      <c r="H182" s="38">
        <v>177</v>
      </c>
      <c r="I182" s="39" t="str">
        <f t="shared" si="12"/>
        <v/>
      </c>
      <c r="J182" s="38">
        <f t="shared" si="15"/>
        <v>-5</v>
      </c>
      <c r="K182" s="38">
        <f t="shared" si="13"/>
        <v>-50</v>
      </c>
      <c r="L182" s="38"/>
      <c r="M182" s="40">
        <f t="shared" si="14"/>
        <v>0</v>
      </c>
    </row>
    <row r="183" spans="1:13" x14ac:dyDescent="0.25">
      <c r="A183" s="59"/>
      <c r="G183" s="16"/>
      <c r="H183" s="38">
        <v>178</v>
      </c>
      <c r="I183" s="39" t="str">
        <f t="shared" si="12"/>
        <v/>
      </c>
      <c r="J183" s="38">
        <f t="shared" si="15"/>
        <v>-5</v>
      </c>
      <c r="K183" s="38">
        <f t="shared" si="13"/>
        <v>-50</v>
      </c>
      <c r="L183" s="38"/>
      <c r="M183" s="40">
        <f t="shared" si="14"/>
        <v>0</v>
      </c>
    </row>
    <row r="184" spans="1:13" x14ac:dyDescent="0.25">
      <c r="A184" s="59"/>
      <c r="G184" s="16"/>
      <c r="H184" s="38">
        <v>179</v>
      </c>
      <c r="I184" s="39" t="str">
        <f t="shared" si="12"/>
        <v/>
      </c>
      <c r="J184" s="38">
        <f t="shared" si="15"/>
        <v>-5</v>
      </c>
      <c r="K184" s="38">
        <f t="shared" si="13"/>
        <v>-50</v>
      </c>
      <c r="L184" s="38"/>
      <c r="M184" s="40">
        <f t="shared" si="14"/>
        <v>0</v>
      </c>
    </row>
    <row r="185" spans="1:13" x14ac:dyDescent="0.25">
      <c r="A185" s="59"/>
      <c r="G185" s="16"/>
      <c r="H185" s="38">
        <v>180</v>
      </c>
      <c r="I185" s="39" t="str">
        <f t="shared" si="12"/>
        <v/>
      </c>
      <c r="J185" s="38">
        <f t="shared" si="15"/>
        <v>-5</v>
      </c>
      <c r="K185" s="38">
        <f t="shared" si="13"/>
        <v>-50</v>
      </c>
      <c r="L185" s="38"/>
      <c r="M185" s="40">
        <f t="shared" si="14"/>
        <v>0</v>
      </c>
    </row>
    <row r="186" spans="1:13" x14ac:dyDescent="0.25">
      <c r="A186" s="59"/>
      <c r="G186" s="16"/>
      <c r="H186" s="38">
        <v>181</v>
      </c>
      <c r="I186" s="39" t="str">
        <f t="shared" si="12"/>
        <v/>
      </c>
      <c r="J186" s="38">
        <f t="shared" si="15"/>
        <v>-5</v>
      </c>
      <c r="K186" s="38">
        <f t="shared" si="13"/>
        <v>-50</v>
      </c>
      <c r="L186" s="38"/>
      <c r="M186" s="40">
        <f t="shared" si="14"/>
        <v>0</v>
      </c>
    </row>
    <row r="187" spans="1:13" x14ac:dyDescent="0.25">
      <c r="A187" s="59"/>
      <c r="G187" s="16"/>
      <c r="H187" s="38">
        <v>182</v>
      </c>
      <c r="I187" s="39" t="str">
        <f t="shared" si="12"/>
        <v/>
      </c>
      <c r="J187" s="38">
        <f t="shared" si="15"/>
        <v>-5</v>
      </c>
      <c r="K187" s="38">
        <f t="shared" si="13"/>
        <v>-50</v>
      </c>
      <c r="L187" s="38"/>
      <c r="M187" s="40">
        <f t="shared" si="14"/>
        <v>0</v>
      </c>
    </row>
    <row r="188" spans="1:13" x14ac:dyDescent="0.25">
      <c r="A188" s="59"/>
      <c r="G188" s="16"/>
      <c r="H188" s="38">
        <v>183</v>
      </c>
      <c r="I188" s="39" t="str">
        <f t="shared" si="12"/>
        <v/>
      </c>
      <c r="J188" s="38">
        <f t="shared" si="15"/>
        <v>-5</v>
      </c>
      <c r="K188" s="38">
        <f t="shared" si="13"/>
        <v>-50</v>
      </c>
      <c r="L188" s="38"/>
      <c r="M188" s="40">
        <f t="shared" si="14"/>
        <v>0</v>
      </c>
    </row>
    <row r="189" spans="1:13" x14ac:dyDescent="0.25">
      <c r="A189" s="59"/>
      <c r="G189" s="16"/>
      <c r="H189" s="38">
        <v>184</v>
      </c>
      <c r="I189" s="39" t="str">
        <f t="shared" si="12"/>
        <v/>
      </c>
      <c r="J189" s="38">
        <f t="shared" si="15"/>
        <v>-5</v>
      </c>
      <c r="K189" s="38">
        <f t="shared" si="13"/>
        <v>-50</v>
      </c>
      <c r="L189" s="38"/>
      <c r="M189" s="40">
        <f t="shared" si="14"/>
        <v>0</v>
      </c>
    </row>
    <row r="190" spans="1:13" x14ac:dyDescent="0.25">
      <c r="A190" s="59"/>
      <c r="G190" s="16"/>
      <c r="H190" s="38">
        <v>185</v>
      </c>
      <c r="I190" s="39" t="str">
        <f t="shared" si="12"/>
        <v/>
      </c>
      <c r="J190" s="38">
        <f t="shared" si="15"/>
        <v>-5</v>
      </c>
      <c r="K190" s="38">
        <f t="shared" si="13"/>
        <v>-50</v>
      </c>
      <c r="L190" s="38"/>
      <c r="M190" s="40">
        <f t="shared" si="14"/>
        <v>0</v>
      </c>
    </row>
    <row r="191" spans="1:13" x14ac:dyDescent="0.25">
      <c r="A191" s="59"/>
      <c r="G191" s="16"/>
      <c r="H191" s="38">
        <v>186</v>
      </c>
      <c r="I191" s="39" t="str">
        <f t="shared" si="12"/>
        <v/>
      </c>
      <c r="J191" s="38">
        <f t="shared" si="15"/>
        <v>-5</v>
      </c>
      <c r="K191" s="38">
        <f t="shared" si="13"/>
        <v>-50</v>
      </c>
      <c r="L191" s="38"/>
      <c r="M191" s="40">
        <f t="shared" si="14"/>
        <v>0</v>
      </c>
    </row>
    <row r="192" spans="1:13" x14ac:dyDescent="0.25">
      <c r="A192" s="59"/>
      <c r="G192" s="16"/>
      <c r="H192" s="38">
        <v>187</v>
      </c>
      <c r="I192" s="39" t="str">
        <f t="shared" si="12"/>
        <v/>
      </c>
      <c r="J192" s="38">
        <f t="shared" si="15"/>
        <v>-5</v>
      </c>
      <c r="K192" s="38">
        <f t="shared" si="13"/>
        <v>-50</v>
      </c>
      <c r="L192" s="38"/>
      <c r="M192" s="40">
        <f t="shared" si="14"/>
        <v>0</v>
      </c>
    </row>
    <row r="193" spans="1:13" x14ac:dyDescent="0.25">
      <c r="A193" s="59"/>
      <c r="G193" s="16"/>
      <c r="H193" s="38">
        <v>188</v>
      </c>
      <c r="I193" s="39" t="str">
        <f t="shared" si="12"/>
        <v/>
      </c>
      <c r="J193" s="38">
        <f t="shared" si="15"/>
        <v>-5</v>
      </c>
      <c r="K193" s="38">
        <f t="shared" si="13"/>
        <v>-50</v>
      </c>
      <c r="L193" s="38"/>
      <c r="M193" s="40">
        <f t="shared" si="14"/>
        <v>0</v>
      </c>
    </row>
    <row r="194" spans="1:13" x14ac:dyDescent="0.25">
      <c r="A194" s="59"/>
      <c r="G194" s="16"/>
      <c r="H194" s="38">
        <v>189</v>
      </c>
      <c r="I194" s="39" t="str">
        <f t="shared" si="12"/>
        <v/>
      </c>
      <c r="J194" s="38">
        <f t="shared" si="15"/>
        <v>-5</v>
      </c>
      <c r="K194" s="38">
        <f t="shared" si="13"/>
        <v>-50</v>
      </c>
      <c r="L194" s="38"/>
      <c r="M194" s="40">
        <f t="shared" si="14"/>
        <v>0</v>
      </c>
    </row>
    <row r="195" spans="1:13" x14ac:dyDescent="0.25">
      <c r="A195" s="59"/>
      <c r="G195" s="16"/>
      <c r="H195" s="38">
        <v>190</v>
      </c>
      <c r="I195" s="39" t="str">
        <f t="shared" si="12"/>
        <v/>
      </c>
      <c r="J195" s="38">
        <f t="shared" si="15"/>
        <v>-5</v>
      </c>
      <c r="K195" s="38">
        <f t="shared" si="13"/>
        <v>-50</v>
      </c>
      <c r="L195" s="38"/>
      <c r="M195" s="40">
        <f t="shared" si="14"/>
        <v>0</v>
      </c>
    </row>
    <row r="196" spans="1:13" x14ac:dyDescent="0.25">
      <c r="A196" s="59"/>
      <c r="G196" s="16"/>
      <c r="H196" s="38">
        <v>191</v>
      </c>
      <c r="I196" s="39" t="str">
        <f t="shared" si="12"/>
        <v/>
      </c>
      <c r="J196" s="38">
        <f t="shared" si="15"/>
        <v>-5</v>
      </c>
      <c r="K196" s="38">
        <f t="shared" si="13"/>
        <v>-50</v>
      </c>
      <c r="L196" s="38"/>
      <c r="M196" s="40">
        <f t="shared" si="14"/>
        <v>0</v>
      </c>
    </row>
    <row r="197" spans="1:13" x14ac:dyDescent="0.25">
      <c r="A197" s="59"/>
      <c r="G197" s="16"/>
      <c r="H197" s="38">
        <v>192</v>
      </c>
      <c r="I197" s="39" t="str">
        <f t="shared" si="12"/>
        <v/>
      </c>
      <c r="J197" s="38">
        <f t="shared" si="15"/>
        <v>-5</v>
      </c>
      <c r="K197" s="38">
        <f t="shared" si="13"/>
        <v>-50</v>
      </c>
      <c r="L197" s="38"/>
      <c r="M197" s="40">
        <f t="shared" si="14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6">IF(H198&lt;$H$2+1,($I$2-($I$2-1)*(LOG(H198)/LOG($H$2))),"")</f>
        <v/>
      </c>
      <c r="J198" s="38">
        <f t="shared" si="15"/>
        <v>-5</v>
      </c>
      <c r="K198" s="38">
        <f t="shared" ref="K198:K261" si="17">J198*$J$2</f>
        <v>-50</v>
      </c>
      <c r="L198" s="38"/>
      <c r="M198" s="40">
        <f t="shared" ref="M198:M261" si="18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6"/>
        <v/>
      </c>
      <c r="J199" s="38">
        <f t="shared" ref="J199:J262" si="19">INT(LOG($H$2,2))-ROUNDUP(LOG(H199,2),0)+IF(OR($H$2=1,$H$2=2,$H$2=4,$H$2=8,$H$2=16,$H$2=32,$H$2=64,$H$2=128,$H$2=256),1,0)</f>
        <v>-5</v>
      </c>
      <c r="K199" s="38">
        <f t="shared" si="17"/>
        <v>-50</v>
      </c>
      <c r="L199" s="38"/>
      <c r="M199" s="40">
        <f t="shared" si="18"/>
        <v>0</v>
      </c>
    </row>
    <row r="200" spans="1:13" x14ac:dyDescent="0.25">
      <c r="A200" s="59"/>
      <c r="G200" s="16"/>
      <c r="H200" s="38">
        <v>195</v>
      </c>
      <c r="I200" s="39" t="str">
        <f t="shared" si="16"/>
        <v/>
      </c>
      <c r="J200" s="38">
        <f t="shared" si="19"/>
        <v>-5</v>
      </c>
      <c r="K200" s="38">
        <f t="shared" si="17"/>
        <v>-50</v>
      </c>
      <c r="L200" s="38"/>
      <c r="M200" s="40">
        <f t="shared" si="18"/>
        <v>0</v>
      </c>
    </row>
    <row r="201" spans="1:13" x14ac:dyDescent="0.25">
      <c r="A201" s="59"/>
      <c r="G201" s="16"/>
      <c r="H201" s="38">
        <v>196</v>
      </c>
      <c r="I201" s="39" t="str">
        <f t="shared" si="16"/>
        <v/>
      </c>
      <c r="J201" s="38">
        <f t="shared" si="19"/>
        <v>-5</v>
      </c>
      <c r="K201" s="38">
        <f t="shared" si="17"/>
        <v>-50</v>
      </c>
      <c r="L201" s="38"/>
      <c r="M201" s="40">
        <f t="shared" si="18"/>
        <v>0</v>
      </c>
    </row>
    <row r="202" spans="1:13" x14ac:dyDescent="0.25">
      <c r="A202" s="59"/>
      <c r="G202" s="16"/>
      <c r="H202" s="38">
        <v>197</v>
      </c>
      <c r="I202" s="39" t="str">
        <f t="shared" si="16"/>
        <v/>
      </c>
      <c r="J202" s="38">
        <f t="shared" si="19"/>
        <v>-5</v>
      </c>
      <c r="K202" s="38">
        <f t="shared" si="17"/>
        <v>-50</v>
      </c>
      <c r="L202" s="38"/>
      <c r="M202" s="40">
        <f t="shared" si="18"/>
        <v>0</v>
      </c>
    </row>
    <row r="203" spans="1:13" x14ac:dyDescent="0.25">
      <c r="A203" s="59"/>
      <c r="G203" s="16"/>
      <c r="H203" s="38">
        <v>198</v>
      </c>
      <c r="I203" s="39" t="str">
        <f t="shared" si="16"/>
        <v/>
      </c>
      <c r="J203" s="38">
        <f t="shared" si="19"/>
        <v>-5</v>
      </c>
      <c r="K203" s="38">
        <f t="shared" si="17"/>
        <v>-50</v>
      </c>
      <c r="L203" s="38"/>
      <c r="M203" s="40">
        <f t="shared" si="18"/>
        <v>0</v>
      </c>
    </row>
    <row r="204" spans="1:13" x14ac:dyDescent="0.25">
      <c r="A204" s="59"/>
      <c r="G204" s="16"/>
      <c r="H204" s="38">
        <v>199</v>
      </c>
      <c r="I204" s="39" t="str">
        <f t="shared" si="16"/>
        <v/>
      </c>
      <c r="J204" s="38">
        <f t="shared" si="19"/>
        <v>-5</v>
      </c>
      <c r="K204" s="38">
        <f t="shared" si="17"/>
        <v>-50</v>
      </c>
      <c r="L204" s="38"/>
      <c r="M204" s="40">
        <f t="shared" si="18"/>
        <v>0</v>
      </c>
    </row>
    <row r="205" spans="1:13" x14ac:dyDescent="0.25">
      <c r="A205" s="59"/>
      <c r="G205" s="16"/>
      <c r="H205" s="38">
        <v>200</v>
      </c>
      <c r="I205" s="39" t="str">
        <f t="shared" si="16"/>
        <v/>
      </c>
      <c r="J205" s="38">
        <f t="shared" si="19"/>
        <v>-5</v>
      </c>
      <c r="K205" s="38">
        <f t="shared" si="17"/>
        <v>-50</v>
      </c>
      <c r="L205" s="38"/>
      <c r="M205" s="40">
        <f t="shared" si="18"/>
        <v>0</v>
      </c>
    </row>
    <row r="206" spans="1:13" x14ac:dyDescent="0.25">
      <c r="A206" s="59"/>
      <c r="G206" s="16"/>
      <c r="H206" s="38">
        <v>201</v>
      </c>
      <c r="I206" s="39" t="str">
        <f t="shared" si="16"/>
        <v/>
      </c>
      <c r="J206" s="38">
        <f t="shared" si="19"/>
        <v>-5</v>
      </c>
      <c r="K206" s="38">
        <f t="shared" si="17"/>
        <v>-50</v>
      </c>
      <c r="L206" s="38"/>
      <c r="M206" s="40">
        <f t="shared" si="18"/>
        <v>0</v>
      </c>
    </row>
    <row r="207" spans="1:13" x14ac:dyDescent="0.25">
      <c r="A207" s="59"/>
      <c r="G207" s="16"/>
      <c r="H207" s="38">
        <v>202</v>
      </c>
      <c r="I207" s="39" t="str">
        <f t="shared" si="16"/>
        <v/>
      </c>
      <c r="J207" s="38">
        <f t="shared" si="19"/>
        <v>-5</v>
      </c>
      <c r="K207" s="38">
        <f t="shared" si="17"/>
        <v>-50</v>
      </c>
      <c r="L207" s="38"/>
      <c r="M207" s="40">
        <f t="shared" si="18"/>
        <v>0</v>
      </c>
    </row>
    <row r="208" spans="1:13" x14ac:dyDescent="0.25">
      <c r="A208" s="59"/>
      <c r="G208" s="16"/>
      <c r="H208" s="38">
        <v>203</v>
      </c>
      <c r="I208" s="39" t="str">
        <f t="shared" si="16"/>
        <v/>
      </c>
      <c r="J208" s="38">
        <f t="shared" si="19"/>
        <v>-5</v>
      </c>
      <c r="K208" s="38">
        <f t="shared" si="17"/>
        <v>-50</v>
      </c>
      <c r="L208" s="38"/>
      <c r="M208" s="40">
        <f t="shared" si="18"/>
        <v>0</v>
      </c>
    </row>
    <row r="209" spans="1:13" x14ac:dyDescent="0.25">
      <c r="A209" s="59"/>
      <c r="G209" s="16"/>
      <c r="H209" s="38">
        <v>204</v>
      </c>
      <c r="I209" s="39" t="str">
        <f t="shared" si="16"/>
        <v/>
      </c>
      <c r="J209" s="38">
        <f t="shared" si="19"/>
        <v>-5</v>
      </c>
      <c r="K209" s="38">
        <f t="shared" si="17"/>
        <v>-50</v>
      </c>
      <c r="L209" s="38"/>
      <c r="M209" s="40">
        <f t="shared" si="18"/>
        <v>0</v>
      </c>
    </row>
    <row r="210" spans="1:13" x14ac:dyDescent="0.25">
      <c r="A210" s="59"/>
      <c r="G210" s="16"/>
      <c r="H210" s="38">
        <v>205</v>
      </c>
      <c r="I210" s="39" t="str">
        <f t="shared" si="16"/>
        <v/>
      </c>
      <c r="J210" s="38">
        <f t="shared" si="19"/>
        <v>-5</v>
      </c>
      <c r="K210" s="38">
        <f t="shared" si="17"/>
        <v>-50</v>
      </c>
      <c r="L210" s="38"/>
      <c r="M210" s="40">
        <f t="shared" si="18"/>
        <v>0</v>
      </c>
    </row>
    <row r="211" spans="1:13" x14ac:dyDescent="0.25">
      <c r="A211" s="59"/>
      <c r="G211" s="16"/>
      <c r="H211" s="38">
        <v>206</v>
      </c>
      <c r="I211" s="39" t="str">
        <f t="shared" si="16"/>
        <v/>
      </c>
      <c r="J211" s="38">
        <f t="shared" si="19"/>
        <v>-5</v>
      </c>
      <c r="K211" s="38">
        <f t="shared" si="17"/>
        <v>-50</v>
      </c>
      <c r="L211" s="38"/>
      <c r="M211" s="40">
        <f t="shared" si="18"/>
        <v>0</v>
      </c>
    </row>
    <row r="212" spans="1:13" x14ac:dyDescent="0.25">
      <c r="A212" s="59"/>
      <c r="G212" s="16"/>
      <c r="H212" s="38">
        <v>207</v>
      </c>
      <c r="I212" s="39" t="str">
        <f t="shared" si="16"/>
        <v/>
      </c>
      <c r="J212" s="38">
        <f t="shared" si="19"/>
        <v>-5</v>
      </c>
      <c r="K212" s="38">
        <f t="shared" si="17"/>
        <v>-50</v>
      </c>
      <c r="L212" s="38"/>
      <c r="M212" s="40">
        <f t="shared" si="18"/>
        <v>0</v>
      </c>
    </row>
    <row r="213" spans="1:13" x14ac:dyDescent="0.25">
      <c r="A213" s="59"/>
      <c r="G213" s="16"/>
      <c r="H213" s="38">
        <v>208</v>
      </c>
      <c r="I213" s="39" t="str">
        <f t="shared" si="16"/>
        <v/>
      </c>
      <c r="J213" s="38">
        <f t="shared" si="19"/>
        <v>-5</v>
      </c>
      <c r="K213" s="38">
        <f t="shared" si="17"/>
        <v>-50</v>
      </c>
      <c r="L213" s="38"/>
      <c r="M213" s="40">
        <f t="shared" si="18"/>
        <v>0</v>
      </c>
    </row>
    <row r="214" spans="1:13" x14ac:dyDescent="0.25">
      <c r="A214" s="59"/>
      <c r="G214" s="16"/>
      <c r="H214" s="38">
        <v>209</v>
      </c>
      <c r="I214" s="39" t="str">
        <f t="shared" si="16"/>
        <v/>
      </c>
      <c r="J214" s="38">
        <f t="shared" si="19"/>
        <v>-5</v>
      </c>
      <c r="K214" s="38">
        <f t="shared" si="17"/>
        <v>-50</v>
      </c>
      <c r="L214" s="38"/>
      <c r="M214" s="40">
        <f t="shared" si="18"/>
        <v>0</v>
      </c>
    </row>
    <row r="215" spans="1:13" x14ac:dyDescent="0.25">
      <c r="A215" s="59"/>
      <c r="G215" s="16"/>
      <c r="H215" s="38">
        <v>210</v>
      </c>
      <c r="I215" s="39" t="str">
        <f t="shared" si="16"/>
        <v/>
      </c>
      <c r="J215" s="38">
        <f t="shared" si="19"/>
        <v>-5</v>
      </c>
      <c r="K215" s="38">
        <f t="shared" si="17"/>
        <v>-50</v>
      </c>
      <c r="L215" s="38"/>
      <c r="M215" s="40">
        <f t="shared" si="18"/>
        <v>0</v>
      </c>
    </row>
    <row r="216" spans="1:13" x14ac:dyDescent="0.25">
      <c r="A216" s="59"/>
      <c r="G216" s="16"/>
      <c r="H216" s="38">
        <v>211</v>
      </c>
      <c r="I216" s="39" t="str">
        <f t="shared" si="16"/>
        <v/>
      </c>
      <c r="J216" s="38">
        <f t="shared" si="19"/>
        <v>-5</v>
      </c>
      <c r="K216" s="38">
        <f t="shared" si="17"/>
        <v>-50</v>
      </c>
      <c r="L216" s="38"/>
      <c r="M216" s="40">
        <f t="shared" si="18"/>
        <v>0</v>
      </c>
    </row>
    <row r="217" spans="1:13" x14ac:dyDescent="0.25">
      <c r="A217" s="59"/>
      <c r="G217" s="16"/>
      <c r="H217" s="38">
        <v>212</v>
      </c>
      <c r="I217" s="39" t="str">
        <f t="shared" si="16"/>
        <v/>
      </c>
      <c r="J217" s="38">
        <f t="shared" si="19"/>
        <v>-5</v>
      </c>
      <c r="K217" s="38">
        <f t="shared" si="17"/>
        <v>-50</v>
      </c>
      <c r="L217" s="38"/>
      <c r="M217" s="40">
        <f t="shared" si="18"/>
        <v>0</v>
      </c>
    </row>
    <row r="218" spans="1:13" x14ac:dyDescent="0.25">
      <c r="A218" s="59"/>
      <c r="G218" s="16"/>
      <c r="H218" s="38">
        <v>213</v>
      </c>
      <c r="I218" s="39" t="str">
        <f t="shared" si="16"/>
        <v/>
      </c>
      <c r="J218" s="38">
        <f t="shared" si="19"/>
        <v>-5</v>
      </c>
      <c r="K218" s="38">
        <f t="shared" si="17"/>
        <v>-50</v>
      </c>
      <c r="L218" s="38"/>
      <c r="M218" s="40">
        <f t="shared" si="18"/>
        <v>0</v>
      </c>
    </row>
    <row r="219" spans="1:13" x14ac:dyDescent="0.25">
      <c r="A219" s="59"/>
      <c r="G219" s="16"/>
      <c r="H219" s="38">
        <v>214</v>
      </c>
      <c r="I219" s="39" t="str">
        <f t="shared" si="16"/>
        <v/>
      </c>
      <c r="J219" s="38">
        <f t="shared" si="19"/>
        <v>-5</v>
      </c>
      <c r="K219" s="38">
        <f t="shared" si="17"/>
        <v>-50</v>
      </c>
      <c r="L219" s="38"/>
      <c r="M219" s="40">
        <f t="shared" si="18"/>
        <v>0</v>
      </c>
    </row>
    <row r="220" spans="1:13" x14ac:dyDescent="0.25">
      <c r="A220" s="59"/>
      <c r="G220" s="16"/>
      <c r="H220" s="38">
        <v>215</v>
      </c>
      <c r="I220" s="39" t="str">
        <f t="shared" si="16"/>
        <v/>
      </c>
      <c r="J220" s="38">
        <f t="shared" si="19"/>
        <v>-5</v>
      </c>
      <c r="K220" s="38">
        <f t="shared" si="17"/>
        <v>-50</v>
      </c>
      <c r="L220" s="38"/>
      <c r="M220" s="40">
        <f t="shared" si="18"/>
        <v>0</v>
      </c>
    </row>
    <row r="221" spans="1:13" x14ac:dyDescent="0.25">
      <c r="A221" s="59"/>
      <c r="G221" s="16"/>
      <c r="H221" s="38">
        <v>216</v>
      </c>
      <c r="I221" s="39" t="str">
        <f t="shared" si="16"/>
        <v/>
      </c>
      <c r="J221" s="38">
        <f t="shared" si="19"/>
        <v>-5</v>
      </c>
      <c r="K221" s="38">
        <f t="shared" si="17"/>
        <v>-50</v>
      </c>
      <c r="L221" s="38"/>
      <c r="M221" s="40">
        <f t="shared" si="18"/>
        <v>0</v>
      </c>
    </row>
    <row r="222" spans="1:13" x14ac:dyDescent="0.25">
      <c r="A222" s="59"/>
      <c r="G222" s="16"/>
      <c r="H222" s="38">
        <v>217</v>
      </c>
      <c r="I222" s="39" t="str">
        <f t="shared" si="16"/>
        <v/>
      </c>
      <c r="J222" s="38">
        <f t="shared" si="19"/>
        <v>-5</v>
      </c>
      <c r="K222" s="38">
        <f t="shared" si="17"/>
        <v>-50</v>
      </c>
      <c r="L222" s="38"/>
      <c r="M222" s="40">
        <f t="shared" si="18"/>
        <v>0</v>
      </c>
    </row>
    <row r="223" spans="1:13" x14ac:dyDescent="0.25">
      <c r="A223" s="59"/>
      <c r="G223" s="16"/>
      <c r="H223" s="38">
        <v>218</v>
      </c>
      <c r="I223" s="39" t="str">
        <f t="shared" si="16"/>
        <v/>
      </c>
      <c r="J223" s="38">
        <f t="shared" si="19"/>
        <v>-5</v>
      </c>
      <c r="K223" s="38">
        <f t="shared" si="17"/>
        <v>-50</v>
      </c>
      <c r="L223" s="38"/>
      <c r="M223" s="40">
        <f t="shared" si="18"/>
        <v>0</v>
      </c>
    </row>
    <row r="224" spans="1:13" x14ac:dyDescent="0.25">
      <c r="A224" s="59"/>
      <c r="G224" s="16"/>
      <c r="H224" s="38">
        <v>219</v>
      </c>
      <c r="I224" s="39" t="str">
        <f t="shared" si="16"/>
        <v/>
      </c>
      <c r="J224" s="38">
        <f t="shared" si="19"/>
        <v>-5</v>
      </c>
      <c r="K224" s="38">
        <f t="shared" si="17"/>
        <v>-50</v>
      </c>
      <c r="L224" s="38"/>
      <c r="M224" s="40">
        <f t="shared" si="18"/>
        <v>0</v>
      </c>
    </row>
    <row r="225" spans="1:13" x14ac:dyDescent="0.25">
      <c r="A225" s="59"/>
      <c r="G225" s="16"/>
      <c r="H225" s="38">
        <v>220</v>
      </c>
      <c r="I225" s="39" t="str">
        <f t="shared" si="16"/>
        <v/>
      </c>
      <c r="J225" s="38">
        <f t="shared" si="19"/>
        <v>-5</v>
      </c>
      <c r="K225" s="38">
        <f t="shared" si="17"/>
        <v>-50</v>
      </c>
      <c r="L225" s="38"/>
      <c r="M225" s="40">
        <f t="shared" si="18"/>
        <v>0</v>
      </c>
    </row>
    <row r="226" spans="1:13" x14ac:dyDescent="0.25">
      <c r="A226" s="59"/>
      <c r="G226" s="16"/>
      <c r="H226" s="38">
        <v>221</v>
      </c>
      <c r="I226" s="39" t="str">
        <f t="shared" si="16"/>
        <v/>
      </c>
      <c r="J226" s="38">
        <f t="shared" si="19"/>
        <v>-5</v>
      </c>
      <c r="K226" s="38">
        <f t="shared" si="17"/>
        <v>-50</v>
      </c>
      <c r="L226" s="38"/>
      <c r="M226" s="40">
        <f t="shared" si="18"/>
        <v>0</v>
      </c>
    </row>
    <row r="227" spans="1:13" x14ac:dyDescent="0.25">
      <c r="A227" s="59"/>
      <c r="G227" s="16"/>
      <c r="H227" s="38">
        <v>222</v>
      </c>
      <c r="I227" s="39" t="str">
        <f t="shared" si="16"/>
        <v/>
      </c>
      <c r="J227" s="38">
        <f t="shared" si="19"/>
        <v>-5</v>
      </c>
      <c r="K227" s="38">
        <f t="shared" si="17"/>
        <v>-50</v>
      </c>
      <c r="L227" s="38"/>
      <c r="M227" s="40">
        <f t="shared" si="18"/>
        <v>0</v>
      </c>
    </row>
    <row r="228" spans="1:13" x14ac:dyDescent="0.25">
      <c r="A228" s="59"/>
      <c r="G228" s="16"/>
      <c r="H228" s="38">
        <v>223</v>
      </c>
      <c r="I228" s="39" t="str">
        <f t="shared" si="16"/>
        <v/>
      </c>
      <c r="J228" s="38">
        <f t="shared" si="19"/>
        <v>-5</v>
      </c>
      <c r="K228" s="38">
        <f t="shared" si="17"/>
        <v>-50</v>
      </c>
      <c r="L228" s="38"/>
      <c r="M228" s="40">
        <f t="shared" si="18"/>
        <v>0</v>
      </c>
    </row>
    <row r="229" spans="1:13" x14ac:dyDescent="0.25">
      <c r="A229" s="59"/>
      <c r="G229" s="16"/>
      <c r="H229" s="38">
        <v>224</v>
      </c>
      <c r="I229" s="39" t="str">
        <f t="shared" si="16"/>
        <v/>
      </c>
      <c r="J229" s="38">
        <f t="shared" si="19"/>
        <v>-5</v>
      </c>
      <c r="K229" s="38">
        <f t="shared" si="17"/>
        <v>-50</v>
      </c>
      <c r="L229" s="38"/>
      <c r="M229" s="40">
        <f t="shared" si="18"/>
        <v>0</v>
      </c>
    </row>
    <row r="230" spans="1:13" x14ac:dyDescent="0.25">
      <c r="A230" s="59"/>
      <c r="G230" s="16"/>
      <c r="H230" s="38">
        <v>225</v>
      </c>
      <c r="I230" s="39" t="str">
        <f t="shared" si="16"/>
        <v/>
      </c>
      <c r="J230" s="38">
        <f t="shared" si="19"/>
        <v>-5</v>
      </c>
      <c r="K230" s="38">
        <f t="shared" si="17"/>
        <v>-50</v>
      </c>
      <c r="L230" s="38"/>
      <c r="M230" s="40">
        <f t="shared" si="18"/>
        <v>0</v>
      </c>
    </row>
    <row r="231" spans="1:13" x14ac:dyDescent="0.25">
      <c r="A231" s="59"/>
      <c r="G231" s="16"/>
      <c r="H231" s="38">
        <v>226</v>
      </c>
      <c r="I231" s="39" t="str">
        <f t="shared" si="16"/>
        <v/>
      </c>
      <c r="J231" s="38">
        <f t="shared" si="19"/>
        <v>-5</v>
      </c>
      <c r="K231" s="38">
        <f t="shared" si="17"/>
        <v>-50</v>
      </c>
      <c r="L231" s="38"/>
      <c r="M231" s="40">
        <f t="shared" si="18"/>
        <v>0</v>
      </c>
    </row>
    <row r="232" spans="1:13" x14ac:dyDescent="0.25">
      <c r="A232" s="59"/>
      <c r="G232" s="16"/>
      <c r="H232" s="38">
        <v>227</v>
      </c>
      <c r="I232" s="39" t="str">
        <f t="shared" si="16"/>
        <v/>
      </c>
      <c r="J232" s="38">
        <f t="shared" si="19"/>
        <v>-5</v>
      </c>
      <c r="K232" s="38">
        <f t="shared" si="17"/>
        <v>-50</v>
      </c>
      <c r="L232" s="38"/>
      <c r="M232" s="40">
        <f t="shared" si="18"/>
        <v>0</v>
      </c>
    </row>
    <row r="233" spans="1:13" x14ac:dyDescent="0.25">
      <c r="A233" s="59"/>
      <c r="G233" s="16"/>
      <c r="H233" s="38">
        <v>228</v>
      </c>
      <c r="I233" s="39" t="str">
        <f t="shared" si="16"/>
        <v/>
      </c>
      <c r="J233" s="38">
        <f t="shared" si="19"/>
        <v>-5</v>
      </c>
      <c r="K233" s="38">
        <f t="shared" si="17"/>
        <v>-50</v>
      </c>
      <c r="L233" s="38"/>
      <c r="M233" s="40">
        <f t="shared" si="18"/>
        <v>0</v>
      </c>
    </row>
    <row r="234" spans="1:13" x14ac:dyDescent="0.25">
      <c r="A234" s="59"/>
      <c r="G234" s="16"/>
      <c r="H234" s="38">
        <v>229</v>
      </c>
      <c r="I234" s="39" t="str">
        <f t="shared" si="16"/>
        <v/>
      </c>
      <c r="J234" s="38">
        <f t="shared" si="19"/>
        <v>-5</v>
      </c>
      <c r="K234" s="38">
        <f t="shared" si="17"/>
        <v>-50</v>
      </c>
      <c r="L234" s="38"/>
      <c r="M234" s="40">
        <f t="shared" si="18"/>
        <v>0</v>
      </c>
    </row>
    <row r="235" spans="1:13" x14ac:dyDescent="0.25">
      <c r="A235" s="59"/>
      <c r="G235" s="16"/>
      <c r="H235" s="38">
        <v>230</v>
      </c>
      <c r="I235" s="39" t="str">
        <f t="shared" si="16"/>
        <v/>
      </c>
      <c r="J235" s="38">
        <f t="shared" si="19"/>
        <v>-5</v>
      </c>
      <c r="K235" s="38">
        <f t="shared" si="17"/>
        <v>-50</v>
      </c>
      <c r="L235" s="38"/>
      <c r="M235" s="40">
        <f t="shared" si="18"/>
        <v>0</v>
      </c>
    </row>
    <row r="236" spans="1:13" x14ac:dyDescent="0.25">
      <c r="A236" s="59"/>
      <c r="G236" s="16"/>
      <c r="H236" s="38">
        <v>231</v>
      </c>
      <c r="I236" s="39" t="str">
        <f t="shared" si="16"/>
        <v/>
      </c>
      <c r="J236" s="38">
        <f t="shared" si="19"/>
        <v>-5</v>
      </c>
      <c r="K236" s="38">
        <f t="shared" si="17"/>
        <v>-50</v>
      </c>
      <c r="L236" s="38"/>
      <c r="M236" s="40">
        <f t="shared" si="18"/>
        <v>0</v>
      </c>
    </row>
    <row r="237" spans="1:13" x14ac:dyDescent="0.25">
      <c r="A237" s="59"/>
      <c r="G237" s="16"/>
      <c r="H237" s="38">
        <v>232</v>
      </c>
      <c r="I237" s="39" t="str">
        <f t="shared" si="16"/>
        <v/>
      </c>
      <c r="J237" s="38">
        <f t="shared" si="19"/>
        <v>-5</v>
      </c>
      <c r="K237" s="38">
        <f t="shared" si="17"/>
        <v>-50</v>
      </c>
      <c r="L237" s="38"/>
      <c r="M237" s="40">
        <f t="shared" si="18"/>
        <v>0</v>
      </c>
    </row>
    <row r="238" spans="1:13" x14ac:dyDescent="0.25">
      <c r="A238" s="59"/>
      <c r="G238" s="16"/>
      <c r="H238" s="38">
        <v>233</v>
      </c>
      <c r="I238" s="39" t="str">
        <f t="shared" si="16"/>
        <v/>
      </c>
      <c r="J238" s="38">
        <f t="shared" si="19"/>
        <v>-5</v>
      </c>
      <c r="K238" s="38">
        <f t="shared" si="17"/>
        <v>-50</v>
      </c>
      <c r="L238" s="38"/>
      <c r="M238" s="40">
        <f t="shared" si="18"/>
        <v>0</v>
      </c>
    </row>
    <row r="239" spans="1:13" x14ac:dyDescent="0.25">
      <c r="A239" s="59"/>
      <c r="G239" s="16"/>
      <c r="H239" s="38">
        <v>234</v>
      </c>
      <c r="I239" s="39" t="str">
        <f t="shared" si="16"/>
        <v/>
      </c>
      <c r="J239" s="38">
        <f t="shared" si="19"/>
        <v>-5</v>
      </c>
      <c r="K239" s="38">
        <f t="shared" si="17"/>
        <v>-50</v>
      </c>
      <c r="L239" s="38"/>
      <c r="M239" s="40">
        <f t="shared" si="18"/>
        <v>0</v>
      </c>
    </row>
    <row r="240" spans="1:13" x14ac:dyDescent="0.25">
      <c r="A240" s="59"/>
      <c r="G240" s="16"/>
      <c r="H240" s="38">
        <v>235</v>
      </c>
      <c r="I240" s="39" t="str">
        <f t="shared" si="16"/>
        <v/>
      </c>
      <c r="J240" s="38">
        <f t="shared" si="19"/>
        <v>-5</v>
      </c>
      <c r="K240" s="38">
        <f t="shared" si="17"/>
        <v>-50</v>
      </c>
      <c r="L240" s="38"/>
      <c r="M240" s="40">
        <f t="shared" si="18"/>
        <v>0</v>
      </c>
    </row>
    <row r="241" spans="1:13" x14ac:dyDescent="0.25">
      <c r="A241" s="59"/>
      <c r="G241" s="16"/>
      <c r="H241" s="38">
        <v>236</v>
      </c>
      <c r="I241" s="39" t="str">
        <f t="shared" si="16"/>
        <v/>
      </c>
      <c r="J241" s="38">
        <f t="shared" si="19"/>
        <v>-5</v>
      </c>
      <c r="K241" s="38">
        <f t="shared" si="17"/>
        <v>-50</v>
      </c>
      <c r="L241" s="38"/>
      <c r="M241" s="40">
        <f t="shared" si="18"/>
        <v>0</v>
      </c>
    </row>
    <row r="242" spans="1:13" x14ac:dyDescent="0.25">
      <c r="A242" s="59"/>
      <c r="G242" s="16"/>
      <c r="H242" s="38">
        <v>237</v>
      </c>
      <c r="I242" s="39" t="str">
        <f t="shared" si="16"/>
        <v/>
      </c>
      <c r="J242" s="38">
        <f t="shared" si="19"/>
        <v>-5</v>
      </c>
      <c r="K242" s="38">
        <f t="shared" si="17"/>
        <v>-50</v>
      </c>
      <c r="L242" s="38"/>
      <c r="M242" s="40">
        <f t="shared" si="18"/>
        <v>0</v>
      </c>
    </row>
    <row r="243" spans="1:13" x14ac:dyDescent="0.25">
      <c r="A243" s="59"/>
      <c r="G243" s="16"/>
      <c r="H243" s="38">
        <v>238</v>
      </c>
      <c r="I243" s="39" t="str">
        <f t="shared" si="16"/>
        <v/>
      </c>
      <c r="J243" s="38">
        <f t="shared" si="19"/>
        <v>-5</v>
      </c>
      <c r="K243" s="38">
        <f t="shared" si="17"/>
        <v>-50</v>
      </c>
      <c r="L243" s="38"/>
      <c r="M243" s="40">
        <f t="shared" si="18"/>
        <v>0</v>
      </c>
    </row>
    <row r="244" spans="1:13" x14ac:dyDescent="0.25">
      <c r="A244" s="59"/>
      <c r="G244" s="16"/>
      <c r="H244" s="38">
        <v>239</v>
      </c>
      <c r="I244" s="39" t="str">
        <f t="shared" si="16"/>
        <v/>
      </c>
      <c r="J244" s="38">
        <f t="shared" si="19"/>
        <v>-5</v>
      </c>
      <c r="K244" s="38">
        <f t="shared" si="17"/>
        <v>-50</v>
      </c>
      <c r="L244" s="38"/>
      <c r="M244" s="40">
        <f t="shared" si="18"/>
        <v>0</v>
      </c>
    </row>
    <row r="245" spans="1:13" x14ac:dyDescent="0.25">
      <c r="A245" s="59"/>
      <c r="G245" s="16"/>
      <c r="H245" s="38">
        <v>240</v>
      </c>
      <c r="I245" s="39" t="str">
        <f t="shared" si="16"/>
        <v/>
      </c>
      <c r="J245" s="38">
        <f t="shared" si="19"/>
        <v>-5</v>
      </c>
      <c r="K245" s="38">
        <f t="shared" si="17"/>
        <v>-50</v>
      </c>
      <c r="L245" s="38"/>
      <c r="M245" s="40">
        <f t="shared" si="18"/>
        <v>0</v>
      </c>
    </row>
    <row r="246" spans="1:13" x14ac:dyDescent="0.25">
      <c r="A246" s="59"/>
      <c r="G246" s="16"/>
      <c r="H246" s="38">
        <v>241</v>
      </c>
      <c r="I246" s="39" t="str">
        <f t="shared" si="16"/>
        <v/>
      </c>
      <c r="J246" s="38">
        <f t="shared" si="19"/>
        <v>-5</v>
      </c>
      <c r="K246" s="38">
        <f t="shared" si="17"/>
        <v>-50</v>
      </c>
      <c r="L246" s="38"/>
      <c r="M246" s="40">
        <f t="shared" si="18"/>
        <v>0</v>
      </c>
    </row>
    <row r="247" spans="1:13" x14ac:dyDescent="0.25">
      <c r="A247" s="59"/>
      <c r="G247" s="16"/>
      <c r="H247" s="38">
        <v>242</v>
      </c>
      <c r="I247" s="39" t="str">
        <f t="shared" si="16"/>
        <v/>
      </c>
      <c r="J247" s="38">
        <f t="shared" si="19"/>
        <v>-5</v>
      </c>
      <c r="K247" s="38">
        <f t="shared" si="17"/>
        <v>-50</v>
      </c>
      <c r="L247" s="38"/>
      <c r="M247" s="40">
        <f t="shared" si="18"/>
        <v>0</v>
      </c>
    </row>
    <row r="248" spans="1:13" x14ac:dyDescent="0.25">
      <c r="A248" s="59"/>
      <c r="G248" s="16"/>
      <c r="H248" s="38">
        <v>243</v>
      </c>
      <c r="I248" s="39" t="str">
        <f t="shared" si="16"/>
        <v/>
      </c>
      <c r="J248" s="38">
        <f t="shared" si="19"/>
        <v>-5</v>
      </c>
      <c r="K248" s="38">
        <f t="shared" si="17"/>
        <v>-50</v>
      </c>
      <c r="L248" s="38"/>
      <c r="M248" s="40">
        <f t="shared" si="18"/>
        <v>0</v>
      </c>
    </row>
    <row r="249" spans="1:13" x14ac:dyDescent="0.25">
      <c r="A249" s="59"/>
      <c r="G249" s="16"/>
      <c r="H249" s="38">
        <v>244</v>
      </c>
      <c r="I249" s="39" t="str">
        <f t="shared" si="16"/>
        <v/>
      </c>
      <c r="J249" s="38">
        <f t="shared" si="19"/>
        <v>-5</v>
      </c>
      <c r="K249" s="38">
        <f t="shared" si="17"/>
        <v>-50</v>
      </c>
      <c r="L249" s="38"/>
      <c r="M249" s="40">
        <f t="shared" si="18"/>
        <v>0</v>
      </c>
    </row>
    <row r="250" spans="1:13" x14ac:dyDescent="0.25">
      <c r="A250" s="59"/>
      <c r="G250" s="16"/>
      <c r="H250" s="38">
        <v>245</v>
      </c>
      <c r="I250" s="39" t="str">
        <f t="shared" si="16"/>
        <v/>
      </c>
      <c r="J250" s="38">
        <f t="shared" si="19"/>
        <v>-5</v>
      </c>
      <c r="K250" s="38">
        <f t="shared" si="17"/>
        <v>-50</v>
      </c>
      <c r="L250" s="38"/>
      <c r="M250" s="40">
        <f t="shared" si="18"/>
        <v>0</v>
      </c>
    </row>
    <row r="251" spans="1:13" x14ac:dyDescent="0.25">
      <c r="A251" s="59"/>
      <c r="G251" s="16"/>
      <c r="H251" s="38">
        <v>246</v>
      </c>
      <c r="I251" s="39" t="str">
        <f t="shared" si="16"/>
        <v/>
      </c>
      <c r="J251" s="38">
        <f t="shared" si="19"/>
        <v>-5</v>
      </c>
      <c r="K251" s="38">
        <f t="shared" si="17"/>
        <v>-50</v>
      </c>
      <c r="L251" s="38"/>
      <c r="M251" s="40">
        <f t="shared" si="18"/>
        <v>0</v>
      </c>
    </row>
    <row r="252" spans="1:13" x14ac:dyDescent="0.25">
      <c r="A252" s="59"/>
      <c r="G252" s="16"/>
      <c r="H252" s="38">
        <v>247</v>
      </c>
      <c r="I252" s="39" t="str">
        <f t="shared" si="16"/>
        <v/>
      </c>
      <c r="J252" s="38">
        <f t="shared" si="19"/>
        <v>-5</v>
      </c>
      <c r="K252" s="38">
        <f t="shared" si="17"/>
        <v>-50</v>
      </c>
      <c r="L252" s="38"/>
      <c r="M252" s="40">
        <f t="shared" si="18"/>
        <v>0</v>
      </c>
    </row>
    <row r="253" spans="1:13" x14ac:dyDescent="0.25">
      <c r="A253" s="59"/>
      <c r="G253" s="16"/>
      <c r="H253" s="38">
        <v>248</v>
      </c>
      <c r="I253" s="39" t="str">
        <f t="shared" si="16"/>
        <v/>
      </c>
      <c r="J253" s="38">
        <f t="shared" si="19"/>
        <v>-5</v>
      </c>
      <c r="K253" s="38">
        <f t="shared" si="17"/>
        <v>-50</v>
      </c>
      <c r="L253" s="38"/>
      <c r="M253" s="40">
        <f t="shared" si="18"/>
        <v>0</v>
      </c>
    </row>
    <row r="254" spans="1:13" x14ac:dyDescent="0.25">
      <c r="A254" s="59"/>
      <c r="G254" s="16"/>
      <c r="H254" s="38">
        <v>249</v>
      </c>
      <c r="I254" s="39" t="str">
        <f t="shared" si="16"/>
        <v/>
      </c>
      <c r="J254" s="38">
        <f t="shared" si="19"/>
        <v>-5</v>
      </c>
      <c r="K254" s="38">
        <f t="shared" si="17"/>
        <v>-50</v>
      </c>
      <c r="L254" s="38"/>
      <c r="M254" s="40">
        <f t="shared" si="18"/>
        <v>0</v>
      </c>
    </row>
    <row r="255" spans="1:13" x14ac:dyDescent="0.25">
      <c r="A255" s="59"/>
      <c r="G255" s="16"/>
      <c r="H255" s="38">
        <v>250</v>
      </c>
      <c r="I255" s="39" t="str">
        <f t="shared" si="16"/>
        <v/>
      </c>
      <c r="J255" s="38">
        <f t="shared" si="19"/>
        <v>-5</v>
      </c>
      <c r="K255" s="38">
        <f t="shared" si="17"/>
        <v>-50</v>
      </c>
      <c r="L255" s="38"/>
      <c r="M255" s="40">
        <f t="shared" si="18"/>
        <v>0</v>
      </c>
    </row>
    <row r="256" spans="1:13" x14ac:dyDescent="0.25">
      <c r="A256" s="59"/>
      <c r="G256" s="16"/>
      <c r="H256" s="38">
        <v>251</v>
      </c>
      <c r="I256" s="39" t="str">
        <f t="shared" si="16"/>
        <v/>
      </c>
      <c r="J256" s="38">
        <f t="shared" si="19"/>
        <v>-5</v>
      </c>
      <c r="K256" s="38">
        <f t="shared" si="17"/>
        <v>-50</v>
      </c>
      <c r="L256" s="38"/>
      <c r="M256" s="40">
        <f t="shared" si="18"/>
        <v>0</v>
      </c>
    </row>
    <row r="257" spans="1:13" x14ac:dyDescent="0.25">
      <c r="A257" s="59"/>
      <c r="G257" s="16"/>
      <c r="H257" s="38">
        <v>252</v>
      </c>
      <c r="I257" s="39" t="str">
        <f t="shared" si="16"/>
        <v/>
      </c>
      <c r="J257" s="38">
        <f t="shared" si="19"/>
        <v>-5</v>
      </c>
      <c r="K257" s="38">
        <f t="shared" si="17"/>
        <v>-50</v>
      </c>
      <c r="L257" s="38"/>
      <c r="M257" s="40">
        <f t="shared" si="18"/>
        <v>0</v>
      </c>
    </row>
    <row r="258" spans="1:13" x14ac:dyDescent="0.25">
      <c r="A258" s="59"/>
      <c r="G258" s="16"/>
      <c r="H258" s="38">
        <v>253</v>
      </c>
      <c r="I258" s="39" t="str">
        <f t="shared" si="16"/>
        <v/>
      </c>
      <c r="J258" s="38">
        <f t="shared" si="19"/>
        <v>-5</v>
      </c>
      <c r="K258" s="38">
        <f t="shared" si="17"/>
        <v>-50</v>
      </c>
      <c r="L258" s="38"/>
      <c r="M258" s="40">
        <f t="shared" si="18"/>
        <v>0</v>
      </c>
    </row>
    <row r="259" spans="1:13" x14ac:dyDescent="0.25">
      <c r="A259" s="59"/>
      <c r="G259" s="16"/>
      <c r="H259" s="38">
        <v>254</v>
      </c>
      <c r="I259" s="39" t="str">
        <f t="shared" si="16"/>
        <v/>
      </c>
      <c r="J259" s="38">
        <f t="shared" si="19"/>
        <v>-5</v>
      </c>
      <c r="K259" s="38">
        <f t="shared" si="17"/>
        <v>-50</v>
      </c>
      <c r="L259" s="38"/>
      <c r="M259" s="40">
        <f t="shared" si="18"/>
        <v>0</v>
      </c>
    </row>
    <row r="260" spans="1:13" x14ac:dyDescent="0.25">
      <c r="A260" s="59"/>
      <c r="G260" s="16"/>
      <c r="H260" s="38">
        <v>255</v>
      </c>
      <c r="I260" s="39" t="str">
        <f t="shared" si="16"/>
        <v/>
      </c>
      <c r="J260" s="38">
        <f t="shared" si="19"/>
        <v>-5</v>
      </c>
      <c r="K260" s="38">
        <f t="shared" si="17"/>
        <v>-50</v>
      </c>
      <c r="L260" s="38"/>
      <c r="M260" s="40">
        <f t="shared" si="18"/>
        <v>0</v>
      </c>
    </row>
    <row r="261" spans="1:13" x14ac:dyDescent="0.25">
      <c r="A261" s="59"/>
      <c r="G261" s="16"/>
      <c r="H261" s="38">
        <v>256</v>
      </c>
      <c r="I261" s="39" t="str">
        <f t="shared" si="16"/>
        <v/>
      </c>
      <c r="J261" s="38">
        <f t="shared" si="19"/>
        <v>-5</v>
      </c>
      <c r="K261" s="38">
        <f t="shared" si="17"/>
        <v>-50</v>
      </c>
      <c r="L261" s="38"/>
      <c r="M261" s="40">
        <f t="shared" si="18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20">IF(H262&lt;$H$2+1,($I$2-($I$2-1)*(LOG(H262)/LOG($H$2))),"")</f>
        <v/>
      </c>
      <c r="J262" s="38">
        <f t="shared" si="19"/>
        <v>-6</v>
      </c>
      <c r="K262" s="38">
        <f t="shared" ref="K262:K305" si="21">J262*$J$2</f>
        <v>-60</v>
      </c>
      <c r="L262" s="38"/>
      <c r="M262" s="40">
        <f t="shared" ref="M262:M305" si="22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20"/>
        <v/>
      </c>
      <c r="J263" s="38">
        <f t="shared" ref="J263:J305" si="23">INT(LOG($H$2,2))-ROUNDUP(LOG(H263,2),0)+IF(OR($H$2=1,$H$2=2,$H$2=4,$H$2=8,$H$2=16,$H$2=32,$H$2=64,$H$2=128,$H$2=256),1,0)</f>
        <v>-6</v>
      </c>
      <c r="K263" s="38">
        <f t="shared" si="21"/>
        <v>-60</v>
      </c>
      <c r="L263" s="38"/>
      <c r="M263" s="40">
        <f t="shared" si="22"/>
        <v>0</v>
      </c>
    </row>
    <row r="264" spans="1:13" x14ac:dyDescent="0.25">
      <c r="A264" s="59"/>
      <c r="G264" s="16"/>
      <c r="H264" s="38">
        <v>259</v>
      </c>
      <c r="I264" s="39" t="str">
        <f t="shared" si="20"/>
        <v/>
      </c>
      <c r="J264" s="38">
        <f t="shared" si="23"/>
        <v>-6</v>
      </c>
      <c r="K264" s="38">
        <f t="shared" si="21"/>
        <v>-60</v>
      </c>
      <c r="L264" s="38"/>
      <c r="M264" s="40">
        <f t="shared" si="22"/>
        <v>0</v>
      </c>
    </row>
    <row r="265" spans="1:13" x14ac:dyDescent="0.25">
      <c r="A265" s="59"/>
      <c r="G265" s="16"/>
      <c r="H265" s="38">
        <v>260</v>
      </c>
      <c r="I265" s="39" t="str">
        <f t="shared" si="20"/>
        <v/>
      </c>
      <c r="J265" s="38">
        <f t="shared" si="23"/>
        <v>-6</v>
      </c>
      <c r="K265" s="38">
        <f t="shared" si="21"/>
        <v>-60</v>
      </c>
      <c r="L265" s="38"/>
      <c r="M265" s="40">
        <f t="shared" si="22"/>
        <v>0</v>
      </c>
    </row>
    <row r="266" spans="1:13" x14ac:dyDescent="0.25">
      <c r="A266" s="59"/>
      <c r="G266" s="16"/>
      <c r="H266" s="38">
        <v>261</v>
      </c>
      <c r="I266" s="39" t="str">
        <f t="shared" si="20"/>
        <v/>
      </c>
      <c r="J266" s="38">
        <f t="shared" si="23"/>
        <v>-6</v>
      </c>
      <c r="K266" s="38">
        <f t="shared" si="21"/>
        <v>-60</v>
      </c>
      <c r="L266" s="38"/>
      <c r="M266" s="40">
        <f t="shared" si="22"/>
        <v>0</v>
      </c>
    </row>
    <row r="267" spans="1:13" x14ac:dyDescent="0.25">
      <c r="A267" s="59"/>
      <c r="G267" s="16"/>
      <c r="H267" s="38">
        <v>262</v>
      </c>
      <c r="I267" s="39" t="str">
        <f t="shared" si="20"/>
        <v/>
      </c>
      <c r="J267" s="38">
        <f t="shared" si="23"/>
        <v>-6</v>
      </c>
      <c r="K267" s="38">
        <f t="shared" si="21"/>
        <v>-60</v>
      </c>
      <c r="L267" s="38"/>
      <c r="M267" s="40">
        <f t="shared" si="22"/>
        <v>0</v>
      </c>
    </row>
    <row r="268" spans="1:13" x14ac:dyDescent="0.25">
      <c r="A268" s="59"/>
      <c r="G268" s="16"/>
      <c r="H268" s="38">
        <v>263</v>
      </c>
      <c r="I268" s="39" t="str">
        <f t="shared" si="20"/>
        <v/>
      </c>
      <c r="J268" s="38">
        <f t="shared" si="23"/>
        <v>-6</v>
      </c>
      <c r="K268" s="38">
        <f t="shared" si="21"/>
        <v>-60</v>
      </c>
      <c r="L268" s="38"/>
      <c r="M268" s="40">
        <f t="shared" si="22"/>
        <v>0</v>
      </c>
    </row>
    <row r="269" spans="1:13" x14ac:dyDescent="0.25">
      <c r="A269" s="59"/>
      <c r="G269" s="16"/>
      <c r="H269" s="38">
        <v>264</v>
      </c>
      <c r="I269" s="39" t="str">
        <f t="shared" si="20"/>
        <v/>
      </c>
      <c r="J269" s="38">
        <f t="shared" si="23"/>
        <v>-6</v>
      </c>
      <c r="K269" s="38">
        <f t="shared" si="21"/>
        <v>-60</v>
      </c>
      <c r="L269" s="38"/>
      <c r="M269" s="40">
        <f t="shared" si="22"/>
        <v>0</v>
      </c>
    </row>
    <row r="270" spans="1:13" x14ac:dyDescent="0.25">
      <c r="A270" s="59"/>
      <c r="G270" s="16"/>
      <c r="H270" s="38">
        <v>265</v>
      </c>
      <c r="I270" s="39" t="str">
        <f t="shared" si="20"/>
        <v/>
      </c>
      <c r="J270" s="38">
        <f t="shared" si="23"/>
        <v>-6</v>
      </c>
      <c r="K270" s="38">
        <f t="shared" si="21"/>
        <v>-60</v>
      </c>
      <c r="L270" s="38"/>
      <c r="M270" s="40">
        <f t="shared" si="22"/>
        <v>0</v>
      </c>
    </row>
    <row r="271" spans="1:13" x14ac:dyDescent="0.25">
      <c r="A271" s="59"/>
      <c r="G271" s="16"/>
      <c r="H271" s="38">
        <v>266</v>
      </c>
      <c r="I271" s="39" t="str">
        <f t="shared" si="20"/>
        <v/>
      </c>
      <c r="J271" s="38">
        <f t="shared" si="23"/>
        <v>-6</v>
      </c>
      <c r="K271" s="38">
        <f t="shared" si="21"/>
        <v>-60</v>
      </c>
      <c r="L271" s="38"/>
      <c r="M271" s="40">
        <f t="shared" si="22"/>
        <v>0</v>
      </c>
    </row>
    <row r="272" spans="1:13" x14ac:dyDescent="0.25">
      <c r="A272" s="59"/>
      <c r="G272" s="16"/>
      <c r="H272" s="38">
        <v>267</v>
      </c>
      <c r="I272" s="39" t="str">
        <f t="shared" si="20"/>
        <v/>
      </c>
      <c r="J272" s="38">
        <f t="shared" si="23"/>
        <v>-6</v>
      </c>
      <c r="K272" s="38">
        <f t="shared" si="21"/>
        <v>-60</v>
      </c>
      <c r="L272" s="38"/>
      <c r="M272" s="40">
        <f t="shared" si="22"/>
        <v>0</v>
      </c>
    </row>
    <row r="273" spans="1:13" x14ac:dyDescent="0.25">
      <c r="A273" s="59"/>
      <c r="G273" s="16"/>
      <c r="H273" s="38">
        <v>268</v>
      </c>
      <c r="I273" s="39" t="str">
        <f t="shared" si="20"/>
        <v/>
      </c>
      <c r="J273" s="38">
        <f t="shared" si="23"/>
        <v>-6</v>
      </c>
      <c r="K273" s="38">
        <f t="shared" si="21"/>
        <v>-60</v>
      </c>
      <c r="L273" s="38"/>
      <c r="M273" s="40">
        <f t="shared" si="22"/>
        <v>0</v>
      </c>
    </row>
    <row r="274" spans="1:13" x14ac:dyDescent="0.25">
      <c r="A274" s="59"/>
      <c r="G274" s="16"/>
      <c r="H274" s="38">
        <v>269</v>
      </c>
      <c r="I274" s="39" t="str">
        <f t="shared" si="20"/>
        <v/>
      </c>
      <c r="J274" s="38">
        <f t="shared" si="23"/>
        <v>-6</v>
      </c>
      <c r="K274" s="38">
        <f t="shared" si="21"/>
        <v>-60</v>
      </c>
      <c r="L274" s="38"/>
      <c r="M274" s="40">
        <f t="shared" si="22"/>
        <v>0</v>
      </c>
    </row>
    <row r="275" spans="1:13" x14ac:dyDescent="0.25">
      <c r="A275" s="59"/>
      <c r="G275" s="16"/>
      <c r="H275" s="38">
        <v>270</v>
      </c>
      <c r="I275" s="39" t="str">
        <f t="shared" si="20"/>
        <v/>
      </c>
      <c r="J275" s="38">
        <f t="shared" si="23"/>
        <v>-6</v>
      </c>
      <c r="K275" s="38">
        <f t="shared" si="21"/>
        <v>-60</v>
      </c>
      <c r="L275" s="38"/>
      <c r="M275" s="40">
        <f t="shared" si="22"/>
        <v>0</v>
      </c>
    </row>
    <row r="276" spans="1:13" x14ac:dyDescent="0.25">
      <c r="A276" s="59"/>
      <c r="G276" s="16"/>
      <c r="H276" s="38">
        <v>271</v>
      </c>
      <c r="I276" s="39" t="str">
        <f t="shared" si="20"/>
        <v/>
      </c>
      <c r="J276" s="38">
        <f t="shared" si="23"/>
        <v>-6</v>
      </c>
      <c r="K276" s="38">
        <f t="shared" si="21"/>
        <v>-60</v>
      </c>
      <c r="L276" s="38"/>
      <c r="M276" s="40">
        <f t="shared" si="22"/>
        <v>0</v>
      </c>
    </row>
    <row r="277" spans="1:13" x14ac:dyDescent="0.25">
      <c r="A277" s="59"/>
      <c r="G277" s="16"/>
      <c r="H277" s="38">
        <v>272</v>
      </c>
      <c r="I277" s="39" t="str">
        <f t="shared" si="20"/>
        <v/>
      </c>
      <c r="J277" s="38">
        <f t="shared" si="23"/>
        <v>-6</v>
      </c>
      <c r="K277" s="38">
        <f t="shared" si="21"/>
        <v>-60</v>
      </c>
      <c r="L277" s="38"/>
      <c r="M277" s="40">
        <f t="shared" si="22"/>
        <v>0</v>
      </c>
    </row>
    <row r="278" spans="1:13" x14ac:dyDescent="0.25">
      <c r="A278" s="59"/>
      <c r="G278" s="16"/>
      <c r="H278" s="38">
        <v>273</v>
      </c>
      <c r="I278" s="39" t="str">
        <f t="shared" si="20"/>
        <v/>
      </c>
      <c r="J278" s="38">
        <f t="shared" si="23"/>
        <v>-6</v>
      </c>
      <c r="K278" s="38">
        <f t="shared" si="21"/>
        <v>-60</v>
      </c>
      <c r="L278" s="38"/>
      <c r="M278" s="40">
        <f t="shared" si="22"/>
        <v>0</v>
      </c>
    </row>
    <row r="279" spans="1:13" x14ac:dyDescent="0.25">
      <c r="A279" s="59"/>
      <c r="G279" s="16"/>
      <c r="H279" s="38">
        <v>274</v>
      </c>
      <c r="I279" s="39" t="str">
        <f t="shared" si="20"/>
        <v/>
      </c>
      <c r="J279" s="38">
        <f t="shared" si="23"/>
        <v>-6</v>
      </c>
      <c r="K279" s="38">
        <f t="shared" si="21"/>
        <v>-60</v>
      </c>
      <c r="L279" s="38"/>
      <c r="M279" s="40">
        <f t="shared" si="22"/>
        <v>0</v>
      </c>
    </row>
    <row r="280" spans="1:13" x14ac:dyDescent="0.25">
      <c r="A280" s="59"/>
      <c r="G280" s="16"/>
      <c r="H280" s="38">
        <v>275</v>
      </c>
      <c r="I280" s="39" t="str">
        <f t="shared" si="20"/>
        <v/>
      </c>
      <c r="J280" s="38">
        <f t="shared" si="23"/>
        <v>-6</v>
      </c>
      <c r="K280" s="38">
        <f t="shared" si="21"/>
        <v>-60</v>
      </c>
      <c r="L280" s="38"/>
      <c r="M280" s="40">
        <f t="shared" si="22"/>
        <v>0</v>
      </c>
    </row>
    <row r="281" spans="1:13" x14ac:dyDescent="0.25">
      <c r="A281" s="59"/>
      <c r="G281" s="16"/>
      <c r="H281" s="38">
        <v>276</v>
      </c>
      <c r="I281" s="39" t="str">
        <f t="shared" si="20"/>
        <v/>
      </c>
      <c r="J281" s="38">
        <f t="shared" si="23"/>
        <v>-6</v>
      </c>
      <c r="K281" s="38">
        <f t="shared" si="21"/>
        <v>-60</v>
      </c>
      <c r="L281" s="38"/>
      <c r="M281" s="40">
        <f t="shared" si="22"/>
        <v>0</v>
      </c>
    </row>
    <row r="282" spans="1:13" x14ac:dyDescent="0.25">
      <c r="A282" s="59"/>
      <c r="G282" s="16"/>
      <c r="H282" s="38">
        <v>277</v>
      </c>
      <c r="I282" s="39" t="str">
        <f t="shared" si="20"/>
        <v/>
      </c>
      <c r="J282" s="38">
        <f t="shared" si="23"/>
        <v>-6</v>
      </c>
      <c r="K282" s="38">
        <f t="shared" si="21"/>
        <v>-60</v>
      </c>
      <c r="L282" s="38"/>
      <c r="M282" s="40">
        <f t="shared" si="22"/>
        <v>0</v>
      </c>
    </row>
    <row r="283" spans="1:13" x14ac:dyDescent="0.25">
      <c r="A283" s="59"/>
      <c r="G283" s="16"/>
      <c r="H283" s="38">
        <v>278</v>
      </c>
      <c r="I283" s="39" t="str">
        <f t="shared" si="20"/>
        <v/>
      </c>
      <c r="J283" s="38">
        <f t="shared" si="23"/>
        <v>-6</v>
      </c>
      <c r="K283" s="38">
        <f t="shared" si="21"/>
        <v>-60</v>
      </c>
      <c r="L283" s="38"/>
      <c r="M283" s="40">
        <f t="shared" si="22"/>
        <v>0</v>
      </c>
    </row>
    <row r="284" spans="1:13" x14ac:dyDescent="0.25">
      <c r="A284" s="59"/>
      <c r="G284" s="16"/>
      <c r="H284" s="38">
        <v>279</v>
      </c>
      <c r="I284" s="39" t="str">
        <f t="shared" si="20"/>
        <v/>
      </c>
      <c r="J284" s="38">
        <f t="shared" si="23"/>
        <v>-6</v>
      </c>
      <c r="K284" s="38">
        <f t="shared" si="21"/>
        <v>-60</v>
      </c>
      <c r="L284" s="38"/>
      <c r="M284" s="40">
        <f t="shared" si="22"/>
        <v>0</v>
      </c>
    </row>
    <row r="285" spans="1:13" x14ac:dyDescent="0.25">
      <c r="A285" s="59"/>
      <c r="G285" s="16"/>
      <c r="H285" s="38">
        <v>280</v>
      </c>
      <c r="I285" s="39" t="str">
        <f t="shared" si="20"/>
        <v/>
      </c>
      <c r="J285" s="38">
        <f t="shared" si="23"/>
        <v>-6</v>
      </c>
      <c r="K285" s="38">
        <f t="shared" si="21"/>
        <v>-60</v>
      </c>
      <c r="L285" s="38"/>
      <c r="M285" s="40">
        <f t="shared" si="22"/>
        <v>0</v>
      </c>
    </row>
    <row r="286" spans="1:13" x14ac:dyDescent="0.25">
      <c r="A286" s="59"/>
      <c r="G286" s="16"/>
      <c r="H286" s="38">
        <v>281</v>
      </c>
      <c r="I286" s="39" t="str">
        <f t="shared" si="20"/>
        <v/>
      </c>
      <c r="J286" s="38">
        <f t="shared" si="23"/>
        <v>-6</v>
      </c>
      <c r="K286" s="38">
        <f t="shared" si="21"/>
        <v>-60</v>
      </c>
      <c r="L286" s="38"/>
      <c r="M286" s="40">
        <f t="shared" si="22"/>
        <v>0</v>
      </c>
    </row>
    <row r="287" spans="1:13" x14ac:dyDescent="0.25">
      <c r="A287" s="59"/>
      <c r="G287" s="16"/>
      <c r="H287" s="38">
        <v>282</v>
      </c>
      <c r="I287" s="39" t="str">
        <f t="shared" si="20"/>
        <v/>
      </c>
      <c r="J287" s="38">
        <f t="shared" si="23"/>
        <v>-6</v>
      </c>
      <c r="K287" s="38">
        <f t="shared" si="21"/>
        <v>-60</v>
      </c>
      <c r="L287" s="38"/>
      <c r="M287" s="40">
        <f t="shared" si="22"/>
        <v>0</v>
      </c>
    </row>
    <row r="288" spans="1:13" x14ac:dyDescent="0.25">
      <c r="A288" s="59"/>
      <c r="G288" s="16"/>
      <c r="H288" s="38">
        <v>283</v>
      </c>
      <c r="I288" s="39" t="str">
        <f t="shared" si="20"/>
        <v/>
      </c>
      <c r="J288" s="38">
        <f t="shared" si="23"/>
        <v>-6</v>
      </c>
      <c r="K288" s="38">
        <f t="shared" si="21"/>
        <v>-60</v>
      </c>
      <c r="L288" s="38"/>
      <c r="M288" s="40">
        <f t="shared" si="22"/>
        <v>0</v>
      </c>
    </row>
    <row r="289" spans="1:13" x14ac:dyDescent="0.25">
      <c r="A289" s="59"/>
      <c r="G289" s="16"/>
      <c r="H289" s="38">
        <v>284</v>
      </c>
      <c r="I289" s="39" t="str">
        <f t="shared" si="20"/>
        <v/>
      </c>
      <c r="J289" s="38">
        <f t="shared" si="23"/>
        <v>-6</v>
      </c>
      <c r="K289" s="38">
        <f t="shared" si="21"/>
        <v>-60</v>
      </c>
      <c r="L289" s="38"/>
      <c r="M289" s="40">
        <f t="shared" si="22"/>
        <v>0</v>
      </c>
    </row>
    <row r="290" spans="1:13" x14ac:dyDescent="0.25">
      <c r="A290" s="59"/>
      <c r="G290" s="16"/>
      <c r="H290" s="38">
        <v>285</v>
      </c>
      <c r="I290" s="39" t="str">
        <f t="shared" si="20"/>
        <v/>
      </c>
      <c r="J290" s="38">
        <f t="shared" si="23"/>
        <v>-6</v>
      </c>
      <c r="K290" s="38">
        <f t="shared" si="21"/>
        <v>-60</v>
      </c>
      <c r="L290" s="38"/>
      <c r="M290" s="40">
        <f t="shared" si="22"/>
        <v>0</v>
      </c>
    </row>
    <row r="291" spans="1:13" x14ac:dyDescent="0.25">
      <c r="A291" s="59"/>
      <c r="G291" s="16"/>
      <c r="H291" s="38">
        <v>286</v>
      </c>
      <c r="I291" s="39" t="str">
        <f t="shared" si="20"/>
        <v/>
      </c>
      <c r="J291" s="38">
        <f t="shared" si="23"/>
        <v>-6</v>
      </c>
      <c r="K291" s="38">
        <f t="shared" si="21"/>
        <v>-60</v>
      </c>
      <c r="L291" s="38"/>
      <c r="M291" s="40">
        <f t="shared" si="22"/>
        <v>0</v>
      </c>
    </row>
    <row r="292" spans="1:13" x14ac:dyDescent="0.25">
      <c r="A292" s="59"/>
      <c r="G292" s="16"/>
      <c r="H292" s="38">
        <v>287</v>
      </c>
      <c r="I292" s="39" t="str">
        <f t="shared" si="20"/>
        <v/>
      </c>
      <c r="J292" s="38">
        <f t="shared" si="23"/>
        <v>-6</v>
      </c>
      <c r="K292" s="38">
        <f t="shared" si="21"/>
        <v>-60</v>
      </c>
      <c r="L292" s="38"/>
      <c r="M292" s="40">
        <f t="shared" si="22"/>
        <v>0</v>
      </c>
    </row>
    <row r="293" spans="1:13" x14ac:dyDescent="0.25">
      <c r="A293" s="59"/>
      <c r="G293" s="16"/>
      <c r="H293" s="38">
        <v>288</v>
      </c>
      <c r="I293" s="39" t="str">
        <f t="shared" si="20"/>
        <v/>
      </c>
      <c r="J293" s="38">
        <f t="shared" si="23"/>
        <v>-6</v>
      </c>
      <c r="K293" s="38">
        <f t="shared" si="21"/>
        <v>-60</v>
      </c>
      <c r="L293" s="38"/>
      <c r="M293" s="40">
        <f t="shared" si="22"/>
        <v>0</v>
      </c>
    </row>
    <row r="294" spans="1:13" x14ac:dyDescent="0.25">
      <c r="A294" s="59"/>
      <c r="G294" s="16"/>
      <c r="H294" s="38">
        <v>289</v>
      </c>
      <c r="I294" s="39" t="str">
        <f t="shared" si="20"/>
        <v/>
      </c>
      <c r="J294" s="38">
        <f t="shared" si="23"/>
        <v>-6</v>
      </c>
      <c r="K294" s="38">
        <f t="shared" si="21"/>
        <v>-60</v>
      </c>
      <c r="L294" s="38"/>
      <c r="M294" s="40">
        <f t="shared" si="22"/>
        <v>0</v>
      </c>
    </row>
    <row r="295" spans="1:13" x14ac:dyDescent="0.25">
      <c r="A295" s="59"/>
      <c r="G295" s="16"/>
      <c r="H295" s="38">
        <v>290</v>
      </c>
      <c r="I295" s="39" t="str">
        <f t="shared" si="20"/>
        <v/>
      </c>
      <c r="J295" s="38">
        <f t="shared" si="23"/>
        <v>-6</v>
      </c>
      <c r="K295" s="38">
        <f t="shared" si="21"/>
        <v>-60</v>
      </c>
      <c r="L295" s="38"/>
      <c r="M295" s="40">
        <f t="shared" si="22"/>
        <v>0</v>
      </c>
    </row>
    <row r="296" spans="1:13" x14ac:dyDescent="0.25">
      <c r="A296" s="59"/>
      <c r="G296" s="16"/>
      <c r="H296" s="38">
        <v>291</v>
      </c>
      <c r="I296" s="39" t="str">
        <f t="shared" si="20"/>
        <v/>
      </c>
      <c r="J296" s="38">
        <f t="shared" si="23"/>
        <v>-6</v>
      </c>
      <c r="K296" s="38">
        <f t="shared" si="21"/>
        <v>-60</v>
      </c>
      <c r="L296" s="38"/>
      <c r="M296" s="40">
        <f t="shared" si="22"/>
        <v>0</v>
      </c>
    </row>
    <row r="297" spans="1:13" x14ac:dyDescent="0.25">
      <c r="A297" s="59"/>
      <c r="G297" s="16"/>
      <c r="H297" s="38">
        <v>292</v>
      </c>
      <c r="I297" s="39" t="str">
        <f t="shared" si="20"/>
        <v/>
      </c>
      <c r="J297" s="38">
        <f t="shared" si="23"/>
        <v>-6</v>
      </c>
      <c r="K297" s="38">
        <f t="shared" si="21"/>
        <v>-60</v>
      </c>
      <c r="L297" s="38"/>
      <c r="M297" s="40">
        <f t="shared" si="22"/>
        <v>0</v>
      </c>
    </row>
    <row r="298" spans="1:13" x14ac:dyDescent="0.25">
      <c r="A298" s="59"/>
      <c r="G298" s="16"/>
      <c r="H298" s="38">
        <v>293</v>
      </c>
      <c r="I298" s="39" t="str">
        <f t="shared" si="20"/>
        <v/>
      </c>
      <c r="J298" s="38">
        <f t="shared" si="23"/>
        <v>-6</v>
      </c>
      <c r="K298" s="38">
        <f t="shared" si="21"/>
        <v>-60</v>
      </c>
      <c r="L298" s="38"/>
      <c r="M298" s="40">
        <f t="shared" si="22"/>
        <v>0</v>
      </c>
    </row>
    <row r="299" spans="1:13" x14ac:dyDescent="0.25">
      <c r="A299" s="59"/>
      <c r="G299" s="16"/>
      <c r="H299" s="38">
        <v>294</v>
      </c>
      <c r="I299" s="39" t="str">
        <f t="shared" si="20"/>
        <v/>
      </c>
      <c r="J299" s="38">
        <f t="shared" si="23"/>
        <v>-6</v>
      </c>
      <c r="K299" s="38">
        <f t="shared" si="21"/>
        <v>-60</v>
      </c>
      <c r="L299" s="38"/>
      <c r="M299" s="40">
        <f t="shared" si="22"/>
        <v>0</v>
      </c>
    </row>
    <row r="300" spans="1:13" x14ac:dyDescent="0.25">
      <c r="A300" s="59"/>
      <c r="G300" s="16"/>
      <c r="H300" s="38">
        <v>295</v>
      </c>
      <c r="I300" s="39" t="str">
        <f t="shared" si="20"/>
        <v/>
      </c>
      <c r="J300" s="38">
        <f t="shared" si="23"/>
        <v>-6</v>
      </c>
      <c r="K300" s="38">
        <f t="shared" si="21"/>
        <v>-60</v>
      </c>
      <c r="L300" s="38"/>
      <c r="M300" s="40">
        <f t="shared" si="22"/>
        <v>0</v>
      </c>
    </row>
    <row r="301" spans="1:13" x14ac:dyDescent="0.25">
      <c r="A301" s="59"/>
      <c r="G301" s="16"/>
      <c r="H301" s="38">
        <v>296</v>
      </c>
      <c r="I301" s="39" t="str">
        <f t="shared" si="20"/>
        <v/>
      </c>
      <c r="J301" s="38">
        <f t="shared" si="23"/>
        <v>-6</v>
      </c>
      <c r="K301" s="38">
        <f t="shared" si="21"/>
        <v>-60</v>
      </c>
      <c r="L301" s="38"/>
      <c r="M301" s="40">
        <f t="shared" si="22"/>
        <v>0</v>
      </c>
    </row>
    <row r="302" spans="1:13" x14ac:dyDescent="0.25">
      <c r="A302" s="59"/>
      <c r="G302" s="16"/>
      <c r="H302" s="38">
        <v>297</v>
      </c>
      <c r="I302" s="39" t="str">
        <f t="shared" si="20"/>
        <v/>
      </c>
      <c r="J302" s="38">
        <f t="shared" si="23"/>
        <v>-6</v>
      </c>
      <c r="K302" s="38">
        <f t="shared" si="21"/>
        <v>-60</v>
      </c>
      <c r="L302" s="38"/>
      <c r="M302" s="40">
        <f t="shared" si="22"/>
        <v>0</v>
      </c>
    </row>
    <row r="303" spans="1:13" x14ac:dyDescent="0.25">
      <c r="A303" s="59"/>
      <c r="G303" s="16"/>
      <c r="H303" s="38">
        <v>298</v>
      </c>
      <c r="I303" s="39" t="str">
        <f t="shared" si="20"/>
        <v/>
      </c>
      <c r="J303" s="38">
        <f t="shared" si="23"/>
        <v>-6</v>
      </c>
      <c r="K303" s="38">
        <f t="shared" si="21"/>
        <v>-60</v>
      </c>
      <c r="L303" s="38"/>
      <c r="M303" s="40">
        <f t="shared" si="22"/>
        <v>0</v>
      </c>
    </row>
    <row r="304" spans="1:13" x14ac:dyDescent="0.25">
      <c r="A304" s="59"/>
      <c r="G304" s="16"/>
      <c r="H304" s="38">
        <v>299</v>
      </c>
      <c r="I304" s="39" t="str">
        <f t="shared" si="20"/>
        <v/>
      </c>
      <c r="J304" s="38">
        <f t="shared" si="23"/>
        <v>-6</v>
      </c>
      <c r="K304" s="38">
        <f t="shared" si="21"/>
        <v>-60</v>
      </c>
      <c r="L304" s="38"/>
      <c r="M304" s="40">
        <f t="shared" si="22"/>
        <v>0</v>
      </c>
    </row>
    <row r="305" spans="1:16" x14ac:dyDescent="0.25">
      <c r="A305" s="59"/>
      <c r="G305" s="16"/>
      <c r="H305" s="38">
        <v>300</v>
      </c>
      <c r="I305" s="39" t="str">
        <f t="shared" si="20"/>
        <v/>
      </c>
      <c r="J305" s="38">
        <f t="shared" si="23"/>
        <v>-6</v>
      </c>
      <c r="K305" s="38">
        <f t="shared" si="21"/>
        <v>-60</v>
      </c>
      <c r="L305" s="38"/>
      <c r="M305" s="40">
        <f t="shared" si="22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40EC43DA-4FBD-4137-BEB1-1636385B698A}">
      <formula1>#REF!</formula1>
    </dataValidation>
  </dataValidations>
  <hyperlinks>
    <hyperlink ref="C2:D2" r:id="rId1" display="OPOLE" xr:uid="{C7ED9398-F27E-4F92-A830-77A5CA16F75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41E-2146-465B-8557-C73084300E1E}">
  <sheetPr>
    <tabColor rgb="FF92D050"/>
  </sheetPr>
  <dimension ref="A1:AL318"/>
  <sheetViews>
    <sheetView workbookViewId="0">
      <selection activeCell="C23" sqref="C23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1.75" style="63" customWidth="1"/>
    <col min="14" max="14" width="6.25" style="16" customWidth="1"/>
    <col min="15" max="15" width="1.875" style="16" bestFit="1" customWidth="1"/>
    <col min="16" max="16" width="27.25" style="66" bestFit="1" customWidth="1"/>
    <col min="17" max="17" width="7.375" style="20" customWidth="1"/>
    <col min="18" max="18" width="8.875" style="20"/>
    <col min="19" max="20" width="8.875" style="21"/>
    <col min="21" max="21" width="12.125" style="21" customWidth="1"/>
    <col min="22" max="22" width="27.375" style="21" customWidth="1"/>
    <col min="23" max="38" width="8.875" style="21"/>
    <col min="39" max="16384" width="8.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29</v>
      </c>
      <c r="L1" s="20"/>
      <c r="M1" s="20"/>
      <c r="N1" s="218" t="s">
        <v>74</v>
      </c>
      <c r="O1" s="218" t="s">
        <v>74</v>
      </c>
      <c r="P1" s="219" t="s">
        <v>74</v>
      </c>
      <c r="Q1" s="220" t="s">
        <v>74</v>
      </c>
      <c r="R1" s="220" t="s">
        <v>74</v>
      </c>
    </row>
    <row r="2" spans="1:36" ht="14.3" customHeight="1" x14ac:dyDescent="0.25">
      <c r="A2" s="16"/>
      <c r="B2" s="22" t="s">
        <v>30</v>
      </c>
      <c r="C2" s="289" t="s">
        <v>75</v>
      </c>
      <c r="D2" s="289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  <c r="N2" s="218" t="s">
        <v>74</v>
      </c>
      <c r="O2" s="218" t="s">
        <v>74</v>
      </c>
      <c r="P2" s="219" t="s">
        <v>74</v>
      </c>
      <c r="Q2" s="220" t="s">
        <v>74</v>
      </c>
      <c r="R2" s="220" t="s">
        <v>74</v>
      </c>
    </row>
    <row r="3" spans="1:36" ht="14.3" customHeight="1" x14ac:dyDescent="0.25">
      <c r="A3" s="16"/>
      <c r="B3" s="27" t="s">
        <v>32</v>
      </c>
      <c r="C3" s="290" t="s">
        <v>76</v>
      </c>
      <c r="D3" s="290"/>
      <c r="E3" s="28"/>
      <c r="F3" s="28"/>
      <c r="G3" s="28"/>
      <c r="H3" s="20"/>
      <c r="I3" s="20"/>
      <c r="J3" s="29"/>
      <c r="K3" s="20"/>
      <c r="L3" s="20"/>
      <c r="M3" s="20"/>
      <c r="N3" s="218" t="s">
        <v>74</v>
      </c>
      <c r="O3" s="218" t="s">
        <v>74</v>
      </c>
      <c r="P3" s="219" t="s">
        <v>74</v>
      </c>
      <c r="Q3" s="220" t="s">
        <v>74</v>
      </c>
      <c r="R3" s="220" t="s">
        <v>74</v>
      </c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18" t="s">
        <v>74</v>
      </c>
      <c r="O4" s="218" t="s">
        <v>74</v>
      </c>
      <c r="P4" s="219" t="s">
        <v>74</v>
      </c>
      <c r="Q4" s="220" t="s">
        <v>74</v>
      </c>
      <c r="R4" s="220" t="s">
        <v>74</v>
      </c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  <c r="N5" s="218" t="s">
        <v>74</v>
      </c>
      <c r="O5" s="218" t="s">
        <v>74</v>
      </c>
      <c r="P5" s="291" t="s">
        <v>77</v>
      </c>
      <c r="Q5" s="291"/>
      <c r="R5" s="291"/>
    </row>
    <row r="6" spans="1:36" ht="14.45" customHeight="1" x14ac:dyDescent="0.25">
      <c r="A6" s="35">
        <f>M6</f>
        <v>0</v>
      </c>
      <c r="B6" s="36"/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0">J6*$J$2</f>
        <v>#NUM!</v>
      </c>
      <c r="L6" s="40">
        <f>3*K2</f>
        <v>0</v>
      </c>
      <c r="M6" s="39">
        <f t="shared" ref="M6:M69" si="1">IF(I6&lt;&gt;"",K6+I6+L6,0)</f>
        <v>0</v>
      </c>
      <c r="N6" s="218" t="s">
        <v>74</v>
      </c>
      <c r="O6" s="222">
        <v>1</v>
      </c>
      <c r="P6" s="223" t="s">
        <v>78</v>
      </c>
      <c r="Q6" s="221">
        <v>4</v>
      </c>
      <c r="R6" s="221">
        <v>40</v>
      </c>
    </row>
    <row r="7" spans="1:36" ht="14.45" customHeight="1" x14ac:dyDescent="0.25">
      <c r="A7" s="41">
        <f t="shared" ref="A7:A37" si="2">M7</f>
        <v>0</v>
      </c>
      <c r="B7" s="42"/>
      <c r="C7" s="43"/>
      <c r="D7" s="43"/>
      <c r="E7" s="43"/>
      <c r="F7" s="43"/>
      <c r="G7" s="30"/>
      <c r="H7" s="44">
        <v>2</v>
      </c>
      <c r="I7" s="45" t="str">
        <f t="shared" ref="I7:I69" si="3">IF(H7&lt;$H$2+1,($I$2-($I$2-1)*(LOG(H7)/LOG($H$2))),"")</f>
        <v/>
      </c>
      <c r="J7" s="44" t="e">
        <f t="shared" ref="J7:J70" si="4">INT(LOG($H$2,2))-ROUNDUP(LOG(H7,2),0)+IF(OR($H$2=1,$H$2=2,$H$2=4,$H$2=8,$H$2=16,$H$2=32,$H$2=64,$H$2=128,$H$2=256),0,1)</f>
        <v>#NUM!</v>
      </c>
      <c r="K7" s="44" t="e">
        <f t="shared" si="0"/>
        <v>#NUM!</v>
      </c>
      <c r="L7" s="46">
        <f>2*K2</f>
        <v>0</v>
      </c>
      <c r="M7" s="45">
        <f t="shared" si="1"/>
        <v>0</v>
      </c>
      <c r="N7" s="218" t="s">
        <v>74</v>
      </c>
      <c r="O7" s="222">
        <v>2</v>
      </c>
      <c r="P7" s="223" t="s">
        <v>79</v>
      </c>
      <c r="Q7" s="221">
        <v>3</v>
      </c>
      <c r="R7" s="221">
        <v>30</v>
      </c>
    </row>
    <row r="8" spans="1:36" ht="14.45" customHeight="1" x14ac:dyDescent="0.25">
      <c r="A8" s="35">
        <f t="shared" si="2"/>
        <v>0</v>
      </c>
      <c r="B8" s="36" t="str">
        <f t="shared" ref="B8:B13" si="5">IF(H8&gt;$H$2,"",(ROW()-5))</f>
        <v/>
      </c>
      <c r="C8" s="37"/>
      <c r="D8" s="37"/>
      <c r="E8" s="37"/>
      <c r="F8" s="37"/>
      <c r="G8" s="30"/>
      <c r="H8" s="38">
        <v>3</v>
      </c>
      <c r="I8" s="39" t="str">
        <f t="shared" si="3"/>
        <v/>
      </c>
      <c r="J8" s="38" t="e">
        <f t="shared" si="4"/>
        <v>#NUM!</v>
      </c>
      <c r="K8" s="38" t="e">
        <f t="shared" si="0"/>
        <v>#NUM!</v>
      </c>
      <c r="L8" s="40">
        <f>K2</f>
        <v>0</v>
      </c>
      <c r="M8" s="40">
        <f t="shared" si="1"/>
        <v>0</v>
      </c>
      <c r="N8" s="218" t="s">
        <v>74</v>
      </c>
      <c r="O8" s="222">
        <v>3</v>
      </c>
      <c r="P8" s="223" t="s">
        <v>80</v>
      </c>
      <c r="Q8" s="221">
        <v>2</v>
      </c>
      <c r="R8" s="221">
        <v>20</v>
      </c>
    </row>
    <row r="9" spans="1:36" ht="14.45" customHeight="1" x14ac:dyDescent="0.25">
      <c r="A9" s="41">
        <f t="shared" si="2"/>
        <v>0</v>
      </c>
      <c r="B9" s="42" t="str">
        <f t="shared" si="5"/>
        <v/>
      </c>
      <c r="C9" s="43"/>
      <c r="D9" s="43"/>
      <c r="E9" s="43"/>
      <c r="F9" s="43"/>
      <c r="G9" s="30"/>
      <c r="H9" s="44">
        <v>4</v>
      </c>
      <c r="I9" s="45" t="str">
        <f t="shared" si="3"/>
        <v/>
      </c>
      <c r="J9" s="44" t="e">
        <f t="shared" si="4"/>
        <v>#NUM!</v>
      </c>
      <c r="K9" s="44" t="e">
        <f t="shared" si="0"/>
        <v>#NUM!</v>
      </c>
      <c r="L9" s="46"/>
      <c r="M9" s="46">
        <f t="shared" si="1"/>
        <v>0</v>
      </c>
      <c r="N9" s="218" t="s">
        <v>74</v>
      </c>
      <c r="O9" s="222">
        <v>4</v>
      </c>
      <c r="P9" s="223" t="s">
        <v>81</v>
      </c>
      <c r="Q9" s="221">
        <v>2</v>
      </c>
      <c r="R9" s="221">
        <v>20</v>
      </c>
      <c r="V9" s="47"/>
      <c r="Z9" s="48"/>
      <c r="AA9" s="48"/>
      <c r="AG9" s="49"/>
      <c r="AH9" s="21" t="s">
        <v>53</v>
      </c>
      <c r="AI9" s="21">
        <v>23</v>
      </c>
    </row>
    <row r="10" spans="1:36" ht="14.45" customHeight="1" x14ac:dyDescent="0.25">
      <c r="A10" s="35">
        <f t="shared" si="2"/>
        <v>0</v>
      </c>
      <c r="B10" s="36" t="str">
        <f t="shared" si="5"/>
        <v/>
      </c>
      <c r="C10" s="37"/>
      <c r="D10" s="37"/>
      <c r="E10" s="37"/>
      <c r="F10" s="37"/>
      <c r="G10" s="30"/>
      <c r="H10" s="38">
        <v>5</v>
      </c>
      <c r="I10" s="39" t="str">
        <f t="shared" si="3"/>
        <v/>
      </c>
      <c r="J10" s="38" t="e">
        <f t="shared" si="4"/>
        <v>#NUM!</v>
      </c>
      <c r="K10" s="38" t="e">
        <f t="shared" si="0"/>
        <v>#NUM!</v>
      </c>
      <c r="L10" s="38"/>
      <c r="M10" s="40">
        <f t="shared" si="1"/>
        <v>0</v>
      </c>
      <c r="N10" s="218" t="s">
        <v>74</v>
      </c>
      <c r="O10" s="222">
        <v>5</v>
      </c>
      <c r="P10" s="223" t="s">
        <v>82</v>
      </c>
      <c r="Q10" s="221">
        <v>1</v>
      </c>
      <c r="R10" s="221">
        <v>10</v>
      </c>
      <c r="V10" s="47"/>
      <c r="Z10" s="48"/>
      <c r="AA10" s="48"/>
      <c r="AG10" s="49"/>
      <c r="AH10" s="21" t="s">
        <v>55</v>
      </c>
      <c r="AI10" s="21">
        <v>45</v>
      </c>
    </row>
    <row r="11" spans="1:36" ht="14.45" customHeight="1" x14ac:dyDescent="0.25">
      <c r="A11" s="41">
        <f t="shared" si="2"/>
        <v>0</v>
      </c>
      <c r="B11" s="42" t="str">
        <f t="shared" si="5"/>
        <v/>
      </c>
      <c r="C11" s="43"/>
      <c r="D11" s="43"/>
      <c r="E11" s="43"/>
      <c r="F11" s="43"/>
      <c r="G11" s="30"/>
      <c r="H11" s="44">
        <v>6</v>
      </c>
      <c r="I11" s="45" t="str">
        <f t="shared" si="3"/>
        <v/>
      </c>
      <c r="J11" s="44" t="e">
        <f t="shared" si="4"/>
        <v>#NUM!</v>
      </c>
      <c r="K11" s="44" t="e">
        <f t="shared" si="0"/>
        <v>#NUM!</v>
      </c>
      <c r="L11" s="44"/>
      <c r="M11" s="46">
        <f t="shared" si="1"/>
        <v>0</v>
      </c>
      <c r="N11" s="218" t="s">
        <v>74</v>
      </c>
      <c r="O11" s="222">
        <v>6</v>
      </c>
      <c r="P11" s="223" t="s">
        <v>83</v>
      </c>
      <c r="Q11" s="221">
        <v>1</v>
      </c>
      <c r="R11" s="221">
        <v>10</v>
      </c>
      <c r="V11" s="50"/>
      <c r="Z11" s="48"/>
      <c r="AA11" s="48"/>
      <c r="AG11" s="49"/>
      <c r="AH11" s="21" t="s">
        <v>57</v>
      </c>
      <c r="AI11" s="21">
        <v>50</v>
      </c>
    </row>
    <row r="12" spans="1:36" ht="14.45" customHeight="1" x14ac:dyDescent="0.25">
      <c r="A12" s="35">
        <f t="shared" si="2"/>
        <v>0</v>
      </c>
      <c r="B12" s="36" t="str">
        <f t="shared" si="5"/>
        <v/>
      </c>
      <c r="C12" s="37"/>
      <c r="D12" s="37"/>
      <c r="E12" s="37"/>
      <c r="F12" s="37"/>
      <c r="G12" s="30"/>
      <c r="H12" s="38">
        <v>7</v>
      </c>
      <c r="I12" s="39" t="str">
        <f t="shared" si="3"/>
        <v/>
      </c>
      <c r="J12" s="38" t="e">
        <f t="shared" si="4"/>
        <v>#NUM!</v>
      </c>
      <c r="K12" s="38" t="e">
        <f t="shared" si="0"/>
        <v>#NUM!</v>
      </c>
      <c r="L12" s="38"/>
      <c r="M12" s="40">
        <f t="shared" si="1"/>
        <v>0</v>
      </c>
      <c r="N12" s="218" t="s">
        <v>74</v>
      </c>
      <c r="O12" s="222">
        <v>7</v>
      </c>
      <c r="P12" s="223" t="s">
        <v>84</v>
      </c>
      <c r="Q12" s="221">
        <v>1</v>
      </c>
      <c r="R12" s="221">
        <v>10</v>
      </c>
      <c r="Z12" s="48"/>
      <c r="AA12" s="48"/>
      <c r="AG12" s="49"/>
      <c r="AH12" s="21" t="s">
        <v>58</v>
      </c>
      <c r="AI12" s="21">
        <f>AI11-1</f>
        <v>49</v>
      </c>
    </row>
    <row r="13" spans="1:36" ht="14.45" customHeight="1" x14ac:dyDescent="0.25">
      <c r="A13" s="51">
        <f t="shared" si="2"/>
        <v>0</v>
      </c>
      <c r="B13" s="42" t="str">
        <f t="shared" si="5"/>
        <v/>
      </c>
      <c r="C13" s="43"/>
      <c r="D13" s="43"/>
      <c r="E13" s="43"/>
      <c r="F13" s="43"/>
      <c r="G13" s="30"/>
      <c r="H13" s="44">
        <v>8</v>
      </c>
      <c r="I13" s="45" t="str">
        <f t="shared" si="3"/>
        <v/>
      </c>
      <c r="J13" s="44" t="e">
        <f t="shared" si="4"/>
        <v>#NUM!</v>
      </c>
      <c r="K13" s="44" t="e">
        <f t="shared" si="0"/>
        <v>#NUM!</v>
      </c>
      <c r="L13" s="44"/>
      <c r="M13" s="46">
        <f t="shared" si="1"/>
        <v>0</v>
      </c>
      <c r="N13" s="218" t="s">
        <v>74</v>
      </c>
      <c r="O13" s="222">
        <v>8</v>
      </c>
      <c r="P13" s="223" t="s">
        <v>85</v>
      </c>
      <c r="Q13" s="221">
        <v>1</v>
      </c>
      <c r="R13" s="221">
        <v>10</v>
      </c>
      <c r="X13" s="47"/>
      <c r="AG13" s="49"/>
      <c r="AH13" s="21" t="s">
        <v>59</v>
      </c>
      <c r="AI13" s="21">
        <f>LOG(AI9)</f>
        <v>1.3617278360175928</v>
      </c>
    </row>
    <row r="14" spans="1:36" x14ac:dyDescent="0.25">
      <c r="A14" s="52">
        <f t="shared" si="2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3"/>
        <v/>
      </c>
      <c r="J14" s="38" t="e">
        <f t="shared" si="4"/>
        <v>#NUM!</v>
      </c>
      <c r="K14" s="38" t="e">
        <f t="shared" si="0"/>
        <v>#NUM!</v>
      </c>
      <c r="L14" s="38"/>
      <c r="M14" s="40">
        <f t="shared" si="1"/>
        <v>0</v>
      </c>
      <c r="N14" s="218" t="s">
        <v>74</v>
      </c>
      <c r="O14" s="224">
        <v>9</v>
      </c>
      <c r="P14" s="223" t="s">
        <v>86</v>
      </c>
      <c r="Q14" s="221">
        <v>0</v>
      </c>
      <c r="R14" s="221">
        <v>0</v>
      </c>
      <c r="X14" s="53"/>
      <c r="Z14" s="48"/>
      <c r="AA14" s="48"/>
      <c r="AG14" s="49"/>
      <c r="AH14" s="21" t="s">
        <v>65</v>
      </c>
      <c r="AI14" s="21">
        <f>LOG(AI10)</f>
        <v>1.6532125137753437</v>
      </c>
    </row>
    <row r="15" spans="1:36" x14ac:dyDescent="0.25">
      <c r="A15" s="51">
        <f t="shared" si="2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3"/>
        <v/>
      </c>
      <c r="J15" s="44" t="e">
        <f t="shared" si="4"/>
        <v>#NUM!</v>
      </c>
      <c r="K15" s="44" t="e">
        <f t="shared" si="0"/>
        <v>#NUM!</v>
      </c>
      <c r="L15" s="44"/>
      <c r="M15" s="46">
        <f t="shared" si="1"/>
        <v>0</v>
      </c>
      <c r="N15" s="218" t="s">
        <v>74</v>
      </c>
      <c r="O15" s="218" t="s">
        <v>74</v>
      </c>
      <c r="P15" s="219" t="s">
        <v>74</v>
      </c>
      <c r="Q15" s="220" t="s">
        <v>74</v>
      </c>
      <c r="R15" s="220" t="s">
        <v>74</v>
      </c>
      <c r="X15" s="47"/>
      <c r="Z15" s="48"/>
      <c r="AA15" s="48"/>
    </row>
    <row r="16" spans="1:36" x14ac:dyDescent="0.25">
      <c r="A16" s="52">
        <f t="shared" si="2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3"/>
        <v/>
      </c>
      <c r="J16" s="38" t="e">
        <f t="shared" si="4"/>
        <v>#NUM!</v>
      </c>
      <c r="K16" s="38" t="e">
        <f t="shared" si="0"/>
        <v>#NUM!</v>
      </c>
      <c r="L16" s="38"/>
      <c r="M16" s="40">
        <f t="shared" si="1"/>
        <v>0</v>
      </c>
      <c r="N16" s="218" t="s">
        <v>74</v>
      </c>
      <c r="O16" s="218" t="s">
        <v>74</v>
      </c>
      <c r="P16" s="219" t="s">
        <v>74</v>
      </c>
      <c r="Q16" s="220" t="s">
        <v>74</v>
      </c>
      <c r="R16" s="220" t="s">
        <v>74</v>
      </c>
      <c r="Z16" s="48"/>
      <c r="AA16" s="48"/>
      <c r="AH16" s="55" t="s">
        <v>61</v>
      </c>
      <c r="AI16" s="21">
        <f>AI11-AI12*AI13/AI14</f>
        <v>9.6393909380186855</v>
      </c>
      <c r="AJ16" s="21" t="s">
        <v>62</v>
      </c>
    </row>
    <row r="17" spans="1:19" x14ac:dyDescent="0.25">
      <c r="A17" s="51">
        <f t="shared" si="2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3"/>
        <v/>
      </c>
      <c r="J17" s="44" t="e">
        <f t="shared" si="4"/>
        <v>#NUM!</v>
      </c>
      <c r="K17" s="44" t="e">
        <f t="shared" si="0"/>
        <v>#NUM!</v>
      </c>
      <c r="L17" s="44"/>
      <c r="M17" s="46">
        <f t="shared" si="1"/>
        <v>0</v>
      </c>
      <c r="N17" s="218" t="s">
        <v>74</v>
      </c>
      <c r="O17" s="218" t="s">
        <v>74</v>
      </c>
      <c r="P17" s="219" t="s">
        <v>74</v>
      </c>
      <c r="Q17" s="220" t="s">
        <v>74</v>
      </c>
      <c r="R17" s="220" t="s">
        <v>74</v>
      </c>
    </row>
    <row r="18" spans="1:19" x14ac:dyDescent="0.25">
      <c r="A18" s="52">
        <f t="shared" si="2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3"/>
        <v/>
      </c>
      <c r="J18" s="38" t="e">
        <f t="shared" si="4"/>
        <v>#NUM!</v>
      </c>
      <c r="K18" s="38" t="e">
        <f t="shared" si="0"/>
        <v>#NUM!</v>
      </c>
      <c r="L18" s="38"/>
      <c r="M18" s="40">
        <f t="shared" si="1"/>
        <v>0</v>
      </c>
      <c r="N18" s="218" t="s">
        <v>74</v>
      </c>
      <c r="O18" s="218" t="s">
        <v>74</v>
      </c>
      <c r="P18" s="219" t="s">
        <v>74</v>
      </c>
      <c r="Q18" s="220" t="s">
        <v>74</v>
      </c>
      <c r="R18" s="220" t="s">
        <v>74</v>
      </c>
    </row>
    <row r="19" spans="1:19" x14ac:dyDescent="0.25">
      <c r="A19" s="51">
        <f t="shared" si="2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3"/>
        <v/>
      </c>
      <c r="J19" s="44" t="e">
        <f t="shared" si="4"/>
        <v>#NUM!</v>
      </c>
      <c r="K19" s="44" t="e">
        <f t="shared" si="0"/>
        <v>#NUM!</v>
      </c>
      <c r="L19" s="44"/>
      <c r="M19" s="46">
        <f t="shared" si="1"/>
        <v>0</v>
      </c>
      <c r="N19" s="218" t="s">
        <v>74</v>
      </c>
      <c r="O19" s="218" t="s">
        <v>74</v>
      </c>
      <c r="P19" s="219" t="s">
        <v>74</v>
      </c>
      <c r="Q19" s="220" t="s">
        <v>74</v>
      </c>
      <c r="R19" s="220" t="s">
        <v>74</v>
      </c>
    </row>
    <row r="20" spans="1:19" x14ac:dyDescent="0.25">
      <c r="A20" s="52">
        <f t="shared" si="2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3"/>
        <v/>
      </c>
      <c r="J20" s="38" t="e">
        <f t="shared" si="4"/>
        <v>#NUM!</v>
      </c>
      <c r="K20" s="38" t="e">
        <f t="shared" si="0"/>
        <v>#NUM!</v>
      </c>
      <c r="L20" s="38"/>
      <c r="M20" s="40">
        <f t="shared" si="1"/>
        <v>0</v>
      </c>
      <c r="N20" s="218" t="s">
        <v>74</v>
      </c>
      <c r="O20" s="218" t="s">
        <v>74</v>
      </c>
      <c r="P20" s="219" t="s">
        <v>74</v>
      </c>
      <c r="Q20" s="225" t="s">
        <v>74</v>
      </c>
      <c r="R20" s="220" t="s">
        <v>74</v>
      </c>
      <c r="S20" s="57"/>
    </row>
    <row r="21" spans="1:19" x14ac:dyDescent="0.25">
      <c r="A21" s="51">
        <f t="shared" si="2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3"/>
        <v/>
      </c>
      <c r="J21" s="44" t="e">
        <f t="shared" si="4"/>
        <v>#NUM!</v>
      </c>
      <c r="K21" s="44" t="e">
        <f t="shared" si="0"/>
        <v>#NUM!</v>
      </c>
      <c r="L21" s="44"/>
      <c r="M21" s="46">
        <f t="shared" si="1"/>
        <v>0</v>
      </c>
      <c r="N21" s="218" t="s">
        <v>74</v>
      </c>
      <c r="O21" s="218" t="s">
        <v>74</v>
      </c>
      <c r="P21" s="219" t="s">
        <v>74</v>
      </c>
      <c r="Q21" s="220" t="s">
        <v>74</v>
      </c>
      <c r="R21" s="220" t="s">
        <v>74</v>
      </c>
    </row>
    <row r="22" spans="1:19" x14ac:dyDescent="0.25">
      <c r="A22" s="52">
        <f t="shared" si="2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3"/>
        <v/>
      </c>
      <c r="J22" s="38" t="e">
        <f t="shared" si="4"/>
        <v>#NUM!</v>
      </c>
      <c r="K22" s="38" t="e">
        <f t="shared" si="0"/>
        <v>#NUM!</v>
      </c>
      <c r="L22" s="38"/>
      <c r="M22" s="40">
        <f t="shared" si="1"/>
        <v>0</v>
      </c>
      <c r="N22" s="218" t="s">
        <v>74</v>
      </c>
      <c r="O22" s="218" t="s">
        <v>74</v>
      </c>
      <c r="P22" s="219" t="s">
        <v>74</v>
      </c>
      <c r="Q22" s="220" t="s">
        <v>74</v>
      </c>
      <c r="R22" s="220" t="s">
        <v>74</v>
      </c>
    </row>
    <row r="23" spans="1:19" x14ac:dyDescent="0.25">
      <c r="A23" s="51">
        <f t="shared" si="2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3"/>
        <v/>
      </c>
      <c r="J23" s="44" t="e">
        <f t="shared" si="4"/>
        <v>#NUM!</v>
      </c>
      <c r="K23" s="44" t="e">
        <f t="shared" si="0"/>
        <v>#NUM!</v>
      </c>
      <c r="L23" s="44"/>
      <c r="M23" s="46">
        <f t="shared" si="1"/>
        <v>0</v>
      </c>
      <c r="N23" s="218" t="s">
        <v>74</v>
      </c>
      <c r="O23" s="218" t="s">
        <v>74</v>
      </c>
      <c r="P23" s="219" t="s">
        <v>74</v>
      </c>
      <c r="Q23" s="220" t="s">
        <v>74</v>
      </c>
      <c r="R23" s="220" t="s">
        <v>74</v>
      </c>
    </row>
    <row r="24" spans="1:19" x14ac:dyDescent="0.25">
      <c r="A24" s="52">
        <f t="shared" si="2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3"/>
        <v/>
      </c>
      <c r="J24" s="38" t="e">
        <f t="shared" si="4"/>
        <v>#NUM!</v>
      </c>
      <c r="K24" s="38" t="e">
        <f t="shared" si="0"/>
        <v>#NUM!</v>
      </c>
      <c r="L24" s="38"/>
      <c r="M24" s="40">
        <f t="shared" si="1"/>
        <v>0</v>
      </c>
      <c r="N24" s="218" t="s">
        <v>74</v>
      </c>
      <c r="O24" s="218" t="s">
        <v>74</v>
      </c>
      <c r="P24" s="219" t="s">
        <v>74</v>
      </c>
      <c r="Q24" s="225" t="s">
        <v>74</v>
      </c>
      <c r="R24" s="220" t="s">
        <v>74</v>
      </c>
      <c r="S24" s="57"/>
    </row>
    <row r="25" spans="1:19" x14ac:dyDescent="0.25">
      <c r="A25" s="51">
        <f t="shared" si="2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3"/>
        <v/>
      </c>
      <c r="J25" s="44" t="e">
        <f t="shared" si="4"/>
        <v>#NUM!</v>
      </c>
      <c r="K25" s="44" t="e">
        <f t="shared" si="0"/>
        <v>#NUM!</v>
      </c>
      <c r="L25" s="44"/>
      <c r="M25" s="46">
        <f t="shared" si="1"/>
        <v>0</v>
      </c>
      <c r="N25" s="218" t="s">
        <v>74</v>
      </c>
      <c r="O25" s="218" t="s">
        <v>74</v>
      </c>
      <c r="P25" s="219" t="s">
        <v>74</v>
      </c>
      <c r="Q25" s="220" t="s">
        <v>74</v>
      </c>
      <c r="R25" s="220" t="s">
        <v>74</v>
      </c>
    </row>
    <row r="26" spans="1:19" x14ac:dyDescent="0.25">
      <c r="A26" s="52">
        <f t="shared" si="2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3"/>
        <v/>
      </c>
      <c r="J26" s="38" t="e">
        <f t="shared" si="4"/>
        <v>#NUM!</v>
      </c>
      <c r="K26" s="38" t="e">
        <f t="shared" si="0"/>
        <v>#NUM!</v>
      </c>
      <c r="L26" s="38"/>
      <c r="M26" s="40">
        <f t="shared" si="1"/>
        <v>0</v>
      </c>
      <c r="N26" s="218" t="s">
        <v>74</v>
      </c>
      <c r="O26" s="218" t="s">
        <v>74</v>
      </c>
      <c r="P26" s="219" t="s">
        <v>74</v>
      </c>
      <c r="Q26" s="220" t="s">
        <v>74</v>
      </c>
      <c r="R26" s="220" t="s">
        <v>74</v>
      </c>
    </row>
    <row r="27" spans="1:19" x14ac:dyDescent="0.25">
      <c r="A27" s="51">
        <f t="shared" si="2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3"/>
        <v/>
      </c>
      <c r="J27" s="44" t="e">
        <f t="shared" si="4"/>
        <v>#NUM!</v>
      </c>
      <c r="K27" s="44" t="e">
        <f t="shared" si="0"/>
        <v>#NUM!</v>
      </c>
      <c r="L27" s="44"/>
      <c r="M27" s="46">
        <f t="shared" si="1"/>
        <v>0</v>
      </c>
      <c r="N27" s="218" t="s">
        <v>74</v>
      </c>
      <c r="O27" s="218" t="s">
        <v>74</v>
      </c>
      <c r="P27" s="219" t="s">
        <v>74</v>
      </c>
      <c r="Q27" s="220" t="s">
        <v>74</v>
      </c>
      <c r="R27" s="220" t="s">
        <v>74</v>
      </c>
    </row>
    <row r="28" spans="1:19" x14ac:dyDescent="0.25">
      <c r="A28" s="52">
        <f t="shared" si="2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3"/>
        <v/>
      </c>
      <c r="J28" s="38" t="e">
        <f t="shared" si="4"/>
        <v>#NUM!</v>
      </c>
      <c r="K28" s="38" t="e">
        <f t="shared" si="0"/>
        <v>#NUM!</v>
      </c>
      <c r="L28" s="38"/>
      <c r="M28" s="40">
        <f t="shared" si="1"/>
        <v>0</v>
      </c>
      <c r="N28" s="218" t="s">
        <v>74</v>
      </c>
      <c r="O28" s="218" t="s">
        <v>74</v>
      </c>
      <c r="P28" s="219" t="s">
        <v>74</v>
      </c>
      <c r="Q28" s="225" t="s">
        <v>74</v>
      </c>
      <c r="R28" s="220" t="s">
        <v>74</v>
      </c>
      <c r="S28" s="57"/>
    </row>
    <row r="29" spans="1:19" x14ac:dyDescent="0.25">
      <c r="A29" s="51">
        <f t="shared" si="2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3"/>
        <v/>
      </c>
      <c r="J29" s="44" t="e">
        <f t="shared" si="4"/>
        <v>#NUM!</v>
      </c>
      <c r="K29" s="44" t="e">
        <f t="shared" si="0"/>
        <v>#NUM!</v>
      </c>
      <c r="L29" s="44"/>
      <c r="M29" s="46">
        <f t="shared" si="1"/>
        <v>0</v>
      </c>
      <c r="N29" s="218" t="s">
        <v>74</v>
      </c>
      <c r="O29" s="218" t="s">
        <v>74</v>
      </c>
      <c r="P29" s="219" t="s">
        <v>74</v>
      </c>
      <c r="Q29" s="220" t="s">
        <v>74</v>
      </c>
      <c r="R29" s="220" t="s">
        <v>74</v>
      </c>
    </row>
    <row r="30" spans="1:19" x14ac:dyDescent="0.25">
      <c r="A30" s="52">
        <f t="shared" si="2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3"/>
        <v/>
      </c>
      <c r="J30" s="38" t="e">
        <f t="shared" si="4"/>
        <v>#NUM!</v>
      </c>
      <c r="K30" s="38" t="e">
        <f t="shared" si="0"/>
        <v>#NUM!</v>
      </c>
      <c r="L30" s="38"/>
      <c r="M30" s="40">
        <f t="shared" si="1"/>
        <v>0</v>
      </c>
      <c r="N30" s="218" t="s">
        <v>74</v>
      </c>
      <c r="O30" s="218" t="s">
        <v>74</v>
      </c>
      <c r="P30" s="219" t="s">
        <v>74</v>
      </c>
      <c r="Q30" s="220" t="s">
        <v>74</v>
      </c>
      <c r="R30" s="220" t="s">
        <v>74</v>
      </c>
    </row>
    <row r="31" spans="1:19" x14ac:dyDescent="0.25">
      <c r="A31" s="51">
        <f t="shared" si="2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3"/>
        <v/>
      </c>
      <c r="J31" s="44" t="e">
        <f t="shared" si="4"/>
        <v>#NUM!</v>
      </c>
      <c r="K31" s="44" t="e">
        <f t="shared" si="0"/>
        <v>#NUM!</v>
      </c>
      <c r="L31" s="44"/>
      <c r="M31" s="46">
        <f t="shared" si="1"/>
        <v>0</v>
      </c>
      <c r="N31" s="218" t="s">
        <v>74</v>
      </c>
      <c r="O31" s="218" t="s">
        <v>74</v>
      </c>
      <c r="P31" s="219" t="s">
        <v>74</v>
      </c>
      <c r="Q31" s="220" t="s">
        <v>74</v>
      </c>
      <c r="R31" s="220" t="s">
        <v>74</v>
      </c>
    </row>
    <row r="32" spans="1:19" x14ac:dyDescent="0.25">
      <c r="A32" s="52">
        <f t="shared" si="2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3"/>
        <v/>
      </c>
      <c r="J32" s="38" t="e">
        <f t="shared" si="4"/>
        <v>#NUM!</v>
      </c>
      <c r="K32" s="38" t="e">
        <f t="shared" si="0"/>
        <v>#NUM!</v>
      </c>
      <c r="L32" s="38"/>
      <c r="M32" s="40">
        <f t="shared" si="1"/>
        <v>0</v>
      </c>
      <c r="N32" s="218" t="s">
        <v>74</v>
      </c>
      <c r="O32" s="218" t="s">
        <v>74</v>
      </c>
      <c r="P32" s="219" t="s">
        <v>74</v>
      </c>
      <c r="Q32" s="225" t="s">
        <v>74</v>
      </c>
      <c r="R32" s="220" t="s">
        <v>74</v>
      </c>
      <c r="S32" s="57"/>
    </row>
    <row r="33" spans="1:21" x14ac:dyDescent="0.25">
      <c r="A33" s="51">
        <f t="shared" si="2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3"/>
        <v/>
      </c>
      <c r="J33" s="44" t="e">
        <f t="shared" si="4"/>
        <v>#NUM!</v>
      </c>
      <c r="K33" s="44" t="e">
        <f t="shared" si="0"/>
        <v>#NUM!</v>
      </c>
      <c r="L33" s="44"/>
      <c r="M33" s="46">
        <f t="shared" si="1"/>
        <v>0</v>
      </c>
      <c r="N33" s="218" t="s">
        <v>74</v>
      </c>
      <c r="O33" s="218" t="s">
        <v>74</v>
      </c>
      <c r="P33" s="219" t="s">
        <v>74</v>
      </c>
      <c r="Q33" s="220" t="s">
        <v>74</v>
      </c>
      <c r="R33" s="220" t="s">
        <v>74</v>
      </c>
    </row>
    <row r="34" spans="1:21" x14ac:dyDescent="0.25">
      <c r="A34" s="52">
        <f t="shared" si="2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3"/>
        <v/>
      </c>
      <c r="J34" s="38" t="e">
        <f t="shared" si="4"/>
        <v>#NUM!</v>
      </c>
      <c r="K34" s="38" t="e">
        <f t="shared" si="0"/>
        <v>#NUM!</v>
      </c>
      <c r="L34" s="38"/>
      <c r="M34" s="40">
        <f t="shared" si="1"/>
        <v>0</v>
      </c>
      <c r="N34" s="218" t="s">
        <v>74</v>
      </c>
      <c r="O34" s="218" t="s">
        <v>74</v>
      </c>
      <c r="P34" s="219" t="s">
        <v>74</v>
      </c>
      <c r="Q34" s="220" t="s">
        <v>74</v>
      </c>
      <c r="R34" s="220" t="s">
        <v>74</v>
      </c>
    </row>
    <row r="35" spans="1:21" x14ac:dyDescent="0.25">
      <c r="A35" s="51">
        <f t="shared" si="2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3"/>
        <v/>
      </c>
      <c r="J35" s="44" t="e">
        <f t="shared" si="4"/>
        <v>#NUM!</v>
      </c>
      <c r="K35" s="44" t="e">
        <f t="shared" si="0"/>
        <v>#NUM!</v>
      </c>
      <c r="L35" s="44"/>
      <c r="M35" s="46">
        <f t="shared" si="1"/>
        <v>0</v>
      </c>
      <c r="N35" s="218" t="s">
        <v>74</v>
      </c>
      <c r="O35" s="218" t="s">
        <v>74</v>
      </c>
      <c r="P35" s="219" t="s">
        <v>74</v>
      </c>
      <c r="Q35" s="220" t="s">
        <v>74</v>
      </c>
      <c r="R35" s="220" t="s">
        <v>74</v>
      </c>
    </row>
    <row r="36" spans="1:21" x14ac:dyDescent="0.25">
      <c r="A36" s="52">
        <f t="shared" si="2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3"/>
        <v/>
      </c>
      <c r="J36" s="38" t="e">
        <f t="shared" si="4"/>
        <v>#NUM!</v>
      </c>
      <c r="K36" s="38" t="e">
        <f t="shared" si="0"/>
        <v>#NUM!</v>
      </c>
      <c r="L36" s="38"/>
      <c r="M36" s="40">
        <f t="shared" si="1"/>
        <v>0</v>
      </c>
      <c r="N36" s="218" t="s">
        <v>74</v>
      </c>
      <c r="O36" s="218" t="s">
        <v>74</v>
      </c>
      <c r="P36" s="219" t="s">
        <v>74</v>
      </c>
      <c r="Q36" s="225" t="s">
        <v>74</v>
      </c>
      <c r="R36" s="220" t="s">
        <v>74</v>
      </c>
      <c r="S36" s="57"/>
    </row>
    <row r="37" spans="1:21" x14ac:dyDescent="0.25">
      <c r="A37" s="51">
        <f t="shared" si="2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3"/>
        <v/>
      </c>
      <c r="J37" s="44" t="e">
        <f t="shared" si="4"/>
        <v>#NUM!</v>
      </c>
      <c r="K37" s="44" t="e">
        <f t="shared" si="0"/>
        <v>#NUM!</v>
      </c>
      <c r="L37" s="44"/>
      <c r="M37" s="46">
        <f t="shared" si="1"/>
        <v>0</v>
      </c>
      <c r="N37" s="218" t="s">
        <v>74</v>
      </c>
      <c r="O37" s="218" t="s">
        <v>74</v>
      </c>
      <c r="P37" s="219" t="s">
        <v>74</v>
      </c>
      <c r="Q37" s="220" t="s">
        <v>74</v>
      </c>
      <c r="R37" s="220" t="s">
        <v>74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3"/>
        <v/>
      </c>
      <c r="J38" s="38" t="e">
        <f t="shared" si="4"/>
        <v>#NUM!</v>
      </c>
      <c r="K38" s="38" t="e">
        <f t="shared" si="0"/>
        <v>#NUM!</v>
      </c>
      <c r="L38" s="38"/>
      <c r="M38" s="40">
        <f t="shared" si="1"/>
        <v>0</v>
      </c>
      <c r="N38" s="218" t="s">
        <v>74</v>
      </c>
      <c r="O38" s="218" t="s">
        <v>74</v>
      </c>
      <c r="P38" s="219" t="s">
        <v>74</v>
      </c>
      <c r="Q38" s="220" t="s">
        <v>74</v>
      </c>
      <c r="R38" s="220" t="s">
        <v>74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3"/>
        <v/>
      </c>
      <c r="J39" s="44" t="e">
        <f t="shared" si="4"/>
        <v>#NUM!</v>
      </c>
      <c r="K39" s="44" t="e">
        <f t="shared" si="0"/>
        <v>#NUM!</v>
      </c>
      <c r="L39" s="44"/>
      <c r="M39" s="46">
        <f t="shared" si="1"/>
        <v>0</v>
      </c>
      <c r="N39" s="218" t="s">
        <v>74</v>
      </c>
      <c r="O39" s="218" t="s">
        <v>74</v>
      </c>
      <c r="P39" s="219" t="s">
        <v>74</v>
      </c>
      <c r="Q39" s="220" t="s">
        <v>74</v>
      </c>
      <c r="R39" s="220" t="s">
        <v>74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3"/>
        <v/>
      </c>
      <c r="J40" s="38" t="e">
        <f t="shared" si="4"/>
        <v>#NUM!</v>
      </c>
      <c r="K40" s="38" t="e">
        <f t="shared" si="0"/>
        <v>#NUM!</v>
      </c>
      <c r="L40" s="38"/>
      <c r="M40" s="40">
        <f t="shared" si="1"/>
        <v>0</v>
      </c>
      <c r="N40" s="218" t="s">
        <v>74</v>
      </c>
      <c r="O40" s="218" t="s">
        <v>74</v>
      </c>
      <c r="P40" s="219" t="s">
        <v>74</v>
      </c>
      <c r="Q40" s="220" t="s">
        <v>74</v>
      </c>
      <c r="R40" s="220" t="s">
        <v>74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3"/>
        <v/>
      </c>
      <c r="J41" s="44" t="e">
        <f t="shared" si="4"/>
        <v>#NUM!</v>
      </c>
      <c r="K41" s="44" t="e">
        <f t="shared" si="0"/>
        <v>#NUM!</v>
      </c>
      <c r="L41" s="44"/>
      <c r="M41" s="46">
        <f t="shared" si="1"/>
        <v>0</v>
      </c>
      <c r="N41" s="218" t="s">
        <v>74</v>
      </c>
      <c r="O41" s="218" t="s">
        <v>74</v>
      </c>
      <c r="P41" s="219" t="s">
        <v>74</v>
      </c>
      <c r="Q41" s="220" t="s">
        <v>74</v>
      </c>
      <c r="R41" s="220" t="s">
        <v>74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3"/>
        <v/>
      </c>
      <c r="J42" s="38" t="e">
        <f t="shared" si="4"/>
        <v>#NUM!</v>
      </c>
      <c r="K42" s="38" t="e">
        <f t="shared" si="0"/>
        <v>#NUM!</v>
      </c>
      <c r="L42" s="38"/>
      <c r="M42" s="40">
        <f t="shared" si="1"/>
        <v>0</v>
      </c>
      <c r="N42" s="218" t="s">
        <v>74</v>
      </c>
      <c r="O42" s="218" t="s">
        <v>74</v>
      </c>
      <c r="P42" s="219" t="s">
        <v>74</v>
      </c>
      <c r="Q42" s="220" t="s">
        <v>74</v>
      </c>
      <c r="R42" s="220" t="s">
        <v>74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3"/>
        <v/>
      </c>
      <c r="J43" s="44" t="e">
        <f t="shared" si="4"/>
        <v>#NUM!</v>
      </c>
      <c r="K43" s="44" t="e">
        <f t="shared" si="0"/>
        <v>#NUM!</v>
      </c>
      <c r="L43" s="44"/>
      <c r="M43" s="46">
        <f t="shared" si="1"/>
        <v>0</v>
      </c>
      <c r="N43" s="218" t="s">
        <v>74</v>
      </c>
      <c r="O43" s="218" t="s">
        <v>74</v>
      </c>
      <c r="P43" s="219" t="s">
        <v>74</v>
      </c>
      <c r="Q43" s="220" t="s">
        <v>74</v>
      </c>
      <c r="R43" s="220" t="s">
        <v>74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3"/>
        <v/>
      </c>
      <c r="J44" s="38" t="e">
        <f t="shared" si="4"/>
        <v>#NUM!</v>
      </c>
      <c r="K44" s="38" t="e">
        <f t="shared" si="0"/>
        <v>#NUM!</v>
      </c>
      <c r="L44" s="38"/>
      <c r="M44" s="40">
        <f t="shared" si="1"/>
        <v>0</v>
      </c>
      <c r="N44" s="218" t="s">
        <v>74</v>
      </c>
      <c r="O44" s="218" t="s">
        <v>74</v>
      </c>
      <c r="P44" s="219" t="s">
        <v>74</v>
      </c>
      <c r="Q44" s="220" t="s">
        <v>74</v>
      </c>
      <c r="R44" s="220" t="s">
        <v>74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3"/>
        <v/>
      </c>
      <c r="J45" s="44" t="e">
        <f t="shared" si="4"/>
        <v>#NUM!</v>
      </c>
      <c r="K45" s="44" t="e">
        <f t="shared" si="0"/>
        <v>#NUM!</v>
      </c>
      <c r="L45" s="44"/>
      <c r="M45" s="46">
        <f t="shared" si="1"/>
        <v>0</v>
      </c>
      <c r="N45" s="218" t="s">
        <v>74</v>
      </c>
      <c r="O45" s="218" t="s">
        <v>74</v>
      </c>
      <c r="P45" s="219" t="s">
        <v>74</v>
      </c>
      <c r="Q45" s="220" t="s">
        <v>74</v>
      </c>
      <c r="R45" s="220" t="s">
        <v>74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3"/>
        <v/>
      </c>
      <c r="J46" s="38" t="e">
        <f t="shared" si="4"/>
        <v>#NUM!</v>
      </c>
      <c r="K46" s="38" t="e">
        <f t="shared" si="0"/>
        <v>#NUM!</v>
      </c>
      <c r="L46" s="38"/>
      <c r="M46" s="40">
        <f t="shared" si="1"/>
        <v>0</v>
      </c>
      <c r="N46" s="218" t="s">
        <v>74</v>
      </c>
      <c r="O46" s="218" t="s">
        <v>74</v>
      </c>
      <c r="P46" s="219" t="s">
        <v>74</v>
      </c>
      <c r="Q46" s="226">
        <v>21186</v>
      </c>
      <c r="R46" s="220" t="s">
        <v>74</v>
      </c>
      <c r="T46" s="21">
        <f>LOG(H38,2)</f>
        <v>5.0443941193584534</v>
      </c>
      <c r="U46" s="21" t="e">
        <f>R46-T46</f>
        <v>#VALUE!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3"/>
        <v/>
      </c>
      <c r="J47" s="44" t="e">
        <f t="shared" si="4"/>
        <v>#NUM!</v>
      </c>
      <c r="K47" s="44" t="e">
        <f t="shared" si="0"/>
        <v>#NUM!</v>
      </c>
      <c r="L47" s="44"/>
      <c r="M47" s="46">
        <f t="shared" si="1"/>
        <v>0</v>
      </c>
      <c r="N47" s="218" t="s">
        <v>74</v>
      </c>
      <c r="O47" s="218" t="s">
        <v>74</v>
      </c>
      <c r="P47" s="219" t="s">
        <v>74</v>
      </c>
      <c r="Q47" s="220" t="s">
        <v>74</v>
      </c>
      <c r="R47" s="220" t="s">
        <v>74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3"/>
        <v/>
      </c>
      <c r="J48" s="38" t="e">
        <f t="shared" si="4"/>
        <v>#NUM!</v>
      </c>
      <c r="K48" s="38" t="e">
        <f t="shared" si="0"/>
        <v>#NUM!</v>
      </c>
      <c r="L48" s="38"/>
      <c r="M48" s="40">
        <f t="shared" si="1"/>
        <v>0</v>
      </c>
      <c r="N48" s="218" t="s">
        <v>74</v>
      </c>
      <c r="O48" s="218" t="s">
        <v>74</v>
      </c>
      <c r="P48" s="219" t="s">
        <v>74</v>
      </c>
      <c r="Q48" s="220" t="s">
        <v>74</v>
      </c>
      <c r="R48" s="220" t="s">
        <v>74</v>
      </c>
    </row>
    <row r="49" spans="1:18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3"/>
        <v/>
      </c>
      <c r="J49" s="44" t="e">
        <f t="shared" si="4"/>
        <v>#NUM!</v>
      </c>
      <c r="K49" s="44" t="e">
        <f t="shared" si="0"/>
        <v>#NUM!</v>
      </c>
      <c r="L49" s="44"/>
      <c r="M49" s="46">
        <f t="shared" si="1"/>
        <v>0</v>
      </c>
      <c r="N49" s="218" t="s">
        <v>74</v>
      </c>
      <c r="O49" s="218" t="s">
        <v>74</v>
      </c>
      <c r="P49" s="219" t="s">
        <v>74</v>
      </c>
      <c r="Q49" s="220" t="s">
        <v>74</v>
      </c>
      <c r="R49" s="220" t="s">
        <v>74</v>
      </c>
    </row>
    <row r="50" spans="1:18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3"/>
        <v/>
      </c>
      <c r="J50" s="38" t="e">
        <f t="shared" si="4"/>
        <v>#NUM!</v>
      </c>
      <c r="K50" s="38" t="e">
        <f t="shared" si="0"/>
        <v>#NUM!</v>
      </c>
      <c r="L50" s="38"/>
      <c r="M50" s="40">
        <f t="shared" si="1"/>
        <v>0</v>
      </c>
      <c r="N50" s="218" t="s">
        <v>74</v>
      </c>
      <c r="O50" s="218" t="s">
        <v>74</v>
      </c>
      <c r="P50" s="219" t="s">
        <v>74</v>
      </c>
      <c r="Q50" s="220" t="s">
        <v>74</v>
      </c>
      <c r="R50" s="220" t="s">
        <v>74</v>
      </c>
    </row>
    <row r="51" spans="1:18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3"/>
        <v/>
      </c>
      <c r="J51" s="44" t="e">
        <f t="shared" si="4"/>
        <v>#NUM!</v>
      </c>
      <c r="K51" s="44" t="e">
        <f t="shared" si="0"/>
        <v>#NUM!</v>
      </c>
      <c r="L51" s="44"/>
      <c r="M51" s="46">
        <f t="shared" si="1"/>
        <v>0</v>
      </c>
      <c r="N51" s="218" t="s">
        <v>74</v>
      </c>
      <c r="O51" s="218" t="s">
        <v>74</v>
      </c>
      <c r="P51" s="219" t="s">
        <v>74</v>
      </c>
      <c r="Q51" s="220" t="s">
        <v>74</v>
      </c>
      <c r="R51" s="220" t="s">
        <v>74</v>
      </c>
    </row>
    <row r="52" spans="1:18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3"/>
        <v/>
      </c>
      <c r="J52" s="38" t="e">
        <f t="shared" si="4"/>
        <v>#NUM!</v>
      </c>
      <c r="K52" s="38" t="e">
        <f t="shared" si="0"/>
        <v>#NUM!</v>
      </c>
      <c r="L52" s="38"/>
      <c r="M52" s="40">
        <f t="shared" si="1"/>
        <v>0</v>
      </c>
      <c r="N52" s="218" t="s">
        <v>74</v>
      </c>
      <c r="O52" s="218" t="s">
        <v>74</v>
      </c>
      <c r="P52" s="219" t="s">
        <v>74</v>
      </c>
      <c r="Q52" s="220" t="s">
        <v>74</v>
      </c>
      <c r="R52" s="220" t="s">
        <v>74</v>
      </c>
    </row>
    <row r="53" spans="1:18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3"/>
        <v/>
      </c>
      <c r="J53" s="44" t="e">
        <f t="shared" si="4"/>
        <v>#NUM!</v>
      </c>
      <c r="K53" s="44" t="e">
        <f t="shared" si="0"/>
        <v>#NUM!</v>
      </c>
      <c r="L53" s="44"/>
      <c r="M53" s="46">
        <f t="shared" si="1"/>
        <v>0</v>
      </c>
      <c r="N53" s="218" t="s">
        <v>74</v>
      </c>
      <c r="O53" s="218" t="s">
        <v>74</v>
      </c>
      <c r="P53" s="219" t="s">
        <v>74</v>
      </c>
      <c r="Q53" s="220" t="s">
        <v>74</v>
      </c>
      <c r="R53" s="220" t="s">
        <v>74</v>
      </c>
    </row>
    <row r="54" spans="1:18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3"/>
        <v/>
      </c>
      <c r="J54" s="38" t="e">
        <f t="shared" si="4"/>
        <v>#NUM!</v>
      </c>
      <c r="K54" s="38" t="e">
        <f t="shared" si="0"/>
        <v>#NUM!</v>
      </c>
      <c r="L54" s="38"/>
      <c r="M54" s="40">
        <f t="shared" si="1"/>
        <v>0</v>
      </c>
      <c r="N54" s="218" t="s">
        <v>74</v>
      </c>
      <c r="O54" s="218" t="s">
        <v>74</v>
      </c>
      <c r="P54" s="219" t="s">
        <v>74</v>
      </c>
      <c r="Q54" s="220" t="s">
        <v>74</v>
      </c>
      <c r="R54" s="220" t="s">
        <v>74</v>
      </c>
    </row>
    <row r="55" spans="1:18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3"/>
        <v/>
      </c>
      <c r="J55" s="44" t="e">
        <f t="shared" si="4"/>
        <v>#NUM!</v>
      </c>
      <c r="K55" s="44" t="e">
        <f t="shared" si="0"/>
        <v>#NUM!</v>
      </c>
      <c r="L55" s="44"/>
      <c r="M55" s="46">
        <f t="shared" si="1"/>
        <v>0</v>
      </c>
      <c r="N55" s="218" t="s">
        <v>74</v>
      </c>
      <c r="O55" s="218" t="s">
        <v>74</v>
      </c>
      <c r="P55" s="219" t="s">
        <v>74</v>
      </c>
      <c r="Q55" s="220" t="s">
        <v>74</v>
      </c>
      <c r="R55" s="220" t="s">
        <v>74</v>
      </c>
    </row>
    <row r="56" spans="1:18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3"/>
        <v/>
      </c>
      <c r="J56" s="38" t="e">
        <f t="shared" si="4"/>
        <v>#NUM!</v>
      </c>
      <c r="K56" s="38" t="e">
        <f t="shared" si="0"/>
        <v>#NUM!</v>
      </c>
      <c r="L56" s="38"/>
      <c r="M56" s="40">
        <f t="shared" si="1"/>
        <v>0</v>
      </c>
      <c r="N56" s="218" t="s">
        <v>74</v>
      </c>
      <c r="O56" s="218" t="s">
        <v>74</v>
      </c>
      <c r="P56" s="219" t="s">
        <v>74</v>
      </c>
      <c r="Q56" s="220" t="s">
        <v>74</v>
      </c>
      <c r="R56" s="220" t="s">
        <v>74</v>
      </c>
    </row>
    <row r="57" spans="1:18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3"/>
        <v/>
      </c>
      <c r="J57" s="44" t="e">
        <f t="shared" si="4"/>
        <v>#NUM!</v>
      </c>
      <c r="K57" s="44" t="e">
        <f t="shared" si="0"/>
        <v>#NUM!</v>
      </c>
      <c r="L57" s="44"/>
      <c r="M57" s="46">
        <f t="shared" si="1"/>
        <v>0</v>
      </c>
      <c r="N57" s="218" t="s">
        <v>74</v>
      </c>
      <c r="O57" s="218" t="s">
        <v>74</v>
      </c>
      <c r="P57" s="219" t="s">
        <v>74</v>
      </c>
      <c r="Q57" s="220" t="s">
        <v>74</v>
      </c>
      <c r="R57" s="220" t="s">
        <v>74</v>
      </c>
    </row>
    <row r="58" spans="1:18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3"/>
        <v/>
      </c>
      <c r="J58" s="38" t="e">
        <f t="shared" si="4"/>
        <v>#NUM!</v>
      </c>
      <c r="K58" s="38" t="e">
        <f t="shared" si="0"/>
        <v>#NUM!</v>
      </c>
      <c r="L58" s="38"/>
      <c r="M58" s="40">
        <f t="shared" si="1"/>
        <v>0</v>
      </c>
      <c r="N58" s="218" t="s">
        <v>74</v>
      </c>
      <c r="O58" s="218" t="s">
        <v>74</v>
      </c>
      <c r="P58" s="219" t="s">
        <v>74</v>
      </c>
      <c r="Q58" s="220" t="s">
        <v>74</v>
      </c>
      <c r="R58" s="220" t="s">
        <v>74</v>
      </c>
    </row>
    <row r="59" spans="1:18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3"/>
        <v/>
      </c>
      <c r="J59" s="44" t="e">
        <f t="shared" si="4"/>
        <v>#NUM!</v>
      </c>
      <c r="K59" s="44" t="e">
        <f t="shared" si="0"/>
        <v>#NUM!</v>
      </c>
      <c r="L59" s="44"/>
      <c r="M59" s="46">
        <f t="shared" si="1"/>
        <v>0</v>
      </c>
      <c r="N59" s="218" t="s">
        <v>74</v>
      </c>
      <c r="O59" s="218" t="s">
        <v>74</v>
      </c>
      <c r="P59" s="219" t="s">
        <v>74</v>
      </c>
      <c r="Q59" s="220" t="s">
        <v>74</v>
      </c>
      <c r="R59" s="220" t="s">
        <v>74</v>
      </c>
    </row>
    <row r="60" spans="1:18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3"/>
        <v/>
      </c>
      <c r="J60" s="38" t="e">
        <f t="shared" si="4"/>
        <v>#NUM!</v>
      </c>
      <c r="K60" s="38" t="e">
        <f t="shared" si="0"/>
        <v>#NUM!</v>
      </c>
      <c r="L60" s="38"/>
      <c r="M60" s="40">
        <f t="shared" si="1"/>
        <v>0</v>
      </c>
      <c r="N60" s="218" t="s">
        <v>74</v>
      </c>
      <c r="O60" s="218" t="s">
        <v>74</v>
      </c>
      <c r="P60" s="219" t="s">
        <v>74</v>
      </c>
      <c r="Q60" s="220" t="s">
        <v>74</v>
      </c>
      <c r="R60" s="220" t="s">
        <v>74</v>
      </c>
    </row>
    <row r="61" spans="1:18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3"/>
        <v/>
      </c>
      <c r="J61" s="44" t="e">
        <f t="shared" si="4"/>
        <v>#NUM!</v>
      </c>
      <c r="K61" s="44" t="e">
        <f t="shared" si="0"/>
        <v>#NUM!</v>
      </c>
      <c r="L61" s="44"/>
      <c r="M61" s="46">
        <f t="shared" si="1"/>
        <v>0</v>
      </c>
      <c r="N61" s="218" t="s">
        <v>74</v>
      </c>
      <c r="O61" s="218" t="s">
        <v>74</v>
      </c>
      <c r="P61" s="219" t="s">
        <v>74</v>
      </c>
      <c r="Q61" s="220" t="s">
        <v>74</v>
      </c>
      <c r="R61" s="220" t="s">
        <v>74</v>
      </c>
    </row>
    <row r="62" spans="1:18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3"/>
        <v/>
      </c>
      <c r="J62" s="38" t="e">
        <f t="shared" si="4"/>
        <v>#NUM!</v>
      </c>
      <c r="K62" s="38" t="e">
        <f t="shared" si="0"/>
        <v>#NUM!</v>
      </c>
      <c r="L62" s="38"/>
      <c r="M62" s="40">
        <f t="shared" si="1"/>
        <v>0</v>
      </c>
      <c r="N62" s="218" t="s">
        <v>74</v>
      </c>
      <c r="O62" s="218" t="s">
        <v>74</v>
      </c>
      <c r="P62" s="219" t="s">
        <v>74</v>
      </c>
      <c r="Q62" s="220" t="s">
        <v>74</v>
      </c>
      <c r="R62" s="220" t="s">
        <v>74</v>
      </c>
    </row>
    <row r="63" spans="1:18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3"/>
        <v/>
      </c>
      <c r="J63" s="44" t="e">
        <f t="shared" si="4"/>
        <v>#NUM!</v>
      </c>
      <c r="K63" s="44" t="e">
        <f t="shared" si="0"/>
        <v>#NUM!</v>
      </c>
      <c r="L63" s="44"/>
      <c r="M63" s="46">
        <f t="shared" si="1"/>
        <v>0</v>
      </c>
      <c r="N63" s="218" t="s">
        <v>74</v>
      </c>
      <c r="O63" s="218" t="s">
        <v>74</v>
      </c>
      <c r="P63" s="219" t="s">
        <v>74</v>
      </c>
      <c r="Q63" s="220" t="s">
        <v>74</v>
      </c>
      <c r="R63" s="220" t="s">
        <v>74</v>
      </c>
    </row>
    <row r="64" spans="1:18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3"/>
        <v/>
      </c>
      <c r="J64" s="38" t="e">
        <f t="shared" si="4"/>
        <v>#NUM!</v>
      </c>
      <c r="K64" s="38" t="e">
        <f t="shared" si="0"/>
        <v>#NUM!</v>
      </c>
      <c r="L64" s="38"/>
      <c r="M64" s="40">
        <f t="shared" si="1"/>
        <v>0</v>
      </c>
      <c r="N64" s="218" t="s">
        <v>74</v>
      </c>
      <c r="O64" s="218" t="s">
        <v>74</v>
      </c>
      <c r="P64" s="219" t="s">
        <v>74</v>
      </c>
      <c r="Q64" s="220" t="s">
        <v>74</v>
      </c>
      <c r="R64" s="220" t="s">
        <v>74</v>
      </c>
    </row>
    <row r="65" spans="1:18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3"/>
        <v/>
      </c>
      <c r="J65" s="44" t="e">
        <f t="shared" si="4"/>
        <v>#NUM!</v>
      </c>
      <c r="K65" s="44" t="e">
        <f t="shared" si="0"/>
        <v>#NUM!</v>
      </c>
      <c r="L65" s="44"/>
      <c r="M65" s="46">
        <f t="shared" si="1"/>
        <v>0</v>
      </c>
      <c r="N65" s="218" t="s">
        <v>74</v>
      </c>
      <c r="O65" s="218" t="s">
        <v>74</v>
      </c>
      <c r="P65" s="219" t="s">
        <v>74</v>
      </c>
      <c r="Q65" s="220" t="s">
        <v>74</v>
      </c>
      <c r="R65" s="220" t="s">
        <v>74</v>
      </c>
    </row>
    <row r="66" spans="1:18" x14ac:dyDescent="0.25">
      <c r="A66" s="59"/>
      <c r="B66" s="36"/>
      <c r="G66" s="16"/>
      <c r="H66" s="38">
        <v>61</v>
      </c>
      <c r="I66" s="39" t="str">
        <f t="shared" si="3"/>
        <v/>
      </c>
      <c r="J66" s="38" t="e">
        <f t="shared" si="4"/>
        <v>#NUM!</v>
      </c>
      <c r="K66" s="38" t="e">
        <f t="shared" si="0"/>
        <v>#NUM!</v>
      </c>
      <c r="L66" s="38"/>
      <c r="M66" s="40">
        <f t="shared" si="1"/>
        <v>0</v>
      </c>
      <c r="N66" s="218" t="s">
        <v>74</v>
      </c>
      <c r="O66" s="218" t="s">
        <v>74</v>
      </c>
      <c r="P66" s="219" t="s">
        <v>74</v>
      </c>
      <c r="Q66" s="220" t="s">
        <v>74</v>
      </c>
      <c r="R66" s="220" t="s">
        <v>74</v>
      </c>
    </row>
    <row r="67" spans="1:18" x14ac:dyDescent="0.25">
      <c r="A67" s="59"/>
      <c r="B67" s="42"/>
      <c r="G67" s="16"/>
      <c r="H67" s="38">
        <v>62</v>
      </c>
      <c r="I67" s="39" t="str">
        <f t="shared" si="3"/>
        <v/>
      </c>
      <c r="J67" s="38" t="e">
        <f t="shared" si="4"/>
        <v>#NUM!</v>
      </c>
      <c r="K67" s="38" t="e">
        <f t="shared" si="0"/>
        <v>#NUM!</v>
      </c>
      <c r="L67" s="38"/>
      <c r="M67" s="40">
        <f t="shared" si="1"/>
        <v>0</v>
      </c>
      <c r="N67" s="218" t="s">
        <v>74</v>
      </c>
      <c r="O67" s="218" t="s">
        <v>74</v>
      </c>
      <c r="P67" s="219" t="s">
        <v>74</v>
      </c>
      <c r="Q67" s="220" t="s">
        <v>74</v>
      </c>
      <c r="R67" s="220" t="s">
        <v>74</v>
      </c>
    </row>
    <row r="68" spans="1:18" x14ac:dyDescent="0.25">
      <c r="A68" s="59"/>
      <c r="B68" s="36"/>
      <c r="G68" s="16"/>
      <c r="H68" s="38">
        <v>63</v>
      </c>
      <c r="I68" s="39" t="str">
        <f t="shared" si="3"/>
        <v/>
      </c>
      <c r="J68" s="38" t="e">
        <f t="shared" si="4"/>
        <v>#NUM!</v>
      </c>
      <c r="K68" s="38" t="e">
        <f t="shared" si="0"/>
        <v>#NUM!</v>
      </c>
      <c r="L68" s="38"/>
      <c r="M68" s="40">
        <f t="shared" si="1"/>
        <v>0</v>
      </c>
      <c r="N68" s="218" t="s">
        <v>74</v>
      </c>
      <c r="O68" s="218" t="s">
        <v>74</v>
      </c>
      <c r="P68" s="219" t="s">
        <v>74</v>
      </c>
      <c r="Q68" s="220" t="s">
        <v>74</v>
      </c>
      <c r="R68" s="220" t="s">
        <v>74</v>
      </c>
    </row>
    <row r="69" spans="1:18" x14ac:dyDescent="0.25">
      <c r="A69" s="59"/>
      <c r="B69" s="42"/>
      <c r="G69" s="16"/>
      <c r="H69" s="38">
        <v>64</v>
      </c>
      <c r="I69" s="39" t="str">
        <f t="shared" si="3"/>
        <v/>
      </c>
      <c r="J69" s="38" t="e">
        <f t="shared" si="4"/>
        <v>#NUM!</v>
      </c>
      <c r="K69" s="38" t="e">
        <f t="shared" si="0"/>
        <v>#NUM!</v>
      </c>
      <c r="L69" s="38"/>
      <c r="M69" s="40">
        <f t="shared" si="1"/>
        <v>0</v>
      </c>
      <c r="N69" s="218" t="s">
        <v>74</v>
      </c>
      <c r="O69" s="218" t="s">
        <v>74</v>
      </c>
      <c r="P69" s="219" t="s">
        <v>74</v>
      </c>
      <c r="Q69" s="220" t="s">
        <v>74</v>
      </c>
      <c r="R69" s="220" t="s">
        <v>74</v>
      </c>
    </row>
    <row r="70" spans="1:18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4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  <c r="N70" s="218" t="s">
        <v>74</v>
      </c>
      <c r="O70" s="218" t="s">
        <v>74</v>
      </c>
      <c r="P70" s="219" t="s">
        <v>74</v>
      </c>
      <c r="Q70" s="220" t="s">
        <v>74</v>
      </c>
      <c r="R70" s="220" t="s">
        <v>74</v>
      </c>
    </row>
    <row r="71" spans="1:18" x14ac:dyDescent="0.25">
      <c r="A71" s="59"/>
      <c r="G71" s="16"/>
      <c r="H71" s="38">
        <v>66</v>
      </c>
      <c r="I71" s="39" t="str">
        <f t="shared" si="7"/>
        <v/>
      </c>
      <c r="J71" s="38" t="e">
        <f t="shared" ref="J71:J126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  <c r="N71" s="218" t="s">
        <v>74</v>
      </c>
      <c r="O71" s="218" t="s">
        <v>74</v>
      </c>
      <c r="P71" s="219" t="s">
        <v>74</v>
      </c>
      <c r="Q71" s="220" t="s">
        <v>74</v>
      </c>
      <c r="R71" s="220" t="s">
        <v>74</v>
      </c>
    </row>
    <row r="72" spans="1:18" x14ac:dyDescent="0.25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  <c r="N72" s="218" t="s">
        <v>74</v>
      </c>
      <c r="O72" s="218" t="s">
        <v>74</v>
      </c>
      <c r="P72" s="219" t="s">
        <v>74</v>
      </c>
      <c r="Q72" s="220" t="s">
        <v>74</v>
      </c>
      <c r="R72" s="220" t="s">
        <v>74</v>
      </c>
    </row>
    <row r="73" spans="1:18" x14ac:dyDescent="0.25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  <c r="N73" s="218" t="s">
        <v>74</v>
      </c>
      <c r="O73" s="218" t="s">
        <v>74</v>
      </c>
      <c r="P73" s="219" t="s">
        <v>74</v>
      </c>
      <c r="Q73" s="220" t="s">
        <v>74</v>
      </c>
      <c r="R73" s="220" t="s">
        <v>74</v>
      </c>
    </row>
    <row r="74" spans="1:18" x14ac:dyDescent="0.25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  <c r="N74" s="218" t="s">
        <v>74</v>
      </c>
      <c r="O74" s="218" t="s">
        <v>74</v>
      </c>
      <c r="P74" s="219" t="s">
        <v>74</v>
      </c>
      <c r="Q74" s="220" t="s">
        <v>74</v>
      </c>
      <c r="R74" s="220" t="s">
        <v>74</v>
      </c>
    </row>
    <row r="75" spans="1:18" x14ac:dyDescent="0.25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  <c r="N75" s="218" t="s">
        <v>74</v>
      </c>
      <c r="O75" s="218" t="s">
        <v>74</v>
      </c>
      <c r="P75" s="219" t="s">
        <v>74</v>
      </c>
      <c r="Q75" s="220" t="s">
        <v>74</v>
      </c>
      <c r="R75" s="220" t="s">
        <v>74</v>
      </c>
    </row>
    <row r="76" spans="1:18" x14ac:dyDescent="0.25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  <c r="N76" s="218" t="s">
        <v>74</v>
      </c>
      <c r="O76" s="218" t="s">
        <v>74</v>
      </c>
      <c r="P76" s="219" t="s">
        <v>74</v>
      </c>
      <c r="Q76" s="220" t="s">
        <v>74</v>
      </c>
      <c r="R76" s="220" t="s">
        <v>74</v>
      </c>
    </row>
    <row r="77" spans="1:18" x14ac:dyDescent="0.25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  <c r="N77" s="218" t="s">
        <v>74</v>
      </c>
      <c r="O77" s="218" t="s">
        <v>74</v>
      </c>
      <c r="P77" s="219" t="s">
        <v>74</v>
      </c>
      <c r="Q77" s="220" t="s">
        <v>74</v>
      </c>
      <c r="R77" s="220" t="s">
        <v>74</v>
      </c>
    </row>
    <row r="78" spans="1:18" x14ac:dyDescent="0.25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  <c r="N78" s="218" t="s">
        <v>74</v>
      </c>
      <c r="O78" s="218" t="s">
        <v>74</v>
      </c>
      <c r="P78" s="219" t="s">
        <v>74</v>
      </c>
      <c r="Q78" s="220" t="s">
        <v>74</v>
      </c>
      <c r="R78" s="220" t="s">
        <v>74</v>
      </c>
    </row>
    <row r="79" spans="1:18" x14ac:dyDescent="0.25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  <c r="N79" s="218" t="s">
        <v>74</v>
      </c>
      <c r="O79" s="218" t="s">
        <v>74</v>
      </c>
      <c r="P79" s="219" t="s">
        <v>74</v>
      </c>
      <c r="Q79" s="220" t="s">
        <v>74</v>
      </c>
      <c r="R79" s="220" t="s">
        <v>74</v>
      </c>
    </row>
    <row r="80" spans="1:18" x14ac:dyDescent="0.25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  <c r="N80" s="218" t="s">
        <v>74</v>
      </c>
      <c r="O80" s="218" t="s">
        <v>74</v>
      </c>
      <c r="P80" s="219" t="s">
        <v>74</v>
      </c>
      <c r="Q80" s="220" t="s">
        <v>74</v>
      </c>
      <c r="R80" s="220" t="s">
        <v>74</v>
      </c>
    </row>
    <row r="81" spans="1:18" x14ac:dyDescent="0.25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  <c r="N81" s="218" t="s">
        <v>74</v>
      </c>
      <c r="O81" s="218" t="s">
        <v>74</v>
      </c>
      <c r="P81" s="219" t="s">
        <v>74</v>
      </c>
      <c r="Q81" s="220" t="s">
        <v>74</v>
      </c>
      <c r="R81" s="220" t="s">
        <v>74</v>
      </c>
    </row>
    <row r="82" spans="1:18" x14ac:dyDescent="0.25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  <c r="N82" s="218" t="s">
        <v>74</v>
      </c>
      <c r="O82" s="218" t="s">
        <v>74</v>
      </c>
      <c r="P82" s="219" t="s">
        <v>74</v>
      </c>
      <c r="Q82" s="220" t="s">
        <v>74</v>
      </c>
      <c r="R82" s="220" t="s">
        <v>74</v>
      </c>
    </row>
    <row r="83" spans="1:18" x14ac:dyDescent="0.25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  <c r="N83" s="218" t="s">
        <v>74</v>
      </c>
      <c r="O83" s="218" t="s">
        <v>74</v>
      </c>
      <c r="P83" s="219" t="s">
        <v>74</v>
      </c>
      <c r="Q83" s="220" t="s">
        <v>74</v>
      </c>
      <c r="R83" s="220" t="s">
        <v>74</v>
      </c>
    </row>
    <row r="84" spans="1:18" x14ac:dyDescent="0.25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  <c r="N84" s="218" t="s">
        <v>74</v>
      </c>
      <c r="O84" s="218" t="s">
        <v>74</v>
      </c>
      <c r="P84" s="219" t="s">
        <v>74</v>
      </c>
      <c r="Q84" s="220" t="s">
        <v>74</v>
      </c>
      <c r="R84" s="220" t="s">
        <v>74</v>
      </c>
    </row>
    <row r="85" spans="1:18" x14ac:dyDescent="0.25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  <c r="N85" s="218" t="s">
        <v>74</v>
      </c>
      <c r="O85" s="218" t="s">
        <v>74</v>
      </c>
      <c r="P85" s="219" t="s">
        <v>74</v>
      </c>
      <c r="Q85" s="220" t="s">
        <v>74</v>
      </c>
      <c r="R85" s="220" t="s">
        <v>74</v>
      </c>
    </row>
    <row r="86" spans="1:18" x14ac:dyDescent="0.25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  <c r="N86" s="218" t="s">
        <v>74</v>
      </c>
      <c r="O86" s="218" t="s">
        <v>74</v>
      </c>
      <c r="P86" s="219" t="s">
        <v>74</v>
      </c>
      <c r="Q86" s="220" t="s">
        <v>74</v>
      </c>
      <c r="R86" s="220" t="s">
        <v>74</v>
      </c>
    </row>
    <row r="87" spans="1:18" x14ac:dyDescent="0.25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  <c r="N87" s="218" t="s">
        <v>74</v>
      </c>
      <c r="O87" s="218" t="s">
        <v>74</v>
      </c>
      <c r="P87" s="219" t="s">
        <v>74</v>
      </c>
      <c r="Q87" s="220" t="s">
        <v>74</v>
      </c>
      <c r="R87" s="220" t="s">
        <v>74</v>
      </c>
    </row>
    <row r="88" spans="1:18" x14ac:dyDescent="0.25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  <c r="N88" s="218" t="s">
        <v>74</v>
      </c>
      <c r="O88" s="218" t="s">
        <v>74</v>
      </c>
      <c r="P88" s="219" t="s">
        <v>74</v>
      </c>
      <c r="Q88" s="220" t="s">
        <v>74</v>
      </c>
      <c r="R88" s="220" t="s">
        <v>74</v>
      </c>
    </row>
    <row r="89" spans="1:18" x14ac:dyDescent="0.25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  <c r="N89" s="218" t="s">
        <v>74</v>
      </c>
      <c r="O89" s="218" t="s">
        <v>74</v>
      </c>
      <c r="P89" s="219" t="s">
        <v>74</v>
      </c>
      <c r="Q89" s="220" t="s">
        <v>74</v>
      </c>
      <c r="R89" s="220" t="s">
        <v>74</v>
      </c>
    </row>
    <row r="90" spans="1:18" x14ac:dyDescent="0.25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  <c r="N90" s="218" t="s">
        <v>74</v>
      </c>
      <c r="O90" s="218" t="s">
        <v>74</v>
      </c>
      <c r="P90" s="219" t="s">
        <v>74</v>
      </c>
      <c r="Q90" s="220" t="s">
        <v>74</v>
      </c>
      <c r="R90" s="220" t="s">
        <v>74</v>
      </c>
    </row>
    <row r="91" spans="1:18" x14ac:dyDescent="0.25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  <c r="N91" s="218" t="s">
        <v>74</v>
      </c>
      <c r="O91" s="218" t="s">
        <v>74</v>
      </c>
      <c r="P91" s="219" t="s">
        <v>74</v>
      </c>
      <c r="Q91" s="220" t="s">
        <v>74</v>
      </c>
      <c r="R91" s="220" t="s">
        <v>74</v>
      </c>
    </row>
    <row r="92" spans="1:18" x14ac:dyDescent="0.25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  <c r="N92" s="218" t="s">
        <v>74</v>
      </c>
      <c r="O92" s="218" t="s">
        <v>74</v>
      </c>
      <c r="P92" s="219" t="s">
        <v>74</v>
      </c>
      <c r="Q92" s="220" t="s">
        <v>74</v>
      </c>
      <c r="R92" s="220" t="s">
        <v>74</v>
      </c>
    </row>
    <row r="93" spans="1:18" x14ac:dyDescent="0.25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  <c r="N93" s="218" t="s">
        <v>74</v>
      </c>
      <c r="O93" s="218" t="s">
        <v>74</v>
      </c>
      <c r="P93" s="219" t="s">
        <v>74</v>
      </c>
      <c r="Q93" s="220" t="s">
        <v>74</v>
      </c>
      <c r="R93" s="220" t="s">
        <v>74</v>
      </c>
    </row>
    <row r="94" spans="1:18" x14ac:dyDescent="0.25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  <c r="N94" s="218" t="s">
        <v>74</v>
      </c>
      <c r="O94" s="218" t="s">
        <v>74</v>
      </c>
      <c r="P94" s="219" t="s">
        <v>74</v>
      </c>
      <c r="Q94" s="220" t="s">
        <v>74</v>
      </c>
      <c r="R94" s="220" t="s">
        <v>74</v>
      </c>
    </row>
    <row r="95" spans="1:18" x14ac:dyDescent="0.25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  <c r="N95" s="218" t="s">
        <v>74</v>
      </c>
      <c r="O95" s="218" t="s">
        <v>74</v>
      </c>
      <c r="P95" s="219" t="s">
        <v>74</v>
      </c>
      <c r="Q95" s="220" t="s">
        <v>74</v>
      </c>
      <c r="R95" s="220" t="s">
        <v>74</v>
      </c>
    </row>
    <row r="96" spans="1:18" x14ac:dyDescent="0.25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  <c r="N96" s="218" t="s">
        <v>74</v>
      </c>
      <c r="O96" s="218" t="s">
        <v>74</v>
      </c>
      <c r="P96" s="219" t="s">
        <v>74</v>
      </c>
      <c r="Q96" s="220" t="s">
        <v>74</v>
      </c>
      <c r="R96" s="220" t="s">
        <v>74</v>
      </c>
    </row>
    <row r="97" spans="1:18" x14ac:dyDescent="0.25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  <c r="N97" s="218" t="s">
        <v>74</v>
      </c>
      <c r="O97" s="218" t="s">
        <v>74</v>
      </c>
      <c r="P97" s="219" t="s">
        <v>74</v>
      </c>
      <c r="Q97" s="220" t="s">
        <v>74</v>
      </c>
      <c r="R97" s="220" t="s">
        <v>74</v>
      </c>
    </row>
    <row r="98" spans="1:18" x14ac:dyDescent="0.25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  <c r="N98" s="218" t="s">
        <v>74</v>
      </c>
      <c r="O98" s="218" t="s">
        <v>74</v>
      </c>
      <c r="P98" s="219" t="s">
        <v>74</v>
      </c>
      <c r="Q98" s="220" t="s">
        <v>74</v>
      </c>
      <c r="R98" s="220" t="s">
        <v>74</v>
      </c>
    </row>
    <row r="99" spans="1:18" x14ac:dyDescent="0.25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  <c r="N99" s="218" t="s">
        <v>74</v>
      </c>
      <c r="O99" s="218" t="s">
        <v>74</v>
      </c>
      <c r="P99" s="219" t="s">
        <v>74</v>
      </c>
      <c r="Q99" s="220" t="s">
        <v>74</v>
      </c>
      <c r="R99" s="220" t="s">
        <v>74</v>
      </c>
    </row>
    <row r="100" spans="1:18" x14ac:dyDescent="0.25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  <c r="N100" s="218" t="s">
        <v>74</v>
      </c>
      <c r="O100" s="218" t="s">
        <v>74</v>
      </c>
      <c r="P100" s="219" t="s">
        <v>74</v>
      </c>
      <c r="Q100" s="220" t="s">
        <v>74</v>
      </c>
      <c r="R100" s="220" t="s">
        <v>74</v>
      </c>
    </row>
    <row r="101" spans="1:18" x14ac:dyDescent="0.25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  <c r="N101" s="218" t="s">
        <v>74</v>
      </c>
      <c r="O101" s="218" t="s">
        <v>74</v>
      </c>
      <c r="P101" s="219" t="s">
        <v>74</v>
      </c>
      <c r="Q101" s="220" t="s">
        <v>74</v>
      </c>
      <c r="R101" s="220" t="s">
        <v>74</v>
      </c>
    </row>
    <row r="102" spans="1:18" x14ac:dyDescent="0.25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  <c r="N102" s="218" t="s">
        <v>74</v>
      </c>
      <c r="O102" s="218" t="s">
        <v>74</v>
      </c>
      <c r="P102" s="219" t="s">
        <v>74</v>
      </c>
      <c r="Q102" s="220" t="s">
        <v>74</v>
      </c>
      <c r="R102" s="220" t="s">
        <v>74</v>
      </c>
    </row>
    <row r="103" spans="1:18" x14ac:dyDescent="0.25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  <c r="N103" s="218" t="s">
        <v>74</v>
      </c>
      <c r="O103" s="218" t="s">
        <v>74</v>
      </c>
      <c r="P103" s="219" t="s">
        <v>74</v>
      </c>
      <c r="Q103" s="220" t="s">
        <v>74</v>
      </c>
      <c r="R103" s="220" t="s">
        <v>74</v>
      </c>
    </row>
    <row r="104" spans="1:18" x14ac:dyDescent="0.25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  <c r="N104" s="218" t="s">
        <v>74</v>
      </c>
      <c r="O104" s="218" t="s">
        <v>74</v>
      </c>
      <c r="P104" s="219" t="s">
        <v>74</v>
      </c>
      <c r="Q104" s="220" t="s">
        <v>74</v>
      </c>
      <c r="R104" s="220" t="s">
        <v>74</v>
      </c>
    </row>
    <row r="105" spans="1:18" x14ac:dyDescent="0.25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  <c r="N105" s="218" t="s">
        <v>74</v>
      </c>
      <c r="O105" s="218" t="s">
        <v>74</v>
      </c>
      <c r="P105" s="219" t="s">
        <v>74</v>
      </c>
      <c r="Q105" s="220" t="s">
        <v>74</v>
      </c>
      <c r="R105" s="220" t="s">
        <v>74</v>
      </c>
    </row>
    <row r="106" spans="1:18" x14ac:dyDescent="0.25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  <c r="N106" s="218" t="s">
        <v>74</v>
      </c>
      <c r="O106" s="218" t="s">
        <v>74</v>
      </c>
      <c r="P106" s="219" t="s">
        <v>74</v>
      </c>
      <c r="Q106" s="220" t="s">
        <v>74</v>
      </c>
      <c r="R106" s="220" t="s">
        <v>74</v>
      </c>
    </row>
    <row r="107" spans="1:18" x14ac:dyDescent="0.25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  <c r="N107" s="218" t="s">
        <v>74</v>
      </c>
      <c r="O107" s="218" t="s">
        <v>74</v>
      </c>
      <c r="P107" s="219" t="s">
        <v>74</v>
      </c>
      <c r="Q107" s="220" t="s">
        <v>74</v>
      </c>
      <c r="R107" s="220" t="s">
        <v>74</v>
      </c>
    </row>
    <row r="108" spans="1:18" x14ac:dyDescent="0.25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  <c r="N108" s="218" t="s">
        <v>74</v>
      </c>
      <c r="O108" s="218" t="s">
        <v>74</v>
      </c>
      <c r="P108" s="219" t="s">
        <v>74</v>
      </c>
      <c r="Q108" s="220" t="s">
        <v>74</v>
      </c>
      <c r="R108" s="220" t="s">
        <v>74</v>
      </c>
    </row>
    <row r="109" spans="1:18" x14ac:dyDescent="0.25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  <c r="N109" s="218" t="s">
        <v>74</v>
      </c>
      <c r="O109" s="218" t="s">
        <v>74</v>
      </c>
      <c r="P109" s="219" t="s">
        <v>74</v>
      </c>
      <c r="Q109" s="220" t="s">
        <v>74</v>
      </c>
      <c r="R109" s="220" t="s">
        <v>74</v>
      </c>
    </row>
    <row r="110" spans="1:18" x14ac:dyDescent="0.25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  <c r="N110" s="218" t="s">
        <v>74</v>
      </c>
      <c r="O110" s="218" t="s">
        <v>74</v>
      </c>
      <c r="P110" s="219" t="s">
        <v>74</v>
      </c>
      <c r="Q110" s="220" t="s">
        <v>74</v>
      </c>
      <c r="R110" s="220" t="s">
        <v>74</v>
      </c>
    </row>
    <row r="111" spans="1:18" x14ac:dyDescent="0.25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  <c r="N111" s="218" t="s">
        <v>74</v>
      </c>
      <c r="O111" s="218" t="s">
        <v>74</v>
      </c>
      <c r="P111" s="219" t="s">
        <v>74</v>
      </c>
      <c r="Q111" s="220" t="s">
        <v>74</v>
      </c>
      <c r="R111" s="220" t="s">
        <v>74</v>
      </c>
    </row>
    <row r="112" spans="1:18" x14ac:dyDescent="0.25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  <c r="N112" s="218" t="s">
        <v>74</v>
      </c>
      <c r="O112" s="218" t="s">
        <v>74</v>
      </c>
      <c r="P112" s="219" t="s">
        <v>74</v>
      </c>
      <c r="Q112" s="220" t="s">
        <v>74</v>
      </c>
      <c r="R112" s="220" t="s">
        <v>74</v>
      </c>
    </row>
    <row r="113" spans="1:18" x14ac:dyDescent="0.25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  <c r="N113" s="218" t="s">
        <v>74</v>
      </c>
      <c r="O113" s="218" t="s">
        <v>74</v>
      </c>
      <c r="P113" s="219" t="s">
        <v>74</v>
      </c>
      <c r="Q113" s="220" t="s">
        <v>74</v>
      </c>
      <c r="R113" s="220" t="s">
        <v>74</v>
      </c>
    </row>
    <row r="114" spans="1:18" x14ac:dyDescent="0.25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  <c r="N114" s="218" t="s">
        <v>74</v>
      </c>
      <c r="O114" s="218" t="s">
        <v>74</v>
      </c>
      <c r="P114" s="219" t="s">
        <v>74</v>
      </c>
      <c r="Q114" s="220" t="s">
        <v>74</v>
      </c>
      <c r="R114" s="220" t="s">
        <v>74</v>
      </c>
    </row>
    <row r="115" spans="1:18" x14ac:dyDescent="0.25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  <c r="N115" s="218" t="s">
        <v>74</v>
      </c>
      <c r="O115" s="218" t="s">
        <v>74</v>
      </c>
      <c r="P115" s="219" t="s">
        <v>74</v>
      </c>
      <c r="Q115" s="220" t="s">
        <v>74</v>
      </c>
      <c r="R115" s="220" t="s">
        <v>74</v>
      </c>
    </row>
    <row r="116" spans="1:18" x14ac:dyDescent="0.25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  <c r="N116" s="218" t="s">
        <v>74</v>
      </c>
      <c r="O116" s="218" t="s">
        <v>74</v>
      </c>
      <c r="P116" s="219" t="s">
        <v>74</v>
      </c>
      <c r="Q116" s="220" t="s">
        <v>74</v>
      </c>
      <c r="R116" s="220" t="s">
        <v>74</v>
      </c>
    </row>
    <row r="117" spans="1:18" x14ac:dyDescent="0.25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  <c r="N117" s="218" t="s">
        <v>74</v>
      </c>
      <c r="O117" s="218" t="s">
        <v>74</v>
      </c>
      <c r="P117" s="219" t="s">
        <v>74</v>
      </c>
      <c r="Q117" s="220" t="s">
        <v>74</v>
      </c>
      <c r="R117" s="220" t="s">
        <v>74</v>
      </c>
    </row>
    <row r="118" spans="1:18" x14ac:dyDescent="0.25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  <c r="N118" s="218" t="s">
        <v>74</v>
      </c>
      <c r="O118" s="218" t="s">
        <v>74</v>
      </c>
      <c r="P118" s="219" t="s">
        <v>74</v>
      </c>
      <c r="Q118" s="220" t="s">
        <v>74</v>
      </c>
      <c r="R118" s="220" t="s">
        <v>74</v>
      </c>
    </row>
    <row r="119" spans="1:18" x14ac:dyDescent="0.25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  <c r="N119" s="218" t="s">
        <v>74</v>
      </c>
      <c r="O119" s="218" t="s">
        <v>74</v>
      </c>
      <c r="P119" s="219" t="s">
        <v>74</v>
      </c>
      <c r="Q119" s="220" t="s">
        <v>74</v>
      </c>
      <c r="R119" s="220" t="s">
        <v>74</v>
      </c>
    </row>
    <row r="120" spans="1:18" x14ac:dyDescent="0.25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  <c r="N120" s="218" t="s">
        <v>74</v>
      </c>
      <c r="O120" s="218" t="s">
        <v>74</v>
      </c>
      <c r="P120" s="219" t="s">
        <v>74</v>
      </c>
      <c r="Q120" s="220" t="s">
        <v>74</v>
      </c>
      <c r="R120" s="220" t="s">
        <v>74</v>
      </c>
    </row>
    <row r="121" spans="1:18" x14ac:dyDescent="0.25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  <c r="N121" s="218" t="s">
        <v>74</v>
      </c>
      <c r="O121" s="218" t="s">
        <v>74</v>
      </c>
      <c r="P121" s="219" t="s">
        <v>74</v>
      </c>
      <c r="Q121" s="220" t="s">
        <v>74</v>
      </c>
      <c r="R121" s="220" t="s">
        <v>74</v>
      </c>
    </row>
    <row r="122" spans="1:18" x14ac:dyDescent="0.25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  <c r="N122" s="218" t="s">
        <v>74</v>
      </c>
      <c r="O122" s="218" t="s">
        <v>74</v>
      </c>
      <c r="P122" s="219" t="s">
        <v>74</v>
      </c>
      <c r="Q122" s="220" t="s">
        <v>74</v>
      </c>
      <c r="R122" s="220" t="s">
        <v>74</v>
      </c>
    </row>
    <row r="123" spans="1:18" x14ac:dyDescent="0.25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  <c r="N123" s="218" t="s">
        <v>74</v>
      </c>
      <c r="O123" s="218" t="s">
        <v>74</v>
      </c>
      <c r="P123" s="219" t="s">
        <v>74</v>
      </c>
      <c r="Q123" s="220" t="s">
        <v>74</v>
      </c>
      <c r="R123" s="220" t="s">
        <v>74</v>
      </c>
    </row>
    <row r="124" spans="1:18" x14ac:dyDescent="0.25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  <c r="N124" s="218" t="s">
        <v>74</v>
      </c>
      <c r="O124" s="218" t="s">
        <v>74</v>
      </c>
      <c r="P124" s="219" t="s">
        <v>74</v>
      </c>
      <c r="Q124" s="220" t="s">
        <v>74</v>
      </c>
      <c r="R124" s="220" t="s">
        <v>74</v>
      </c>
    </row>
    <row r="125" spans="1:18" x14ac:dyDescent="0.25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  <c r="N125" s="218" t="s">
        <v>74</v>
      </c>
      <c r="O125" s="218" t="s">
        <v>74</v>
      </c>
      <c r="P125" s="219" t="s">
        <v>74</v>
      </c>
      <c r="Q125" s="220" t="s">
        <v>74</v>
      </c>
      <c r="R125" s="220" t="s">
        <v>74</v>
      </c>
    </row>
    <row r="126" spans="1:18" x14ac:dyDescent="0.25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  <c r="N126" s="218" t="s">
        <v>74</v>
      </c>
      <c r="O126" s="218" t="s">
        <v>74</v>
      </c>
      <c r="P126" s="219" t="s">
        <v>74</v>
      </c>
      <c r="Q126" s="220" t="s">
        <v>74</v>
      </c>
      <c r="R126" s="220" t="s">
        <v>74</v>
      </c>
    </row>
    <row r="127" spans="1:18" x14ac:dyDescent="0.25">
      <c r="A127" s="59"/>
      <c r="G127" s="16"/>
      <c r="H127" s="38">
        <v>122</v>
      </c>
      <c r="I127" s="39" t="str">
        <f t="shared" si="7"/>
        <v/>
      </c>
      <c r="J127" s="38" t="e">
        <f t="shared" ref="J127:J134" si="11">INT(LOG($H$2,2))-ROUNDUP(LOG(H127,2),0)+IF(OR($H$2=1,$H$2=2,$H$2=4,$H$2=8,$H$2=16,$H$2=32,$H$2=64,$H$2=128,$H$2=256),1,0)</f>
        <v>#NUM!</v>
      </c>
      <c r="K127" s="38" t="e">
        <f t="shared" si="8"/>
        <v>#NUM!</v>
      </c>
      <c r="L127" s="38"/>
      <c r="M127" s="40">
        <f t="shared" si="9"/>
        <v>0</v>
      </c>
      <c r="N127" s="218" t="s">
        <v>74</v>
      </c>
      <c r="O127" s="218" t="s">
        <v>74</v>
      </c>
      <c r="P127" s="219" t="s">
        <v>74</v>
      </c>
      <c r="Q127" s="220" t="s">
        <v>74</v>
      </c>
      <c r="R127" s="220" t="s">
        <v>74</v>
      </c>
    </row>
    <row r="128" spans="1:18" x14ac:dyDescent="0.25">
      <c r="A128" s="59"/>
      <c r="G128" s="16"/>
      <c r="H128" s="38">
        <v>123</v>
      </c>
      <c r="I128" s="39" t="str">
        <f t="shared" si="7"/>
        <v/>
      </c>
      <c r="J128" s="38" t="e">
        <f t="shared" si="11"/>
        <v>#NUM!</v>
      </c>
      <c r="K128" s="38" t="e">
        <f t="shared" si="8"/>
        <v>#NUM!</v>
      </c>
      <c r="L128" s="38"/>
      <c r="M128" s="40">
        <f t="shared" si="9"/>
        <v>0</v>
      </c>
      <c r="N128" s="218" t="s">
        <v>74</v>
      </c>
      <c r="O128" s="218" t="s">
        <v>74</v>
      </c>
      <c r="P128" s="219" t="s">
        <v>74</v>
      </c>
      <c r="Q128" s="220" t="s">
        <v>74</v>
      </c>
      <c r="R128" s="220" t="s">
        <v>74</v>
      </c>
    </row>
    <row r="129" spans="1:18" x14ac:dyDescent="0.25">
      <c r="A129" s="59"/>
      <c r="G129" s="16"/>
      <c r="H129" s="38">
        <v>124</v>
      </c>
      <c r="I129" s="39" t="str">
        <f t="shared" si="7"/>
        <v/>
      </c>
      <c r="J129" s="38" t="e">
        <f t="shared" si="11"/>
        <v>#NUM!</v>
      </c>
      <c r="K129" s="38" t="e">
        <f t="shared" si="8"/>
        <v>#NUM!</v>
      </c>
      <c r="L129" s="38"/>
      <c r="M129" s="40">
        <f t="shared" si="9"/>
        <v>0</v>
      </c>
      <c r="N129" s="218" t="s">
        <v>74</v>
      </c>
      <c r="O129" s="218" t="s">
        <v>74</v>
      </c>
      <c r="P129" s="219" t="s">
        <v>74</v>
      </c>
      <c r="Q129" s="220" t="s">
        <v>74</v>
      </c>
      <c r="R129" s="220" t="s">
        <v>74</v>
      </c>
    </row>
    <row r="130" spans="1:18" x14ac:dyDescent="0.25">
      <c r="A130" s="59"/>
      <c r="G130" s="16"/>
      <c r="H130" s="38">
        <v>125</v>
      </c>
      <c r="I130" s="39" t="str">
        <f t="shared" si="7"/>
        <v/>
      </c>
      <c r="J130" s="38" t="e">
        <f t="shared" si="11"/>
        <v>#NUM!</v>
      </c>
      <c r="K130" s="38" t="e">
        <f t="shared" si="8"/>
        <v>#NUM!</v>
      </c>
      <c r="L130" s="38"/>
      <c r="M130" s="40">
        <f t="shared" si="9"/>
        <v>0</v>
      </c>
      <c r="N130" s="218" t="s">
        <v>74</v>
      </c>
      <c r="O130" s="218" t="s">
        <v>74</v>
      </c>
      <c r="P130" s="219" t="s">
        <v>74</v>
      </c>
      <c r="Q130" s="220" t="s">
        <v>74</v>
      </c>
      <c r="R130" s="220" t="s">
        <v>74</v>
      </c>
    </row>
    <row r="131" spans="1:18" x14ac:dyDescent="0.25">
      <c r="A131" s="59"/>
      <c r="G131" s="16"/>
      <c r="H131" s="38">
        <v>126</v>
      </c>
      <c r="I131" s="39" t="str">
        <f t="shared" si="7"/>
        <v/>
      </c>
      <c r="J131" s="38" t="e">
        <f t="shared" si="11"/>
        <v>#NUM!</v>
      </c>
      <c r="K131" s="38" t="e">
        <f t="shared" si="8"/>
        <v>#NUM!</v>
      </c>
      <c r="L131" s="38"/>
      <c r="M131" s="40">
        <f t="shared" si="9"/>
        <v>0</v>
      </c>
      <c r="N131" s="218" t="s">
        <v>74</v>
      </c>
      <c r="O131" s="218" t="s">
        <v>74</v>
      </c>
      <c r="P131" s="219" t="s">
        <v>74</v>
      </c>
      <c r="Q131" s="220" t="s">
        <v>74</v>
      </c>
      <c r="R131" s="220" t="s">
        <v>74</v>
      </c>
    </row>
    <row r="132" spans="1:18" x14ac:dyDescent="0.25">
      <c r="A132" s="59"/>
      <c r="G132" s="16"/>
      <c r="H132" s="38">
        <v>127</v>
      </c>
      <c r="I132" s="39" t="str">
        <f t="shared" si="7"/>
        <v/>
      </c>
      <c r="J132" s="38" t="e">
        <f t="shared" si="11"/>
        <v>#NUM!</v>
      </c>
      <c r="K132" s="38" t="e">
        <f t="shared" si="8"/>
        <v>#NUM!</v>
      </c>
      <c r="L132" s="38"/>
      <c r="M132" s="40">
        <f t="shared" si="9"/>
        <v>0</v>
      </c>
      <c r="N132" s="218" t="s">
        <v>74</v>
      </c>
      <c r="O132" s="218" t="s">
        <v>74</v>
      </c>
      <c r="P132" s="219" t="s">
        <v>74</v>
      </c>
      <c r="Q132" s="220" t="s">
        <v>74</v>
      </c>
      <c r="R132" s="220" t="s">
        <v>74</v>
      </c>
    </row>
    <row r="133" spans="1:18" x14ac:dyDescent="0.25">
      <c r="A133" s="59"/>
      <c r="G133" s="16"/>
      <c r="H133" s="38">
        <v>128</v>
      </c>
      <c r="I133" s="39" t="str">
        <f t="shared" si="7"/>
        <v/>
      </c>
      <c r="J133" s="38" t="e">
        <f t="shared" si="11"/>
        <v>#NUM!</v>
      </c>
      <c r="K133" s="38" t="e">
        <f t="shared" si="8"/>
        <v>#NUM!</v>
      </c>
      <c r="L133" s="38"/>
      <c r="M133" s="40">
        <f t="shared" si="9"/>
        <v>0</v>
      </c>
      <c r="N133" s="218" t="s">
        <v>74</v>
      </c>
      <c r="O133" s="218" t="s">
        <v>74</v>
      </c>
      <c r="P133" s="219" t="s">
        <v>74</v>
      </c>
      <c r="Q133" s="220" t="s">
        <v>74</v>
      </c>
      <c r="R133" s="220" t="s">
        <v>74</v>
      </c>
    </row>
    <row r="134" spans="1:18" x14ac:dyDescent="0.25">
      <c r="A134" s="59"/>
      <c r="G134" s="16"/>
      <c r="H134" s="38">
        <v>129</v>
      </c>
      <c r="I134" s="39" t="str">
        <f t="shared" ref="I134:I197" si="12">IF(H134&lt;$H$2+1,($I$2-($I$2-1)*(LOG(H134)/LOG($H$2))),"")</f>
        <v/>
      </c>
      <c r="J134" s="38" t="e">
        <f t="shared" si="11"/>
        <v>#NUM!</v>
      </c>
      <c r="K134" s="38" t="e">
        <f t="shared" ref="K134:K197" si="13">J134*$J$2</f>
        <v>#NUM!</v>
      </c>
      <c r="L134" s="38"/>
      <c r="M134" s="40">
        <f t="shared" ref="M134:M197" si="14">IF(I134&lt;&gt;"",K134+I134+L134,0)</f>
        <v>0</v>
      </c>
      <c r="N134" s="218" t="s">
        <v>74</v>
      </c>
      <c r="O134" s="218" t="s">
        <v>74</v>
      </c>
      <c r="P134" s="219" t="s">
        <v>74</v>
      </c>
      <c r="Q134" s="220" t="s">
        <v>74</v>
      </c>
      <c r="R134" s="220" t="s">
        <v>74</v>
      </c>
    </row>
    <row r="135" spans="1:18" x14ac:dyDescent="0.25">
      <c r="A135" s="59"/>
      <c r="G135" s="16"/>
      <c r="H135" s="38">
        <v>130</v>
      </c>
      <c r="I135" s="39" t="str">
        <f t="shared" si="12"/>
        <v/>
      </c>
      <c r="J135" s="38" t="e">
        <f t="shared" ref="J135:J198" si="15">INT(LOG($H$2,2))-ROUNDUP(LOG(H135,2),0)+IF(OR($H$2=1,$H$2=2,$H$2=4,$H$2=8,$H$2=16,$H$2=32,$H$2=64,$H$2=128,$H$2=256),1,0)</f>
        <v>#NUM!</v>
      </c>
      <c r="K135" s="38" t="e">
        <f t="shared" si="13"/>
        <v>#NUM!</v>
      </c>
      <c r="L135" s="38"/>
      <c r="M135" s="40">
        <f t="shared" si="14"/>
        <v>0</v>
      </c>
      <c r="N135" s="218" t="s">
        <v>74</v>
      </c>
      <c r="O135" s="218" t="s">
        <v>74</v>
      </c>
      <c r="P135" s="219" t="s">
        <v>74</v>
      </c>
      <c r="Q135" s="220" t="s">
        <v>74</v>
      </c>
      <c r="R135" s="220" t="s">
        <v>74</v>
      </c>
    </row>
    <row r="136" spans="1:18" x14ac:dyDescent="0.25">
      <c r="A136" s="59"/>
      <c r="G136" s="16"/>
      <c r="H136" s="38">
        <v>131</v>
      </c>
      <c r="I136" s="39" t="str">
        <f t="shared" si="12"/>
        <v/>
      </c>
      <c r="J136" s="38" t="e">
        <f t="shared" si="15"/>
        <v>#NUM!</v>
      </c>
      <c r="K136" s="38" t="e">
        <f t="shared" si="13"/>
        <v>#NUM!</v>
      </c>
      <c r="L136" s="38"/>
      <c r="M136" s="40">
        <f t="shared" si="14"/>
        <v>0</v>
      </c>
      <c r="N136" s="218" t="s">
        <v>74</v>
      </c>
      <c r="O136" s="218" t="s">
        <v>74</v>
      </c>
      <c r="P136" s="219" t="s">
        <v>74</v>
      </c>
      <c r="Q136" s="220" t="s">
        <v>74</v>
      </c>
      <c r="R136" s="220" t="s">
        <v>74</v>
      </c>
    </row>
    <row r="137" spans="1:18" x14ac:dyDescent="0.25">
      <c r="A137" s="59"/>
      <c r="G137" s="16"/>
      <c r="H137" s="38">
        <v>132</v>
      </c>
      <c r="I137" s="39" t="str">
        <f t="shared" si="12"/>
        <v/>
      </c>
      <c r="J137" s="38" t="e">
        <f t="shared" si="15"/>
        <v>#NUM!</v>
      </c>
      <c r="K137" s="38" t="e">
        <f t="shared" si="13"/>
        <v>#NUM!</v>
      </c>
      <c r="L137" s="38"/>
      <c r="M137" s="40">
        <f t="shared" si="14"/>
        <v>0</v>
      </c>
      <c r="N137" s="218" t="s">
        <v>74</v>
      </c>
      <c r="O137" s="218" t="s">
        <v>74</v>
      </c>
      <c r="P137" s="219" t="s">
        <v>74</v>
      </c>
      <c r="Q137" s="220" t="s">
        <v>74</v>
      </c>
      <c r="R137" s="220" t="s">
        <v>74</v>
      </c>
    </row>
    <row r="138" spans="1:18" x14ac:dyDescent="0.25">
      <c r="A138" s="59"/>
      <c r="G138" s="16"/>
      <c r="H138" s="38">
        <v>133</v>
      </c>
      <c r="I138" s="39" t="str">
        <f t="shared" si="12"/>
        <v/>
      </c>
      <c r="J138" s="38" t="e">
        <f t="shared" si="15"/>
        <v>#NUM!</v>
      </c>
      <c r="K138" s="38" t="e">
        <f t="shared" si="13"/>
        <v>#NUM!</v>
      </c>
      <c r="L138" s="38"/>
      <c r="M138" s="40">
        <f t="shared" si="14"/>
        <v>0</v>
      </c>
      <c r="N138" s="218" t="s">
        <v>74</v>
      </c>
      <c r="O138" s="218" t="s">
        <v>74</v>
      </c>
      <c r="P138" s="219" t="s">
        <v>74</v>
      </c>
      <c r="Q138" s="220" t="s">
        <v>74</v>
      </c>
      <c r="R138" s="220" t="s">
        <v>74</v>
      </c>
    </row>
    <row r="139" spans="1:18" x14ac:dyDescent="0.25">
      <c r="A139" s="59"/>
      <c r="G139" s="16"/>
      <c r="H139" s="38">
        <v>134</v>
      </c>
      <c r="I139" s="39" t="str">
        <f t="shared" si="12"/>
        <v/>
      </c>
      <c r="J139" s="38" t="e">
        <f t="shared" si="15"/>
        <v>#NUM!</v>
      </c>
      <c r="K139" s="38" t="e">
        <f t="shared" si="13"/>
        <v>#NUM!</v>
      </c>
      <c r="L139" s="38"/>
      <c r="M139" s="40">
        <f t="shared" si="14"/>
        <v>0</v>
      </c>
      <c r="N139" s="218" t="s">
        <v>74</v>
      </c>
      <c r="O139" s="218" t="s">
        <v>74</v>
      </c>
      <c r="P139" s="219" t="s">
        <v>74</v>
      </c>
      <c r="Q139" s="220" t="s">
        <v>74</v>
      </c>
      <c r="R139" s="220" t="s">
        <v>74</v>
      </c>
    </row>
    <row r="140" spans="1:18" x14ac:dyDescent="0.25">
      <c r="A140" s="59"/>
      <c r="G140" s="16"/>
      <c r="H140" s="38">
        <v>135</v>
      </c>
      <c r="I140" s="39" t="str">
        <f t="shared" si="12"/>
        <v/>
      </c>
      <c r="J140" s="38" t="e">
        <f t="shared" si="15"/>
        <v>#NUM!</v>
      </c>
      <c r="K140" s="38" t="e">
        <f t="shared" si="13"/>
        <v>#NUM!</v>
      </c>
      <c r="L140" s="38"/>
      <c r="M140" s="40">
        <f t="shared" si="14"/>
        <v>0</v>
      </c>
      <c r="N140" s="218" t="s">
        <v>74</v>
      </c>
      <c r="O140" s="218" t="s">
        <v>74</v>
      </c>
      <c r="P140" s="219" t="s">
        <v>74</v>
      </c>
      <c r="Q140" s="220" t="s">
        <v>74</v>
      </c>
      <c r="R140" s="220" t="s">
        <v>74</v>
      </c>
    </row>
    <row r="141" spans="1:18" x14ac:dyDescent="0.25">
      <c r="A141" s="59"/>
      <c r="G141" s="16"/>
      <c r="H141" s="38">
        <v>136</v>
      </c>
      <c r="I141" s="39" t="str">
        <f t="shared" si="12"/>
        <v/>
      </c>
      <c r="J141" s="38" t="e">
        <f t="shared" si="15"/>
        <v>#NUM!</v>
      </c>
      <c r="K141" s="38" t="e">
        <f t="shared" si="13"/>
        <v>#NUM!</v>
      </c>
      <c r="L141" s="38"/>
      <c r="M141" s="40">
        <f t="shared" si="14"/>
        <v>0</v>
      </c>
      <c r="N141" s="218" t="s">
        <v>74</v>
      </c>
      <c r="O141" s="218" t="s">
        <v>74</v>
      </c>
      <c r="P141" s="219" t="s">
        <v>74</v>
      </c>
      <c r="Q141" s="220" t="s">
        <v>74</v>
      </c>
      <c r="R141" s="220" t="s">
        <v>74</v>
      </c>
    </row>
    <row r="142" spans="1:18" x14ac:dyDescent="0.25">
      <c r="A142" s="59"/>
      <c r="G142" s="16"/>
      <c r="H142" s="38">
        <v>137</v>
      </c>
      <c r="I142" s="39" t="str">
        <f t="shared" si="12"/>
        <v/>
      </c>
      <c r="J142" s="38" t="e">
        <f t="shared" si="15"/>
        <v>#NUM!</v>
      </c>
      <c r="K142" s="38" t="e">
        <f t="shared" si="13"/>
        <v>#NUM!</v>
      </c>
      <c r="L142" s="38"/>
      <c r="M142" s="40">
        <f t="shared" si="14"/>
        <v>0</v>
      </c>
      <c r="N142" s="218" t="s">
        <v>74</v>
      </c>
      <c r="O142" s="218" t="s">
        <v>74</v>
      </c>
      <c r="P142" s="219" t="s">
        <v>74</v>
      </c>
      <c r="Q142" s="220" t="s">
        <v>74</v>
      </c>
      <c r="R142" s="220" t="s">
        <v>74</v>
      </c>
    </row>
    <row r="143" spans="1:18" x14ac:dyDescent="0.25">
      <c r="A143" s="59"/>
      <c r="G143" s="16"/>
      <c r="H143" s="38">
        <v>138</v>
      </c>
      <c r="I143" s="39" t="str">
        <f t="shared" si="12"/>
        <v/>
      </c>
      <c r="J143" s="38" t="e">
        <f t="shared" si="15"/>
        <v>#NUM!</v>
      </c>
      <c r="K143" s="38" t="e">
        <f t="shared" si="13"/>
        <v>#NUM!</v>
      </c>
      <c r="L143" s="38"/>
      <c r="M143" s="40">
        <f t="shared" si="14"/>
        <v>0</v>
      </c>
      <c r="N143" s="218" t="s">
        <v>74</v>
      </c>
      <c r="O143" s="218" t="s">
        <v>74</v>
      </c>
      <c r="P143" s="219" t="s">
        <v>74</v>
      </c>
      <c r="Q143" s="220" t="s">
        <v>74</v>
      </c>
      <c r="R143" s="220" t="s">
        <v>74</v>
      </c>
    </row>
    <row r="144" spans="1:18" x14ac:dyDescent="0.25">
      <c r="A144" s="59"/>
      <c r="G144" s="16"/>
      <c r="H144" s="38">
        <v>139</v>
      </c>
      <c r="I144" s="39" t="str">
        <f t="shared" si="12"/>
        <v/>
      </c>
      <c r="J144" s="38" t="e">
        <f t="shared" si="15"/>
        <v>#NUM!</v>
      </c>
      <c r="K144" s="38" t="e">
        <f t="shared" si="13"/>
        <v>#NUM!</v>
      </c>
      <c r="L144" s="38"/>
      <c r="M144" s="40">
        <f t="shared" si="14"/>
        <v>0</v>
      </c>
      <c r="N144" s="218" t="s">
        <v>74</v>
      </c>
      <c r="O144" s="218" t="s">
        <v>74</v>
      </c>
      <c r="P144" s="219" t="s">
        <v>74</v>
      </c>
      <c r="Q144" s="220" t="s">
        <v>74</v>
      </c>
      <c r="R144" s="220" t="s">
        <v>74</v>
      </c>
    </row>
    <row r="145" spans="1:18" x14ac:dyDescent="0.25">
      <c r="A145" s="59"/>
      <c r="G145" s="16"/>
      <c r="H145" s="38">
        <v>140</v>
      </c>
      <c r="I145" s="39" t="str">
        <f t="shared" si="12"/>
        <v/>
      </c>
      <c r="J145" s="38" t="e">
        <f t="shared" si="15"/>
        <v>#NUM!</v>
      </c>
      <c r="K145" s="38" t="e">
        <f t="shared" si="13"/>
        <v>#NUM!</v>
      </c>
      <c r="L145" s="38"/>
      <c r="M145" s="40">
        <f t="shared" si="14"/>
        <v>0</v>
      </c>
      <c r="N145" s="218" t="s">
        <v>74</v>
      </c>
      <c r="O145" s="218" t="s">
        <v>74</v>
      </c>
      <c r="P145" s="219" t="s">
        <v>74</v>
      </c>
      <c r="Q145" s="220" t="s">
        <v>74</v>
      </c>
      <c r="R145" s="220" t="s">
        <v>74</v>
      </c>
    </row>
    <row r="146" spans="1:18" x14ac:dyDescent="0.25">
      <c r="A146" s="59"/>
      <c r="G146" s="16"/>
      <c r="H146" s="38">
        <v>141</v>
      </c>
      <c r="I146" s="39" t="str">
        <f t="shared" si="12"/>
        <v/>
      </c>
      <c r="J146" s="38" t="e">
        <f t="shared" si="15"/>
        <v>#NUM!</v>
      </c>
      <c r="K146" s="38" t="e">
        <f t="shared" si="13"/>
        <v>#NUM!</v>
      </c>
      <c r="L146" s="38"/>
      <c r="M146" s="40">
        <f t="shared" si="14"/>
        <v>0</v>
      </c>
      <c r="N146" s="218" t="s">
        <v>74</v>
      </c>
      <c r="O146" s="218" t="s">
        <v>74</v>
      </c>
      <c r="P146" s="219" t="s">
        <v>74</v>
      </c>
      <c r="Q146" s="220" t="s">
        <v>74</v>
      </c>
      <c r="R146" s="220" t="s">
        <v>74</v>
      </c>
    </row>
    <row r="147" spans="1:18" x14ac:dyDescent="0.25">
      <c r="A147" s="59"/>
      <c r="G147" s="16"/>
      <c r="H147" s="38">
        <v>142</v>
      </c>
      <c r="I147" s="39" t="str">
        <f t="shared" si="12"/>
        <v/>
      </c>
      <c r="J147" s="38" t="e">
        <f t="shared" si="15"/>
        <v>#NUM!</v>
      </c>
      <c r="K147" s="38" t="e">
        <f t="shared" si="13"/>
        <v>#NUM!</v>
      </c>
      <c r="L147" s="38"/>
      <c r="M147" s="40">
        <f t="shared" si="14"/>
        <v>0</v>
      </c>
      <c r="N147" s="218" t="s">
        <v>74</v>
      </c>
      <c r="O147" s="218" t="s">
        <v>74</v>
      </c>
      <c r="P147" s="219" t="s">
        <v>74</v>
      </c>
      <c r="Q147" s="220" t="s">
        <v>74</v>
      </c>
      <c r="R147" s="220" t="s">
        <v>74</v>
      </c>
    </row>
    <row r="148" spans="1:18" x14ac:dyDescent="0.25">
      <c r="A148" s="59"/>
      <c r="G148" s="16"/>
      <c r="H148" s="38">
        <v>143</v>
      </c>
      <c r="I148" s="39" t="str">
        <f t="shared" si="12"/>
        <v/>
      </c>
      <c r="J148" s="38" t="e">
        <f t="shared" si="15"/>
        <v>#NUM!</v>
      </c>
      <c r="K148" s="38" t="e">
        <f t="shared" si="13"/>
        <v>#NUM!</v>
      </c>
      <c r="L148" s="38"/>
      <c r="M148" s="40">
        <f t="shared" si="14"/>
        <v>0</v>
      </c>
      <c r="N148" s="218" t="s">
        <v>74</v>
      </c>
      <c r="O148" s="218" t="s">
        <v>74</v>
      </c>
      <c r="P148" s="219" t="s">
        <v>74</v>
      </c>
      <c r="Q148" s="220" t="s">
        <v>74</v>
      </c>
      <c r="R148" s="220" t="s">
        <v>74</v>
      </c>
    </row>
    <row r="149" spans="1:18" x14ac:dyDescent="0.25">
      <c r="A149" s="59"/>
      <c r="G149" s="16"/>
      <c r="H149" s="38">
        <v>144</v>
      </c>
      <c r="I149" s="39" t="str">
        <f t="shared" si="12"/>
        <v/>
      </c>
      <c r="J149" s="38" t="e">
        <f t="shared" si="15"/>
        <v>#NUM!</v>
      </c>
      <c r="K149" s="38" t="e">
        <f t="shared" si="13"/>
        <v>#NUM!</v>
      </c>
      <c r="L149" s="38"/>
      <c r="M149" s="40">
        <f t="shared" si="14"/>
        <v>0</v>
      </c>
      <c r="N149" s="218" t="s">
        <v>74</v>
      </c>
      <c r="O149" s="218" t="s">
        <v>74</v>
      </c>
      <c r="P149" s="219" t="s">
        <v>74</v>
      </c>
      <c r="Q149" s="220" t="s">
        <v>74</v>
      </c>
      <c r="R149" s="220" t="s">
        <v>74</v>
      </c>
    </row>
    <row r="150" spans="1:18" x14ac:dyDescent="0.25">
      <c r="A150" s="59"/>
      <c r="G150" s="16"/>
      <c r="H150" s="38">
        <v>145</v>
      </c>
      <c r="I150" s="39" t="str">
        <f t="shared" si="12"/>
        <v/>
      </c>
      <c r="J150" s="38" t="e">
        <f t="shared" si="15"/>
        <v>#NUM!</v>
      </c>
      <c r="K150" s="38" t="e">
        <f t="shared" si="13"/>
        <v>#NUM!</v>
      </c>
      <c r="L150" s="38"/>
      <c r="M150" s="40">
        <f t="shared" si="14"/>
        <v>0</v>
      </c>
      <c r="N150" s="218" t="s">
        <v>74</v>
      </c>
      <c r="O150" s="218" t="s">
        <v>74</v>
      </c>
      <c r="P150" s="219" t="s">
        <v>74</v>
      </c>
      <c r="Q150" s="220" t="s">
        <v>74</v>
      </c>
      <c r="R150" s="220" t="s">
        <v>74</v>
      </c>
    </row>
    <row r="151" spans="1:18" x14ac:dyDescent="0.25">
      <c r="A151" s="59"/>
      <c r="G151" s="16"/>
      <c r="H151" s="38">
        <v>146</v>
      </c>
      <c r="I151" s="39" t="str">
        <f t="shared" si="12"/>
        <v/>
      </c>
      <c r="J151" s="38" t="e">
        <f t="shared" si="15"/>
        <v>#NUM!</v>
      </c>
      <c r="K151" s="38" t="e">
        <f t="shared" si="13"/>
        <v>#NUM!</v>
      </c>
      <c r="L151" s="38"/>
      <c r="M151" s="40">
        <f t="shared" si="14"/>
        <v>0</v>
      </c>
      <c r="N151" s="218" t="s">
        <v>74</v>
      </c>
      <c r="O151" s="218" t="s">
        <v>74</v>
      </c>
      <c r="P151" s="219" t="s">
        <v>74</v>
      </c>
      <c r="Q151" s="220" t="s">
        <v>74</v>
      </c>
      <c r="R151" s="220" t="s">
        <v>74</v>
      </c>
    </row>
    <row r="152" spans="1:18" x14ac:dyDescent="0.25">
      <c r="A152" s="59"/>
      <c r="G152" s="16"/>
      <c r="H152" s="38">
        <v>147</v>
      </c>
      <c r="I152" s="39" t="str">
        <f t="shared" si="12"/>
        <v/>
      </c>
      <c r="J152" s="38" t="e">
        <f t="shared" si="15"/>
        <v>#NUM!</v>
      </c>
      <c r="K152" s="38" t="e">
        <f t="shared" si="13"/>
        <v>#NUM!</v>
      </c>
      <c r="L152" s="38"/>
      <c r="M152" s="40">
        <f t="shared" si="14"/>
        <v>0</v>
      </c>
      <c r="N152" s="218" t="s">
        <v>74</v>
      </c>
      <c r="O152" s="218" t="s">
        <v>74</v>
      </c>
      <c r="P152" s="219" t="s">
        <v>74</v>
      </c>
      <c r="Q152" s="220" t="s">
        <v>74</v>
      </c>
      <c r="R152" s="220" t="s">
        <v>74</v>
      </c>
    </row>
    <row r="153" spans="1:18" x14ac:dyDescent="0.25">
      <c r="A153" s="59"/>
      <c r="G153" s="16"/>
      <c r="H153" s="38">
        <v>148</v>
      </c>
      <c r="I153" s="39" t="str">
        <f t="shared" si="12"/>
        <v/>
      </c>
      <c r="J153" s="38" t="e">
        <f t="shared" si="15"/>
        <v>#NUM!</v>
      </c>
      <c r="K153" s="38" t="e">
        <f t="shared" si="13"/>
        <v>#NUM!</v>
      </c>
      <c r="L153" s="38"/>
      <c r="M153" s="40">
        <f t="shared" si="14"/>
        <v>0</v>
      </c>
      <c r="N153" s="218" t="s">
        <v>74</v>
      </c>
      <c r="O153" s="218" t="s">
        <v>74</v>
      </c>
      <c r="P153" s="219" t="s">
        <v>74</v>
      </c>
      <c r="Q153" s="220" t="s">
        <v>74</v>
      </c>
      <c r="R153" s="220" t="s">
        <v>74</v>
      </c>
    </row>
    <row r="154" spans="1:18" x14ac:dyDescent="0.25">
      <c r="A154" s="59"/>
      <c r="G154" s="16"/>
      <c r="H154" s="38">
        <v>149</v>
      </c>
      <c r="I154" s="39" t="str">
        <f t="shared" si="12"/>
        <v/>
      </c>
      <c r="J154" s="38" t="e">
        <f t="shared" si="15"/>
        <v>#NUM!</v>
      </c>
      <c r="K154" s="38" t="e">
        <f t="shared" si="13"/>
        <v>#NUM!</v>
      </c>
      <c r="L154" s="38"/>
      <c r="M154" s="40">
        <f t="shared" si="14"/>
        <v>0</v>
      </c>
      <c r="N154" s="218" t="s">
        <v>74</v>
      </c>
      <c r="O154" s="218" t="s">
        <v>74</v>
      </c>
      <c r="P154" s="219" t="s">
        <v>74</v>
      </c>
      <c r="Q154" s="220" t="s">
        <v>74</v>
      </c>
      <c r="R154" s="220" t="s">
        <v>74</v>
      </c>
    </row>
    <row r="155" spans="1:18" x14ac:dyDescent="0.25">
      <c r="A155" s="59"/>
      <c r="G155" s="16"/>
      <c r="H155" s="38">
        <v>150</v>
      </c>
      <c r="I155" s="39" t="str">
        <f t="shared" si="12"/>
        <v/>
      </c>
      <c r="J155" s="38" t="e">
        <f t="shared" si="15"/>
        <v>#NUM!</v>
      </c>
      <c r="K155" s="38" t="e">
        <f t="shared" si="13"/>
        <v>#NUM!</v>
      </c>
      <c r="L155" s="38"/>
      <c r="M155" s="40">
        <f t="shared" si="14"/>
        <v>0</v>
      </c>
      <c r="N155" s="218" t="s">
        <v>74</v>
      </c>
      <c r="O155" s="218" t="s">
        <v>74</v>
      </c>
      <c r="P155" s="219" t="s">
        <v>74</v>
      </c>
      <c r="Q155" s="220" t="s">
        <v>74</v>
      </c>
      <c r="R155" s="220" t="s">
        <v>74</v>
      </c>
    </row>
    <row r="156" spans="1:18" x14ac:dyDescent="0.25">
      <c r="A156" s="59"/>
      <c r="G156" s="16"/>
      <c r="H156" s="38">
        <v>151</v>
      </c>
      <c r="I156" s="39" t="str">
        <f t="shared" si="12"/>
        <v/>
      </c>
      <c r="J156" s="38" t="e">
        <f t="shared" si="15"/>
        <v>#NUM!</v>
      </c>
      <c r="K156" s="38" t="e">
        <f t="shared" si="13"/>
        <v>#NUM!</v>
      </c>
      <c r="L156" s="38"/>
      <c r="M156" s="40">
        <f t="shared" si="14"/>
        <v>0</v>
      </c>
      <c r="N156" s="218" t="s">
        <v>74</v>
      </c>
      <c r="O156" s="218" t="s">
        <v>74</v>
      </c>
      <c r="P156" s="219" t="s">
        <v>74</v>
      </c>
      <c r="Q156" s="220" t="s">
        <v>74</v>
      </c>
      <c r="R156" s="220" t="s">
        <v>74</v>
      </c>
    </row>
    <row r="157" spans="1:18" x14ac:dyDescent="0.25">
      <c r="A157" s="59"/>
      <c r="G157" s="16"/>
      <c r="H157" s="38">
        <v>152</v>
      </c>
      <c r="I157" s="39" t="str">
        <f t="shared" si="12"/>
        <v/>
      </c>
      <c r="J157" s="38" t="e">
        <f t="shared" si="15"/>
        <v>#NUM!</v>
      </c>
      <c r="K157" s="38" t="e">
        <f t="shared" si="13"/>
        <v>#NUM!</v>
      </c>
      <c r="L157" s="38"/>
      <c r="M157" s="40">
        <f t="shared" si="14"/>
        <v>0</v>
      </c>
      <c r="N157" s="218" t="s">
        <v>74</v>
      </c>
      <c r="O157" s="218" t="s">
        <v>74</v>
      </c>
      <c r="P157" s="219" t="s">
        <v>74</v>
      </c>
      <c r="Q157" s="220" t="s">
        <v>74</v>
      </c>
      <c r="R157" s="220" t="s">
        <v>74</v>
      </c>
    </row>
    <row r="158" spans="1:18" x14ac:dyDescent="0.25">
      <c r="A158" s="59"/>
      <c r="G158" s="16"/>
      <c r="H158" s="38">
        <v>153</v>
      </c>
      <c r="I158" s="39" t="str">
        <f t="shared" si="12"/>
        <v/>
      </c>
      <c r="J158" s="38" t="e">
        <f t="shared" si="15"/>
        <v>#NUM!</v>
      </c>
      <c r="K158" s="38" t="e">
        <f t="shared" si="13"/>
        <v>#NUM!</v>
      </c>
      <c r="L158" s="38"/>
      <c r="M158" s="40">
        <f t="shared" si="14"/>
        <v>0</v>
      </c>
      <c r="N158" s="218" t="s">
        <v>74</v>
      </c>
      <c r="O158" s="218" t="s">
        <v>74</v>
      </c>
      <c r="P158" s="219" t="s">
        <v>74</v>
      </c>
      <c r="Q158" s="220" t="s">
        <v>74</v>
      </c>
      <c r="R158" s="220" t="s">
        <v>74</v>
      </c>
    </row>
    <row r="159" spans="1:18" x14ac:dyDescent="0.25">
      <c r="A159" s="59"/>
      <c r="G159" s="16"/>
      <c r="H159" s="38">
        <v>154</v>
      </c>
      <c r="I159" s="39" t="str">
        <f t="shared" si="12"/>
        <v/>
      </c>
      <c r="J159" s="38" t="e">
        <f t="shared" si="15"/>
        <v>#NUM!</v>
      </c>
      <c r="K159" s="38" t="e">
        <f t="shared" si="13"/>
        <v>#NUM!</v>
      </c>
      <c r="L159" s="38"/>
      <c r="M159" s="40">
        <f t="shared" si="14"/>
        <v>0</v>
      </c>
      <c r="N159" s="218" t="s">
        <v>74</v>
      </c>
      <c r="O159" s="218" t="s">
        <v>74</v>
      </c>
      <c r="P159" s="219" t="s">
        <v>74</v>
      </c>
      <c r="Q159" s="220" t="s">
        <v>74</v>
      </c>
      <c r="R159" s="220" t="s">
        <v>74</v>
      </c>
    </row>
    <row r="160" spans="1:18" x14ac:dyDescent="0.25">
      <c r="A160" s="59"/>
      <c r="G160" s="16"/>
      <c r="H160" s="38">
        <v>155</v>
      </c>
      <c r="I160" s="39" t="str">
        <f t="shared" si="12"/>
        <v/>
      </c>
      <c r="J160" s="38" t="e">
        <f t="shared" si="15"/>
        <v>#NUM!</v>
      </c>
      <c r="K160" s="38" t="e">
        <f t="shared" si="13"/>
        <v>#NUM!</v>
      </c>
      <c r="L160" s="38"/>
      <c r="M160" s="40">
        <f t="shared" si="14"/>
        <v>0</v>
      </c>
      <c r="N160" s="218" t="s">
        <v>74</v>
      </c>
      <c r="O160" s="218" t="s">
        <v>74</v>
      </c>
      <c r="P160" s="219" t="s">
        <v>74</v>
      </c>
      <c r="Q160" s="220" t="s">
        <v>74</v>
      </c>
      <c r="R160" s="220" t="s">
        <v>74</v>
      </c>
    </row>
    <row r="161" spans="1:18" x14ac:dyDescent="0.25">
      <c r="A161" s="59"/>
      <c r="G161" s="16"/>
      <c r="H161" s="38">
        <v>156</v>
      </c>
      <c r="I161" s="39" t="str">
        <f t="shared" si="12"/>
        <v/>
      </c>
      <c r="J161" s="38" t="e">
        <f t="shared" si="15"/>
        <v>#NUM!</v>
      </c>
      <c r="K161" s="38" t="e">
        <f t="shared" si="13"/>
        <v>#NUM!</v>
      </c>
      <c r="L161" s="38"/>
      <c r="M161" s="40">
        <f t="shared" si="14"/>
        <v>0</v>
      </c>
      <c r="N161" s="218" t="s">
        <v>74</v>
      </c>
      <c r="O161" s="218" t="s">
        <v>74</v>
      </c>
      <c r="P161" s="219" t="s">
        <v>74</v>
      </c>
      <c r="Q161" s="220" t="s">
        <v>74</v>
      </c>
      <c r="R161" s="220" t="s">
        <v>74</v>
      </c>
    </row>
    <row r="162" spans="1:18" x14ac:dyDescent="0.25">
      <c r="A162" s="59"/>
      <c r="G162" s="16"/>
      <c r="H162" s="38">
        <v>157</v>
      </c>
      <c r="I162" s="39" t="str">
        <f t="shared" si="12"/>
        <v/>
      </c>
      <c r="J162" s="38" t="e">
        <f t="shared" si="15"/>
        <v>#NUM!</v>
      </c>
      <c r="K162" s="38" t="e">
        <f t="shared" si="13"/>
        <v>#NUM!</v>
      </c>
      <c r="L162" s="38"/>
      <c r="M162" s="40">
        <f t="shared" si="14"/>
        <v>0</v>
      </c>
      <c r="N162" s="218" t="s">
        <v>74</v>
      </c>
      <c r="O162" s="218" t="s">
        <v>74</v>
      </c>
      <c r="P162" s="219" t="s">
        <v>74</v>
      </c>
      <c r="Q162" s="220" t="s">
        <v>74</v>
      </c>
      <c r="R162" s="220" t="s">
        <v>74</v>
      </c>
    </row>
    <row r="163" spans="1:18" x14ac:dyDescent="0.25">
      <c r="A163" s="59"/>
      <c r="G163" s="16"/>
      <c r="H163" s="38">
        <v>158</v>
      </c>
      <c r="I163" s="39" t="str">
        <f t="shared" si="12"/>
        <v/>
      </c>
      <c r="J163" s="38" t="e">
        <f t="shared" si="15"/>
        <v>#NUM!</v>
      </c>
      <c r="K163" s="38" t="e">
        <f t="shared" si="13"/>
        <v>#NUM!</v>
      </c>
      <c r="L163" s="38"/>
      <c r="M163" s="40">
        <f t="shared" si="14"/>
        <v>0</v>
      </c>
      <c r="N163" s="218" t="s">
        <v>74</v>
      </c>
      <c r="O163" s="218" t="s">
        <v>74</v>
      </c>
      <c r="P163" s="219" t="s">
        <v>74</v>
      </c>
      <c r="Q163" s="220" t="s">
        <v>74</v>
      </c>
      <c r="R163" s="220" t="s">
        <v>74</v>
      </c>
    </row>
    <row r="164" spans="1:18" x14ac:dyDescent="0.25">
      <c r="A164" s="59"/>
      <c r="G164" s="16"/>
      <c r="H164" s="38">
        <v>159</v>
      </c>
      <c r="I164" s="39" t="str">
        <f t="shared" si="12"/>
        <v/>
      </c>
      <c r="J164" s="38" t="e">
        <f t="shared" si="15"/>
        <v>#NUM!</v>
      </c>
      <c r="K164" s="38" t="e">
        <f t="shared" si="13"/>
        <v>#NUM!</v>
      </c>
      <c r="L164" s="38"/>
      <c r="M164" s="40">
        <f t="shared" si="14"/>
        <v>0</v>
      </c>
      <c r="N164" s="218" t="s">
        <v>74</v>
      </c>
      <c r="O164" s="218" t="s">
        <v>74</v>
      </c>
      <c r="P164" s="219" t="s">
        <v>74</v>
      </c>
      <c r="Q164" s="220" t="s">
        <v>74</v>
      </c>
      <c r="R164" s="220" t="s">
        <v>74</v>
      </c>
    </row>
    <row r="165" spans="1:18" x14ac:dyDescent="0.25">
      <c r="A165" s="59"/>
      <c r="G165" s="16"/>
      <c r="H165" s="38">
        <v>160</v>
      </c>
      <c r="I165" s="39" t="str">
        <f t="shared" si="12"/>
        <v/>
      </c>
      <c r="J165" s="38" t="e">
        <f t="shared" si="15"/>
        <v>#NUM!</v>
      </c>
      <c r="K165" s="38" t="e">
        <f t="shared" si="13"/>
        <v>#NUM!</v>
      </c>
      <c r="L165" s="38"/>
      <c r="M165" s="40">
        <f t="shared" si="14"/>
        <v>0</v>
      </c>
      <c r="N165" s="218" t="s">
        <v>74</v>
      </c>
      <c r="O165" s="218" t="s">
        <v>74</v>
      </c>
      <c r="P165" s="219" t="s">
        <v>74</v>
      </c>
      <c r="Q165" s="220" t="s">
        <v>74</v>
      </c>
      <c r="R165" s="220" t="s">
        <v>74</v>
      </c>
    </row>
    <row r="166" spans="1:18" x14ac:dyDescent="0.25">
      <c r="A166" s="59"/>
      <c r="G166" s="16"/>
      <c r="H166" s="38">
        <v>161</v>
      </c>
      <c r="I166" s="39" t="str">
        <f t="shared" si="12"/>
        <v/>
      </c>
      <c r="J166" s="38" t="e">
        <f t="shared" si="15"/>
        <v>#NUM!</v>
      </c>
      <c r="K166" s="38" t="e">
        <f t="shared" si="13"/>
        <v>#NUM!</v>
      </c>
      <c r="L166" s="38"/>
      <c r="M166" s="40">
        <f t="shared" si="14"/>
        <v>0</v>
      </c>
      <c r="N166" s="218" t="s">
        <v>74</v>
      </c>
      <c r="O166" s="218" t="s">
        <v>74</v>
      </c>
      <c r="P166" s="219" t="s">
        <v>74</v>
      </c>
      <c r="Q166" s="220" t="s">
        <v>74</v>
      </c>
      <c r="R166" s="220" t="s">
        <v>74</v>
      </c>
    </row>
    <row r="167" spans="1:18" x14ac:dyDescent="0.25">
      <c r="A167" s="59"/>
      <c r="G167" s="16"/>
      <c r="H167" s="38">
        <v>162</v>
      </c>
      <c r="I167" s="39" t="str">
        <f t="shared" si="12"/>
        <v/>
      </c>
      <c r="J167" s="38" t="e">
        <f t="shared" si="15"/>
        <v>#NUM!</v>
      </c>
      <c r="K167" s="38" t="e">
        <f t="shared" si="13"/>
        <v>#NUM!</v>
      </c>
      <c r="L167" s="38"/>
      <c r="M167" s="40">
        <f t="shared" si="14"/>
        <v>0</v>
      </c>
      <c r="N167" s="218" t="s">
        <v>74</v>
      </c>
      <c r="O167" s="218" t="s">
        <v>74</v>
      </c>
      <c r="P167" s="219" t="s">
        <v>74</v>
      </c>
      <c r="Q167" s="220" t="s">
        <v>74</v>
      </c>
      <c r="R167" s="220" t="s">
        <v>74</v>
      </c>
    </row>
    <row r="168" spans="1:18" x14ac:dyDescent="0.25">
      <c r="A168" s="59"/>
      <c r="G168" s="16"/>
      <c r="H168" s="38">
        <v>163</v>
      </c>
      <c r="I168" s="39" t="str">
        <f t="shared" si="12"/>
        <v/>
      </c>
      <c r="J168" s="38" t="e">
        <f t="shared" si="15"/>
        <v>#NUM!</v>
      </c>
      <c r="K168" s="38" t="e">
        <f t="shared" si="13"/>
        <v>#NUM!</v>
      </c>
      <c r="L168" s="38"/>
      <c r="M168" s="40">
        <f t="shared" si="14"/>
        <v>0</v>
      </c>
      <c r="N168" s="218" t="s">
        <v>74</v>
      </c>
      <c r="O168" s="218" t="s">
        <v>74</v>
      </c>
      <c r="P168" s="219" t="s">
        <v>74</v>
      </c>
      <c r="Q168" s="220" t="s">
        <v>74</v>
      </c>
      <c r="R168" s="220" t="s">
        <v>74</v>
      </c>
    </row>
    <row r="169" spans="1:18" x14ac:dyDescent="0.25">
      <c r="A169" s="59"/>
      <c r="G169" s="16"/>
      <c r="H169" s="38">
        <v>164</v>
      </c>
      <c r="I169" s="39" t="str">
        <f t="shared" si="12"/>
        <v/>
      </c>
      <c r="J169" s="38" t="e">
        <f t="shared" si="15"/>
        <v>#NUM!</v>
      </c>
      <c r="K169" s="38" t="e">
        <f t="shared" si="13"/>
        <v>#NUM!</v>
      </c>
      <c r="L169" s="38"/>
      <c r="M169" s="40">
        <f t="shared" si="14"/>
        <v>0</v>
      </c>
      <c r="N169" s="218" t="s">
        <v>74</v>
      </c>
      <c r="O169" s="218" t="s">
        <v>74</v>
      </c>
      <c r="P169" s="219" t="s">
        <v>74</v>
      </c>
      <c r="Q169" s="220" t="s">
        <v>74</v>
      </c>
      <c r="R169" s="220" t="s">
        <v>74</v>
      </c>
    </row>
    <row r="170" spans="1:18" x14ac:dyDescent="0.25">
      <c r="A170" s="59"/>
      <c r="G170" s="16"/>
      <c r="H170" s="38">
        <v>165</v>
      </c>
      <c r="I170" s="39" t="str">
        <f t="shared" si="12"/>
        <v/>
      </c>
      <c r="J170" s="38" t="e">
        <f t="shared" si="15"/>
        <v>#NUM!</v>
      </c>
      <c r="K170" s="38" t="e">
        <f t="shared" si="13"/>
        <v>#NUM!</v>
      </c>
      <c r="L170" s="38"/>
      <c r="M170" s="40">
        <f t="shared" si="14"/>
        <v>0</v>
      </c>
      <c r="N170" s="218" t="s">
        <v>74</v>
      </c>
      <c r="O170" s="218" t="s">
        <v>74</v>
      </c>
      <c r="P170" s="219" t="s">
        <v>74</v>
      </c>
      <c r="Q170" s="220" t="s">
        <v>74</v>
      </c>
      <c r="R170" s="220" t="s">
        <v>74</v>
      </c>
    </row>
    <row r="171" spans="1:18" x14ac:dyDescent="0.25">
      <c r="A171" s="59"/>
      <c r="G171" s="16"/>
      <c r="H171" s="38">
        <v>166</v>
      </c>
      <c r="I171" s="39" t="str">
        <f t="shared" si="12"/>
        <v/>
      </c>
      <c r="J171" s="38" t="e">
        <f t="shared" si="15"/>
        <v>#NUM!</v>
      </c>
      <c r="K171" s="38" t="e">
        <f t="shared" si="13"/>
        <v>#NUM!</v>
      </c>
      <c r="L171" s="38"/>
      <c r="M171" s="40">
        <f t="shared" si="14"/>
        <v>0</v>
      </c>
      <c r="N171" s="218" t="s">
        <v>74</v>
      </c>
      <c r="O171" s="218" t="s">
        <v>74</v>
      </c>
      <c r="P171" s="219" t="s">
        <v>74</v>
      </c>
      <c r="Q171" s="220" t="s">
        <v>74</v>
      </c>
      <c r="R171" s="220" t="s">
        <v>74</v>
      </c>
    </row>
    <row r="172" spans="1:18" x14ac:dyDescent="0.25">
      <c r="A172" s="59"/>
      <c r="G172" s="16"/>
      <c r="H172" s="38">
        <v>167</v>
      </c>
      <c r="I172" s="39" t="str">
        <f t="shared" si="12"/>
        <v/>
      </c>
      <c r="J172" s="38" t="e">
        <f t="shared" si="15"/>
        <v>#NUM!</v>
      </c>
      <c r="K172" s="38" t="e">
        <f t="shared" si="13"/>
        <v>#NUM!</v>
      </c>
      <c r="L172" s="38"/>
      <c r="M172" s="40">
        <f t="shared" si="14"/>
        <v>0</v>
      </c>
      <c r="N172" s="218" t="s">
        <v>74</v>
      </c>
      <c r="O172" s="218" t="s">
        <v>74</v>
      </c>
      <c r="P172" s="219" t="s">
        <v>74</v>
      </c>
      <c r="Q172" s="220" t="s">
        <v>74</v>
      </c>
      <c r="R172" s="220" t="s">
        <v>74</v>
      </c>
    </row>
    <row r="173" spans="1:18" x14ac:dyDescent="0.25">
      <c r="A173" s="59"/>
      <c r="G173" s="16"/>
      <c r="H173" s="38">
        <v>168</v>
      </c>
      <c r="I173" s="39" t="str">
        <f t="shared" si="12"/>
        <v/>
      </c>
      <c r="J173" s="38" t="e">
        <f t="shared" si="15"/>
        <v>#NUM!</v>
      </c>
      <c r="K173" s="38" t="e">
        <f t="shared" si="13"/>
        <v>#NUM!</v>
      </c>
      <c r="L173" s="38"/>
      <c r="M173" s="40">
        <f t="shared" si="14"/>
        <v>0</v>
      </c>
      <c r="N173" s="218" t="s">
        <v>74</v>
      </c>
      <c r="O173" s="218" t="s">
        <v>74</v>
      </c>
      <c r="P173" s="219" t="s">
        <v>74</v>
      </c>
      <c r="Q173" s="220" t="s">
        <v>74</v>
      </c>
      <c r="R173" s="220" t="s">
        <v>74</v>
      </c>
    </row>
    <row r="174" spans="1:18" x14ac:dyDescent="0.25">
      <c r="A174" s="59"/>
      <c r="G174" s="16"/>
      <c r="H174" s="38">
        <v>169</v>
      </c>
      <c r="I174" s="39" t="str">
        <f t="shared" si="12"/>
        <v/>
      </c>
      <c r="J174" s="38" t="e">
        <f t="shared" si="15"/>
        <v>#NUM!</v>
      </c>
      <c r="K174" s="38" t="e">
        <f t="shared" si="13"/>
        <v>#NUM!</v>
      </c>
      <c r="L174" s="38"/>
      <c r="M174" s="40">
        <f t="shared" si="14"/>
        <v>0</v>
      </c>
      <c r="N174" s="218" t="s">
        <v>74</v>
      </c>
      <c r="O174" s="218" t="s">
        <v>74</v>
      </c>
      <c r="P174" s="219" t="s">
        <v>74</v>
      </c>
      <c r="Q174" s="220" t="s">
        <v>74</v>
      </c>
      <c r="R174" s="220" t="s">
        <v>74</v>
      </c>
    </row>
    <row r="175" spans="1:18" x14ac:dyDescent="0.25">
      <c r="A175" s="59"/>
      <c r="G175" s="16"/>
      <c r="H175" s="38">
        <v>170</v>
      </c>
      <c r="I175" s="39" t="str">
        <f t="shared" si="12"/>
        <v/>
      </c>
      <c r="J175" s="38" t="e">
        <f t="shared" si="15"/>
        <v>#NUM!</v>
      </c>
      <c r="K175" s="38" t="e">
        <f t="shared" si="13"/>
        <v>#NUM!</v>
      </c>
      <c r="L175" s="38"/>
      <c r="M175" s="40">
        <f t="shared" si="14"/>
        <v>0</v>
      </c>
      <c r="N175" s="218" t="s">
        <v>74</v>
      </c>
      <c r="O175" s="218" t="s">
        <v>74</v>
      </c>
      <c r="P175" s="219" t="s">
        <v>74</v>
      </c>
      <c r="Q175" s="220" t="s">
        <v>74</v>
      </c>
      <c r="R175" s="220" t="s">
        <v>74</v>
      </c>
    </row>
    <row r="176" spans="1:18" x14ac:dyDescent="0.25">
      <c r="A176" s="59"/>
      <c r="G176" s="16"/>
      <c r="H176" s="38">
        <v>171</v>
      </c>
      <c r="I176" s="39" t="str">
        <f t="shared" si="12"/>
        <v/>
      </c>
      <c r="J176" s="38" t="e">
        <f t="shared" si="15"/>
        <v>#NUM!</v>
      </c>
      <c r="K176" s="38" t="e">
        <f t="shared" si="13"/>
        <v>#NUM!</v>
      </c>
      <c r="L176" s="38"/>
      <c r="M176" s="40">
        <f t="shared" si="14"/>
        <v>0</v>
      </c>
      <c r="N176" s="218" t="s">
        <v>74</v>
      </c>
      <c r="O176" s="218" t="s">
        <v>74</v>
      </c>
      <c r="P176" s="219" t="s">
        <v>74</v>
      </c>
      <c r="Q176" s="220" t="s">
        <v>74</v>
      </c>
      <c r="R176" s="220" t="s">
        <v>74</v>
      </c>
    </row>
    <row r="177" spans="1:18" x14ac:dyDescent="0.25">
      <c r="A177" s="59"/>
      <c r="G177" s="16"/>
      <c r="H177" s="38">
        <v>172</v>
      </c>
      <c r="I177" s="39" t="str">
        <f t="shared" si="12"/>
        <v/>
      </c>
      <c r="J177" s="38" t="e">
        <f t="shared" si="15"/>
        <v>#NUM!</v>
      </c>
      <c r="K177" s="38" t="e">
        <f t="shared" si="13"/>
        <v>#NUM!</v>
      </c>
      <c r="L177" s="38"/>
      <c r="M177" s="40">
        <f t="shared" si="14"/>
        <v>0</v>
      </c>
      <c r="N177" s="218" t="s">
        <v>74</v>
      </c>
      <c r="O177" s="218" t="s">
        <v>74</v>
      </c>
      <c r="P177" s="219" t="s">
        <v>74</v>
      </c>
      <c r="Q177" s="220" t="s">
        <v>74</v>
      </c>
      <c r="R177" s="220" t="s">
        <v>74</v>
      </c>
    </row>
    <row r="178" spans="1:18" x14ac:dyDescent="0.25">
      <c r="A178" s="59"/>
      <c r="G178" s="16"/>
      <c r="H178" s="38">
        <v>173</v>
      </c>
      <c r="I178" s="39" t="str">
        <f t="shared" si="12"/>
        <v/>
      </c>
      <c r="J178" s="38" t="e">
        <f t="shared" si="15"/>
        <v>#NUM!</v>
      </c>
      <c r="K178" s="38" t="e">
        <f t="shared" si="13"/>
        <v>#NUM!</v>
      </c>
      <c r="L178" s="38"/>
      <c r="M178" s="40">
        <f t="shared" si="14"/>
        <v>0</v>
      </c>
      <c r="N178" s="218" t="s">
        <v>74</v>
      </c>
      <c r="O178" s="218" t="s">
        <v>74</v>
      </c>
      <c r="P178" s="219" t="s">
        <v>74</v>
      </c>
      <c r="Q178" s="220" t="s">
        <v>74</v>
      </c>
      <c r="R178" s="220" t="s">
        <v>74</v>
      </c>
    </row>
    <row r="179" spans="1:18" x14ac:dyDescent="0.25">
      <c r="A179" s="59"/>
      <c r="G179" s="16"/>
      <c r="H179" s="38">
        <v>174</v>
      </c>
      <c r="I179" s="39" t="str">
        <f t="shared" si="12"/>
        <v/>
      </c>
      <c r="J179" s="38" t="e">
        <f t="shared" si="15"/>
        <v>#NUM!</v>
      </c>
      <c r="K179" s="38" t="e">
        <f t="shared" si="13"/>
        <v>#NUM!</v>
      </c>
      <c r="L179" s="38"/>
      <c r="M179" s="40">
        <f t="shared" si="14"/>
        <v>0</v>
      </c>
      <c r="N179" s="218" t="s">
        <v>74</v>
      </c>
      <c r="O179" s="218" t="s">
        <v>74</v>
      </c>
      <c r="P179" s="219" t="s">
        <v>74</v>
      </c>
      <c r="Q179" s="220" t="s">
        <v>74</v>
      </c>
      <c r="R179" s="220" t="s">
        <v>74</v>
      </c>
    </row>
    <row r="180" spans="1:18" x14ac:dyDescent="0.25">
      <c r="A180" s="59"/>
      <c r="G180" s="16"/>
      <c r="H180" s="38">
        <v>175</v>
      </c>
      <c r="I180" s="39" t="str">
        <f t="shared" si="12"/>
        <v/>
      </c>
      <c r="J180" s="38" t="e">
        <f t="shared" si="15"/>
        <v>#NUM!</v>
      </c>
      <c r="K180" s="38" t="e">
        <f t="shared" si="13"/>
        <v>#NUM!</v>
      </c>
      <c r="L180" s="38"/>
      <c r="M180" s="40">
        <f t="shared" si="14"/>
        <v>0</v>
      </c>
      <c r="N180" s="218" t="s">
        <v>74</v>
      </c>
      <c r="O180" s="218" t="s">
        <v>74</v>
      </c>
      <c r="P180" s="219" t="s">
        <v>74</v>
      </c>
      <c r="Q180" s="220" t="s">
        <v>74</v>
      </c>
      <c r="R180" s="220" t="s">
        <v>74</v>
      </c>
    </row>
    <row r="181" spans="1:18" x14ac:dyDescent="0.25">
      <c r="A181" s="59"/>
      <c r="G181" s="16"/>
      <c r="H181" s="38">
        <v>176</v>
      </c>
      <c r="I181" s="39" t="str">
        <f t="shared" si="12"/>
        <v/>
      </c>
      <c r="J181" s="38" t="e">
        <f t="shared" si="15"/>
        <v>#NUM!</v>
      </c>
      <c r="K181" s="38" t="e">
        <f t="shared" si="13"/>
        <v>#NUM!</v>
      </c>
      <c r="L181" s="38"/>
      <c r="M181" s="40">
        <f t="shared" si="14"/>
        <v>0</v>
      </c>
      <c r="N181" s="218" t="s">
        <v>74</v>
      </c>
      <c r="O181" s="218" t="s">
        <v>74</v>
      </c>
      <c r="P181" s="219" t="s">
        <v>74</v>
      </c>
      <c r="Q181" s="220" t="s">
        <v>74</v>
      </c>
      <c r="R181" s="220" t="s">
        <v>74</v>
      </c>
    </row>
    <row r="182" spans="1:18" x14ac:dyDescent="0.25">
      <c r="A182" s="59"/>
      <c r="G182" s="16"/>
      <c r="H182" s="38">
        <v>177</v>
      </c>
      <c r="I182" s="39" t="str">
        <f t="shared" si="12"/>
        <v/>
      </c>
      <c r="J182" s="38" t="e">
        <f t="shared" si="15"/>
        <v>#NUM!</v>
      </c>
      <c r="K182" s="38" t="e">
        <f t="shared" si="13"/>
        <v>#NUM!</v>
      </c>
      <c r="L182" s="38"/>
      <c r="M182" s="40">
        <f t="shared" si="14"/>
        <v>0</v>
      </c>
      <c r="N182" s="218" t="s">
        <v>74</v>
      </c>
      <c r="O182" s="218" t="s">
        <v>74</v>
      </c>
      <c r="P182" s="219" t="s">
        <v>74</v>
      </c>
      <c r="Q182" s="220" t="s">
        <v>74</v>
      </c>
      <c r="R182" s="220" t="s">
        <v>74</v>
      </c>
    </row>
    <row r="183" spans="1:18" x14ac:dyDescent="0.25">
      <c r="A183" s="59"/>
      <c r="G183" s="16"/>
      <c r="H183" s="38">
        <v>178</v>
      </c>
      <c r="I183" s="39" t="str">
        <f t="shared" si="12"/>
        <v/>
      </c>
      <c r="J183" s="38" t="e">
        <f t="shared" si="15"/>
        <v>#NUM!</v>
      </c>
      <c r="K183" s="38" t="e">
        <f t="shared" si="13"/>
        <v>#NUM!</v>
      </c>
      <c r="L183" s="38"/>
      <c r="M183" s="40">
        <f t="shared" si="14"/>
        <v>0</v>
      </c>
      <c r="N183" s="218" t="s">
        <v>74</v>
      </c>
      <c r="O183" s="218" t="s">
        <v>74</v>
      </c>
      <c r="P183" s="219" t="s">
        <v>74</v>
      </c>
      <c r="Q183" s="220" t="s">
        <v>74</v>
      </c>
      <c r="R183" s="220" t="s">
        <v>74</v>
      </c>
    </row>
    <row r="184" spans="1:18" x14ac:dyDescent="0.25">
      <c r="A184" s="59"/>
      <c r="G184" s="16"/>
      <c r="H184" s="38">
        <v>179</v>
      </c>
      <c r="I184" s="39" t="str">
        <f t="shared" si="12"/>
        <v/>
      </c>
      <c r="J184" s="38" t="e">
        <f t="shared" si="15"/>
        <v>#NUM!</v>
      </c>
      <c r="K184" s="38" t="e">
        <f t="shared" si="13"/>
        <v>#NUM!</v>
      </c>
      <c r="L184" s="38"/>
      <c r="M184" s="40">
        <f t="shared" si="14"/>
        <v>0</v>
      </c>
      <c r="N184" s="218" t="s">
        <v>74</v>
      </c>
      <c r="O184" s="218" t="s">
        <v>74</v>
      </c>
      <c r="P184" s="219" t="s">
        <v>74</v>
      </c>
      <c r="Q184" s="220" t="s">
        <v>74</v>
      </c>
      <c r="R184" s="220" t="s">
        <v>74</v>
      </c>
    </row>
    <row r="185" spans="1:18" x14ac:dyDescent="0.25">
      <c r="A185" s="59"/>
      <c r="G185" s="16"/>
      <c r="H185" s="38">
        <v>180</v>
      </c>
      <c r="I185" s="39" t="str">
        <f t="shared" si="12"/>
        <v/>
      </c>
      <c r="J185" s="38" t="e">
        <f t="shared" si="15"/>
        <v>#NUM!</v>
      </c>
      <c r="K185" s="38" t="e">
        <f t="shared" si="13"/>
        <v>#NUM!</v>
      </c>
      <c r="L185" s="38"/>
      <c r="M185" s="40">
        <f t="shared" si="14"/>
        <v>0</v>
      </c>
      <c r="N185" s="218" t="s">
        <v>74</v>
      </c>
      <c r="O185" s="218" t="s">
        <v>74</v>
      </c>
      <c r="P185" s="219" t="s">
        <v>74</v>
      </c>
      <c r="Q185" s="220" t="s">
        <v>74</v>
      </c>
      <c r="R185" s="220" t="s">
        <v>74</v>
      </c>
    </row>
    <row r="186" spans="1:18" x14ac:dyDescent="0.25">
      <c r="A186" s="59"/>
      <c r="G186" s="16"/>
      <c r="H186" s="38">
        <v>181</v>
      </c>
      <c r="I186" s="39" t="str">
        <f t="shared" si="12"/>
        <v/>
      </c>
      <c r="J186" s="38" t="e">
        <f t="shared" si="15"/>
        <v>#NUM!</v>
      </c>
      <c r="K186" s="38" t="e">
        <f t="shared" si="13"/>
        <v>#NUM!</v>
      </c>
      <c r="L186" s="38"/>
      <c r="M186" s="40">
        <f t="shared" si="14"/>
        <v>0</v>
      </c>
      <c r="N186" s="218" t="s">
        <v>74</v>
      </c>
      <c r="O186" s="218" t="s">
        <v>74</v>
      </c>
      <c r="P186" s="219" t="s">
        <v>74</v>
      </c>
      <c r="Q186" s="220" t="s">
        <v>74</v>
      </c>
      <c r="R186" s="220" t="s">
        <v>74</v>
      </c>
    </row>
    <row r="187" spans="1:18" x14ac:dyDescent="0.25">
      <c r="A187" s="59"/>
      <c r="G187" s="16"/>
      <c r="H187" s="38">
        <v>182</v>
      </c>
      <c r="I187" s="39" t="str">
        <f t="shared" si="12"/>
        <v/>
      </c>
      <c r="J187" s="38" t="e">
        <f t="shared" si="15"/>
        <v>#NUM!</v>
      </c>
      <c r="K187" s="38" t="e">
        <f t="shared" si="13"/>
        <v>#NUM!</v>
      </c>
      <c r="L187" s="38"/>
      <c r="M187" s="40">
        <f t="shared" si="14"/>
        <v>0</v>
      </c>
      <c r="N187" s="218" t="s">
        <v>74</v>
      </c>
      <c r="O187" s="218" t="s">
        <v>74</v>
      </c>
      <c r="P187" s="219" t="s">
        <v>74</v>
      </c>
      <c r="Q187" s="220" t="s">
        <v>74</v>
      </c>
      <c r="R187" s="220" t="s">
        <v>74</v>
      </c>
    </row>
    <row r="188" spans="1:18" x14ac:dyDescent="0.25">
      <c r="A188" s="59"/>
      <c r="G188" s="16"/>
      <c r="H188" s="38">
        <v>183</v>
      </c>
      <c r="I188" s="39" t="str">
        <f t="shared" si="12"/>
        <v/>
      </c>
      <c r="J188" s="38" t="e">
        <f t="shared" si="15"/>
        <v>#NUM!</v>
      </c>
      <c r="K188" s="38" t="e">
        <f t="shared" si="13"/>
        <v>#NUM!</v>
      </c>
      <c r="L188" s="38"/>
      <c r="M188" s="40">
        <f t="shared" si="14"/>
        <v>0</v>
      </c>
      <c r="N188" s="218" t="s">
        <v>74</v>
      </c>
      <c r="O188" s="218" t="s">
        <v>74</v>
      </c>
      <c r="P188" s="219" t="s">
        <v>74</v>
      </c>
      <c r="Q188" s="220" t="s">
        <v>74</v>
      </c>
      <c r="R188" s="220" t="s">
        <v>74</v>
      </c>
    </row>
    <row r="189" spans="1:18" x14ac:dyDescent="0.25">
      <c r="A189" s="59"/>
      <c r="G189" s="16"/>
      <c r="H189" s="38">
        <v>184</v>
      </c>
      <c r="I189" s="39" t="str">
        <f t="shared" si="12"/>
        <v/>
      </c>
      <c r="J189" s="38" t="e">
        <f t="shared" si="15"/>
        <v>#NUM!</v>
      </c>
      <c r="K189" s="38" t="e">
        <f t="shared" si="13"/>
        <v>#NUM!</v>
      </c>
      <c r="L189" s="38"/>
      <c r="M189" s="40">
        <f t="shared" si="14"/>
        <v>0</v>
      </c>
      <c r="N189" s="218" t="s">
        <v>74</v>
      </c>
      <c r="O189" s="218" t="s">
        <v>74</v>
      </c>
      <c r="P189" s="219" t="s">
        <v>74</v>
      </c>
      <c r="Q189" s="220" t="s">
        <v>74</v>
      </c>
      <c r="R189" s="220" t="s">
        <v>74</v>
      </c>
    </row>
    <row r="190" spans="1:18" x14ac:dyDescent="0.25">
      <c r="A190" s="59"/>
      <c r="G190" s="16"/>
      <c r="H190" s="38">
        <v>185</v>
      </c>
      <c r="I190" s="39" t="str">
        <f t="shared" si="12"/>
        <v/>
      </c>
      <c r="J190" s="38" t="e">
        <f t="shared" si="15"/>
        <v>#NUM!</v>
      </c>
      <c r="K190" s="38" t="e">
        <f t="shared" si="13"/>
        <v>#NUM!</v>
      </c>
      <c r="L190" s="38"/>
      <c r="M190" s="40">
        <f t="shared" si="14"/>
        <v>0</v>
      </c>
      <c r="N190" s="218" t="s">
        <v>74</v>
      </c>
      <c r="O190" s="218" t="s">
        <v>74</v>
      </c>
      <c r="P190" s="219" t="s">
        <v>74</v>
      </c>
      <c r="Q190" s="220" t="s">
        <v>74</v>
      </c>
      <c r="R190" s="220" t="s">
        <v>74</v>
      </c>
    </row>
    <row r="191" spans="1:18" x14ac:dyDescent="0.25">
      <c r="A191" s="59"/>
      <c r="G191" s="16"/>
      <c r="H191" s="38">
        <v>186</v>
      </c>
      <c r="I191" s="39" t="str">
        <f t="shared" si="12"/>
        <v/>
      </c>
      <c r="J191" s="38" t="e">
        <f t="shared" si="15"/>
        <v>#NUM!</v>
      </c>
      <c r="K191" s="38" t="e">
        <f t="shared" si="13"/>
        <v>#NUM!</v>
      </c>
      <c r="L191" s="38"/>
      <c r="M191" s="40">
        <f t="shared" si="14"/>
        <v>0</v>
      </c>
      <c r="N191" s="218" t="s">
        <v>74</v>
      </c>
      <c r="O191" s="218" t="s">
        <v>74</v>
      </c>
      <c r="P191" s="219" t="s">
        <v>74</v>
      </c>
      <c r="Q191" s="220" t="s">
        <v>74</v>
      </c>
      <c r="R191" s="220" t="s">
        <v>74</v>
      </c>
    </row>
    <row r="192" spans="1:18" x14ac:dyDescent="0.25">
      <c r="A192" s="59"/>
      <c r="G192" s="16"/>
      <c r="H192" s="38">
        <v>187</v>
      </c>
      <c r="I192" s="39" t="str">
        <f t="shared" si="12"/>
        <v/>
      </c>
      <c r="J192" s="38" t="e">
        <f t="shared" si="15"/>
        <v>#NUM!</v>
      </c>
      <c r="K192" s="38" t="e">
        <f t="shared" si="13"/>
        <v>#NUM!</v>
      </c>
      <c r="L192" s="38"/>
      <c r="M192" s="40">
        <f t="shared" si="14"/>
        <v>0</v>
      </c>
      <c r="N192" s="218" t="s">
        <v>74</v>
      </c>
      <c r="O192" s="218" t="s">
        <v>74</v>
      </c>
      <c r="P192" s="219" t="s">
        <v>74</v>
      </c>
      <c r="Q192" s="220" t="s">
        <v>74</v>
      </c>
      <c r="R192" s="220" t="s">
        <v>74</v>
      </c>
    </row>
    <row r="193" spans="1:18" x14ac:dyDescent="0.25">
      <c r="A193" s="59"/>
      <c r="G193" s="16"/>
      <c r="H193" s="38">
        <v>188</v>
      </c>
      <c r="I193" s="39" t="str">
        <f t="shared" si="12"/>
        <v/>
      </c>
      <c r="J193" s="38" t="e">
        <f t="shared" si="15"/>
        <v>#NUM!</v>
      </c>
      <c r="K193" s="38" t="e">
        <f t="shared" si="13"/>
        <v>#NUM!</v>
      </c>
      <c r="L193" s="38"/>
      <c r="M193" s="40">
        <f t="shared" si="14"/>
        <v>0</v>
      </c>
      <c r="N193" s="218" t="s">
        <v>74</v>
      </c>
      <c r="O193" s="218" t="s">
        <v>74</v>
      </c>
      <c r="P193" s="219" t="s">
        <v>74</v>
      </c>
      <c r="Q193" s="220" t="s">
        <v>74</v>
      </c>
      <c r="R193" s="220" t="s">
        <v>74</v>
      </c>
    </row>
    <row r="194" spans="1:18" x14ac:dyDescent="0.25">
      <c r="A194" s="59"/>
      <c r="G194" s="16"/>
      <c r="H194" s="38">
        <v>189</v>
      </c>
      <c r="I194" s="39" t="str">
        <f t="shared" si="12"/>
        <v/>
      </c>
      <c r="J194" s="38" t="e">
        <f t="shared" si="15"/>
        <v>#NUM!</v>
      </c>
      <c r="K194" s="38" t="e">
        <f t="shared" si="13"/>
        <v>#NUM!</v>
      </c>
      <c r="L194" s="38"/>
      <c r="M194" s="40">
        <f t="shared" si="14"/>
        <v>0</v>
      </c>
      <c r="N194" s="218" t="s">
        <v>74</v>
      </c>
      <c r="O194" s="218" t="s">
        <v>74</v>
      </c>
      <c r="P194" s="219" t="s">
        <v>74</v>
      </c>
      <c r="Q194" s="220" t="s">
        <v>74</v>
      </c>
      <c r="R194" s="220" t="s">
        <v>74</v>
      </c>
    </row>
    <row r="195" spans="1:18" x14ac:dyDescent="0.25">
      <c r="A195" s="59"/>
      <c r="G195" s="16"/>
      <c r="H195" s="38">
        <v>190</v>
      </c>
      <c r="I195" s="39" t="str">
        <f t="shared" si="12"/>
        <v/>
      </c>
      <c r="J195" s="38" t="e">
        <f t="shared" si="15"/>
        <v>#NUM!</v>
      </c>
      <c r="K195" s="38" t="e">
        <f t="shared" si="13"/>
        <v>#NUM!</v>
      </c>
      <c r="L195" s="38"/>
      <c r="M195" s="40">
        <f t="shared" si="14"/>
        <v>0</v>
      </c>
      <c r="N195" s="218" t="s">
        <v>74</v>
      </c>
      <c r="O195" s="218" t="s">
        <v>74</v>
      </c>
      <c r="P195" s="219" t="s">
        <v>74</v>
      </c>
      <c r="Q195" s="220" t="s">
        <v>74</v>
      </c>
      <c r="R195" s="220" t="s">
        <v>74</v>
      </c>
    </row>
    <row r="196" spans="1:18" x14ac:dyDescent="0.25">
      <c r="A196" s="59"/>
      <c r="G196" s="16"/>
      <c r="H196" s="38">
        <v>191</v>
      </c>
      <c r="I196" s="39" t="str">
        <f t="shared" si="12"/>
        <v/>
      </c>
      <c r="J196" s="38" t="e">
        <f t="shared" si="15"/>
        <v>#NUM!</v>
      </c>
      <c r="K196" s="38" t="e">
        <f t="shared" si="13"/>
        <v>#NUM!</v>
      </c>
      <c r="L196" s="38"/>
      <c r="M196" s="40">
        <f t="shared" si="14"/>
        <v>0</v>
      </c>
      <c r="N196" s="218" t="s">
        <v>74</v>
      </c>
      <c r="O196" s="218" t="s">
        <v>74</v>
      </c>
      <c r="P196" s="219" t="s">
        <v>74</v>
      </c>
      <c r="Q196" s="220" t="s">
        <v>74</v>
      </c>
      <c r="R196" s="220" t="s">
        <v>74</v>
      </c>
    </row>
    <row r="197" spans="1:18" x14ac:dyDescent="0.25">
      <c r="A197" s="59"/>
      <c r="G197" s="16"/>
      <c r="H197" s="38">
        <v>192</v>
      </c>
      <c r="I197" s="39" t="str">
        <f t="shared" si="12"/>
        <v/>
      </c>
      <c r="J197" s="38" t="e">
        <f t="shared" si="15"/>
        <v>#NUM!</v>
      </c>
      <c r="K197" s="38" t="e">
        <f t="shared" si="13"/>
        <v>#NUM!</v>
      </c>
      <c r="L197" s="38"/>
      <c r="M197" s="40">
        <f t="shared" si="14"/>
        <v>0</v>
      </c>
      <c r="N197" s="218" t="s">
        <v>74</v>
      </c>
      <c r="O197" s="218" t="s">
        <v>74</v>
      </c>
      <c r="P197" s="219" t="s">
        <v>74</v>
      </c>
      <c r="Q197" s="220" t="s">
        <v>74</v>
      </c>
      <c r="R197" s="220" t="s">
        <v>74</v>
      </c>
    </row>
    <row r="198" spans="1:18" x14ac:dyDescent="0.25">
      <c r="A198" s="59"/>
      <c r="G198" s="16"/>
      <c r="H198" s="38">
        <v>193</v>
      </c>
      <c r="I198" s="39" t="str">
        <f t="shared" ref="I198:I261" si="16">IF(H198&lt;$H$2+1,($I$2-($I$2-1)*(LOG(H198)/LOG($H$2))),"")</f>
        <v/>
      </c>
      <c r="J198" s="38" t="e">
        <f t="shared" si="15"/>
        <v>#NUM!</v>
      </c>
      <c r="K198" s="38" t="e">
        <f t="shared" ref="K198:K261" si="17">J198*$J$2</f>
        <v>#NUM!</v>
      </c>
      <c r="L198" s="38"/>
      <c r="M198" s="40">
        <f t="shared" ref="M198:M261" si="18">IF(I198&lt;&gt;"",K198+I198+L198,0)</f>
        <v>0</v>
      </c>
      <c r="N198" s="218" t="s">
        <v>74</v>
      </c>
      <c r="O198" s="218" t="s">
        <v>74</v>
      </c>
      <c r="P198" s="219" t="s">
        <v>74</v>
      </c>
      <c r="Q198" s="220" t="s">
        <v>74</v>
      </c>
      <c r="R198" s="220" t="s">
        <v>74</v>
      </c>
    </row>
    <row r="199" spans="1:18" x14ac:dyDescent="0.25">
      <c r="A199" s="59"/>
      <c r="G199" s="16"/>
      <c r="H199" s="38">
        <v>194</v>
      </c>
      <c r="I199" s="39" t="str">
        <f t="shared" si="16"/>
        <v/>
      </c>
      <c r="J199" s="38" t="e">
        <f t="shared" ref="J199:J262" si="19">INT(LOG($H$2,2))-ROUNDUP(LOG(H199,2),0)+IF(OR($H$2=1,$H$2=2,$H$2=4,$H$2=8,$H$2=16,$H$2=32,$H$2=64,$H$2=128,$H$2=256),1,0)</f>
        <v>#NUM!</v>
      </c>
      <c r="K199" s="38" t="e">
        <f t="shared" si="17"/>
        <v>#NUM!</v>
      </c>
      <c r="L199" s="38"/>
      <c r="M199" s="40">
        <f t="shared" si="18"/>
        <v>0</v>
      </c>
      <c r="N199" s="218" t="s">
        <v>74</v>
      </c>
      <c r="O199" s="218" t="s">
        <v>74</v>
      </c>
      <c r="P199" s="219" t="s">
        <v>74</v>
      </c>
      <c r="Q199" s="220" t="s">
        <v>74</v>
      </c>
      <c r="R199" s="220" t="s">
        <v>74</v>
      </c>
    </row>
    <row r="200" spans="1:18" x14ac:dyDescent="0.25">
      <c r="A200" s="59"/>
      <c r="G200" s="16"/>
      <c r="H200" s="38">
        <v>195</v>
      </c>
      <c r="I200" s="39" t="str">
        <f t="shared" si="16"/>
        <v/>
      </c>
      <c r="J200" s="38" t="e">
        <f t="shared" si="19"/>
        <v>#NUM!</v>
      </c>
      <c r="K200" s="38" t="e">
        <f t="shared" si="17"/>
        <v>#NUM!</v>
      </c>
      <c r="L200" s="38"/>
      <c r="M200" s="40">
        <f t="shared" si="18"/>
        <v>0</v>
      </c>
      <c r="N200" s="218" t="s">
        <v>74</v>
      </c>
      <c r="O200" s="218" t="s">
        <v>74</v>
      </c>
      <c r="P200" s="219" t="s">
        <v>74</v>
      </c>
      <c r="Q200" s="220" t="s">
        <v>74</v>
      </c>
      <c r="R200" s="220" t="s">
        <v>74</v>
      </c>
    </row>
    <row r="201" spans="1:18" x14ac:dyDescent="0.25">
      <c r="A201" s="59"/>
      <c r="G201" s="16"/>
      <c r="H201" s="38">
        <v>196</v>
      </c>
      <c r="I201" s="39" t="str">
        <f t="shared" si="16"/>
        <v/>
      </c>
      <c r="J201" s="38" t="e">
        <f t="shared" si="19"/>
        <v>#NUM!</v>
      </c>
      <c r="K201" s="38" t="e">
        <f t="shared" si="17"/>
        <v>#NUM!</v>
      </c>
      <c r="L201" s="38"/>
      <c r="M201" s="40">
        <f t="shared" si="18"/>
        <v>0</v>
      </c>
      <c r="N201" s="218" t="s">
        <v>74</v>
      </c>
      <c r="O201" s="218" t="s">
        <v>74</v>
      </c>
      <c r="P201" s="219" t="s">
        <v>74</v>
      </c>
      <c r="Q201" s="220" t="s">
        <v>74</v>
      </c>
      <c r="R201" s="220" t="s">
        <v>74</v>
      </c>
    </row>
    <row r="202" spans="1:18" x14ac:dyDescent="0.25">
      <c r="A202" s="59"/>
      <c r="G202" s="16"/>
      <c r="H202" s="38">
        <v>197</v>
      </c>
      <c r="I202" s="39" t="str">
        <f t="shared" si="16"/>
        <v/>
      </c>
      <c r="J202" s="38" t="e">
        <f t="shared" si="19"/>
        <v>#NUM!</v>
      </c>
      <c r="K202" s="38" t="e">
        <f t="shared" si="17"/>
        <v>#NUM!</v>
      </c>
      <c r="L202" s="38"/>
      <c r="M202" s="40">
        <f t="shared" si="18"/>
        <v>0</v>
      </c>
      <c r="N202" s="218" t="s">
        <v>74</v>
      </c>
      <c r="O202" s="218" t="s">
        <v>74</v>
      </c>
      <c r="P202" s="219" t="s">
        <v>74</v>
      </c>
      <c r="Q202" s="220" t="s">
        <v>74</v>
      </c>
      <c r="R202" s="220" t="s">
        <v>74</v>
      </c>
    </row>
    <row r="203" spans="1:18" x14ac:dyDescent="0.25">
      <c r="A203" s="59"/>
      <c r="G203" s="16"/>
      <c r="H203" s="38">
        <v>198</v>
      </c>
      <c r="I203" s="39" t="str">
        <f t="shared" si="16"/>
        <v/>
      </c>
      <c r="J203" s="38" t="e">
        <f t="shared" si="19"/>
        <v>#NUM!</v>
      </c>
      <c r="K203" s="38" t="e">
        <f t="shared" si="17"/>
        <v>#NUM!</v>
      </c>
      <c r="L203" s="38"/>
      <c r="M203" s="40">
        <f t="shared" si="18"/>
        <v>0</v>
      </c>
      <c r="N203" s="218" t="s">
        <v>74</v>
      </c>
      <c r="O203" s="218" t="s">
        <v>74</v>
      </c>
      <c r="P203" s="219" t="s">
        <v>74</v>
      </c>
      <c r="Q203" s="220" t="s">
        <v>74</v>
      </c>
      <c r="R203" s="220" t="s">
        <v>74</v>
      </c>
    </row>
    <row r="204" spans="1:18" x14ac:dyDescent="0.25">
      <c r="A204" s="59"/>
      <c r="G204" s="16"/>
      <c r="H204" s="38">
        <v>199</v>
      </c>
      <c r="I204" s="39" t="str">
        <f t="shared" si="16"/>
        <v/>
      </c>
      <c r="J204" s="38" t="e">
        <f t="shared" si="19"/>
        <v>#NUM!</v>
      </c>
      <c r="K204" s="38" t="e">
        <f t="shared" si="17"/>
        <v>#NUM!</v>
      </c>
      <c r="L204" s="38"/>
      <c r="M204" s="40">
        <f t="shared" si="18"/>
        <v>0</v>
      </c>
      <c r="N204" s="218" t="s">
        <v>74</v>
      </c>
      <c r="O204" s="218" t="s">
        <v>74</v>
      </c>
      <c r="P204" s="219" t="s">
        <v>74</v>
      </c>
      <c r="Q204" s="220" t="s">
        <v>74</v>
      </c>
      <c r="R204" s="220" t="s">
        <v>74</v>
      </c>
    </row>
    <row r="205" spans="1:18" x14ac:dyDescent="0.25">
      <c r="A205" s="59"/>
      <c r="G205" s="16"/>
      <c r="H205" s="38">
        <v>200</v>
      </c>
      <c r="I205" s="39" t="str">
        <f t="shared" si="16"/>
        <v/>
      </c>
      <c r="J205" s="38" t="e">
        <f t="shared" si="19"/>
        <v>#NUM!</v>
      </c>
      <c r="K205" s="38" t="e">
        <f t="shared" si="17"/>
        <v>#NUM!</v>
      </c>
      <c r="L205" s="38"/>
      <c r="M205" s="40">
        <f t="shared" si="18"/>
        <v>0</v>
      </c>
      <c r="N205" s="218" t="s">
        <v>74</v>
      </c>
      <c r="O205" s="218" t="s">
        <v>74</v>
      </c>
      <c r="P205" s="219" t="s">
        <v>74</v>
      </c>
      <c r="Q205" s="220" t="s">
        <v>74</v>
      </c>
      <c r="R205" s="220" t="s">
        <v>74</v>
      </c>
    </row>
    <row r="206" spans="1:18" x14ac:dyDescent="0.25">
      <c r="A206" s="59"/>
      <c r="G206" s="16"/>
      <c r="H206" s="38">
        <v>201</v>
      </c>
      <c r="I206" s="39" t="str">
        <f t="shared" si="16"/>
        <v/>
      </c>
      <c r="J206" s="38" t="e">
        <f t="shared" si="19"/>
        <v>#NUM!</v>
      </c>
      <c r="K206" s="38" t="e">
        <f t="shared" si="17"/>
        <v>#NUM!</v>
      </c>
      <c r="L206" s="38"/>
      <c r="M206" s="40">
        <f t="shared" si="18"/>
        <v>0</v>
      </c>
      <c r="N206" s="218" t="s">
        <v>74</v>
      </c>
      <c r="O206" s="218" t="s">
        <v>74</v>
      </c>
      <c r="P206" s="219" t="s">
        <v>74</v>
      </c>
      <c r="Q206" s="220" t="s">
        <v>74</v>
      </c>
      <c r="R206" s="220" t="s">
        <v>74</v>
      </c>
    </row>
    <row r="207" spans="1:18" x14ac:dyDescent="0.25">
      <c r="A207" s="59"/>
      <c r="G207" s="16"/>
      <c r="H207" s="38">
        <v>202</v>
      </c>
      <c r="I207" s="39" t="str">
        <f t="shared" si="16"/>
        <v/>
      </c>
      <c r="J207" s="38" t="e">
        <f t="shared" si="19"/>
        <v>#NUM!</v>
      </c>
      <c r="K207" s="38" t="e">
        <f t="shared" si="17"/>
        <v>#NUM!</v>
      </c>
      <c r="L207" s="38"/>
      <c r="M207" s="40">
        <f t="shared" si="18"/>
        <v>0</v>
      </c>
      <c r="N207" s="218" t="s">
        <v>74</v>
      </c>
      <c r="O207" s="218" t="s">
        <v>74</v>
      </c>
      <c r="P207" s="219" t="s">
        <v>74</v>
      </c>
      <c r="Q207" s="220" t="s">
        <v>74</v>
      </c>
      <c r="R207" s="220" t="s">
        <v>74</v>
      </c>
    </row>
    <row r="208" spans="1:18" x14ac:dyDescent="0.25">
      <c r="A208" s="59"/>
      <c r="G208" s="16"/>
      <c r="H208" s="38">
        <v>203</v>
      </c>
      <c r="I208" s="39" t="str">
        <f t="shared" si="16"/>
        <v/>
      </c>
      <c r="J208" s="38" t="e">
        <f t="shared" si="19"/>
        <v>#NUM!</v>
      </c>
      <c r="K208" s="38" t="e">
        <f t="shared" si="17"/>
        <v>#NUM!</v>
      </c>
      <c r="L208" s="38"/>
      <c r="M208" s="40">
        <f t="shared" si="18"/>
        <v>0</v>
      </c>
      <c r="N208" s="218" t="s">
        <v>74</v>
      </c>
      <c r="O208" s="218" t="s">
        <v>74</v>
      </c>
      <c r="P208" s="219" t="s">
        <v>74</v>
      </c>
      <c r="Q208" s="220" t="s">
        <v>74</v>
      </c>
      <c r="R208" s="220" t="s">
        <v>74</v>
      </c>
    </row>
    <row r="209" spans="1:18" x14ac:dyDescent="0.25">
      <c r="A209" s="59"/>
      <c r="G209" s="16"/>
      <c r="H209" s="38">
        <v>204</v>
      </c>
      <c r="I209" s="39" t="str">
        <f t="shared" si="16"/>
        <v/>
      </c>
      <c r="J209" s="38" t="e">
        <f t="shared" si="19"/>
        <v>#NUM!</v>
      </c>
      <c r="K209" s="38" t="e">
        <f t="shared" si="17"/>
        <v>#NUM!</v>
      </c>
      <c r="L209" s="38"/>
      <c r="M209" s="40">
        <f t="shared" si="18"/>
        <v>0</v>
      </c>
      <c r="N209" s="218" t="s">
        <v>74</v>
      </c>
      <c r="O209" s="218" t="s">
        <v>74</v>
      </c>
      <c r="P209" s="219" t="s">
        <v>74</v>
      </c>
      <c r="Q209" s="220" t="s">
        <v>74</v>
      </c>
      <c r="R209" s="220" t="s">
        <v>74</v>
      </c>
    </row>
    <row r="210" spans="1:18" x14ac:dyDescent="0.25">
      <c r="A210" s="59"/>
      <c r="G210" s="16"/>
      <c r="H210" s="38">
        <v>205</v>
      </c>
      <c r="I210" s="39" t="str">
        <f t="shared" si="16"/>
        <v/>
      </c>
      <c r="J210" s="38" t="e">
        <f t="shared" si="19"/>
        <v>#NUM!</v>
      </c>
      <c r="K210" s="38" t="e">
        <f t="shared" si="17"/>
        <v>#NUM!</v>
      </c>
      <c r="L210" s="38"/>
      <c r="M210" s="40">
        <f t="shared" si="18"/>
        <v>0</v>
      </c>
      <c r="N210" s="218" t="s">
        <v>74</v>
      </c>
      <c r="O210" s="218" t="s">
        <v>74</v>
      </c>
      <c r="P210" s="219" t="s">
        <v>74</v>
      </c>
      <c r="Q210" s="220" t="s">
        <v>74</v>
      </c>
      <c r="R210" s="220" t="s">
        <v>74</v>
      </c>
    </row>
    <row r="211" spans="1:18" x14ac:dyDescent="0.25">
      <c r="A211" s="59"/>
      <c r="G211" s="16"/>
      <c r="H211" s="38">
        <v>206</v>
      </c>
      <c r="I211" s="39" t="str">
        <f t="shared" si="16"/>
        <v/>
      </c>
      <c r="J211" s="38" t="e">
        <f t="shared" si="19"/>
        <v>#NUM!</v>
      </c>
      <c r="K211" s="38" t="e">
        <f t="shared" si="17"/>
        <v>#NUM!</v>
      </c>
      <c r="L211" s="38"/>
      <c r="M211" s="40">
        <f t="shared" si="18"/>
        <v>0</v>
      </c>
      <c r="N211" s="218" t="s">
        <v>74</v>
      </c>
      <c r="O211" s="218" t="s">
        <v>74</v>
      </c>
      <c r="P211" s="219" t="s">
        <v>74</v>
      </c>
      <c r="Q211" s="220" t="s">
        <v>74</v>
      </c>
      <c r="R211" s="220" t="s">
        <v>74</v>
      </c>
    </row>
    <row r="212" spans="1:18" x14ac:dyDescent="0.25">
      <c r="A212" s="59"/>
      <c r="G212" s="16"/>
      <c r="H212" s="38">
        <v>207</v>
      </c>
      <c r="I212" s="39" t="str">
        <f t="shared" si="16"/>
        <v/>
      </c>
      <c r="J212" s="38" t="e">
        <f t="shared" si="19"/>
        <v>#NUM!</v>
      </c>
      <c r="K212" s="38" t="e">
        <f t="shared" si="17"/>
        <v>#NUM!</v>
      </c>
      <c r="L212" s="38"/>
      <c r="M212" s="40">
        <f t="shared" si="18"/>
        <v>0</v>
      </c>
      <c r="N212" s="218" t="s">
        <v>74</v>
      </c>
      <c r="O212" s="218" t="s">
        <v>74</v>
      </c>
      <c r="P212" s="219" t="s">
        <v>74</v>
      </c>
      <c r="Q212" s="220" t="s">
        <v>74</v>
      </c>
      <c r="R212" s="220" t="s">
        <v>74</v>
      </c>
    </row>
    <row r="213" spans="1:18" x14ac:dyDescent="0.25">
      <c r="A213" s="59"/>
      <c r="G213" s="16"/>
      <c r="H213" s="38">
        <v>208</v>
      </c>
      <c r="I213" s="39" t="str">
        <f t="shared" si="16"/>
        <v/>
      </c>
      <c r="J213" s="38" t="e">
        <f t="shared" si="19"/>
        <v>#NUM!</v>
      </c>
      <c r="K213" s="38" t="e">
        <f t="shared" si="17"/>
        <v>#NUM!</v>
      </c>
      <c r="L213" s="38"/>
      <c r="M213" s="40">
        <f t="shared" si="18"/>
        <v>0</v>
      </c>
      <c r="N213" s="218" t="s">
        <v>74</v>
      </c>
      <c r="O213" s="218" t="s">
        <v>74</v>
      </c>
      <c r="P213" s="219" t="s">
        <v>74</v>
      </c>
      <c r="Q213" s="220" t="s">
        <v>74</v>
      </c>
      <c r="R213" s="220" t="s">
        <v>74</v>
      </c>
    </row>
    <row r="214" spans="1:18" x14ac:dyDescent="0.25">
      <c r="A214" s="59"/>
      <c r="G214" s="16"/>
      <c r="H214" s="38">
        <v>209</v>
      </c>
      <c r="I214" s="39" t="str">
        <f t="shared" si="16"/>
        <v/>
      </c>
      <c r="J214" s="38" t="e">
        <f t="shared" si="19"/>
        <v>#NUM!</v>
      </c>
      <c r="K214" s="38" t="e">
        <f t="shared" si="17"/>
        <v>#NUM!</v>
      </c>
      <c r="L214" s="38"/>
      <c r="M214" s="40">
        <f t="shared" si="18"/>
        <v>0</v>
      </c>
      <c r="N214" s="218" t="s">
        <v>74</v>
      </c>
      <c r="O214" s="218" t="s">
        <v>74</v>
      </c>
      <c r="P214" s="219" t="s">
        <v>74</v>
      </c>
      <c r="Q214" s="220" t="s">
        <v>74</v>
      </c>
      <c r="R214" s="220" t="s">
        <v>74</v>
      </c>
    </row>
    <row r="215" spans="1:18" x14ac:dyDescent="0.25">
      <c r="A215" s="59"/>
      <c r="G215" s="16"/>
      <c r="H215" s="38">
        <v>210</v>
      </c>
      <c r="I215" s="39" t="str">
        <f t="shared" si="16"/>
        <v/>
      </c>
      <c r="J215" s="38" t="e">
        <f t="shared" si="19"/>
        <v>#NUM!</v>
      </c>
      <c r="K215" s="38" t="e">
        <f t="shared" si="17"/>
        <v>#NUM!</v>
      </c>
      <c r="L215" s="38"/>
      <c r="M215" s="40">
        <f t="shared" si="18"/>
        <v>0</v>
      </c>
      <c r="N215" s="218" t="s">
        <v>74</v>
      </c>
      <c r="O215" s="218" t="s">
        <v>74</v>
      </c>
      <c r="P215" s="219" t="s">
        <v>74</v>
      </c>
      <c r="Q215" s="220" t="s">
        <v>74</v>
      </c>
      <c r="R215" s="220" t="s">
        <v>74</v>
      </c>
    </row>
    <row r="216" spans="1:18" x14ac:dyDescent="0.25">
      <c r="A216" s="59"/>
      <c r="G216" s="16"/>
      <c r="H216" s="38">
        <v>211</v>
      </c>
      <c r="I216" s="39" t="str">
        <f t="shared" si="16"/>
        <v/>
      </c>
      <c r="J216" s="38" t="e">
        <f t="shared" si="19"/>
        <v>#NUM!</v>
      </c>
      <c r="K216" s="38" t="e">
        <f t="shared" si="17"/>
        <v>#NUM!</v>
      </c>
      <c r="L216" s="38"/>
      <c r="M216" s="40">
        <f t="shared" si="18"/>
        <v>0</v>
      </c>
      <c r="N216" s="218" t="s">
        <v>74</v>
      </c>
      <c r="O216" s="218" t="s">
        <v>74</v>
      </c>
      <c r="P216" s="219" t="s">
        <v>74</v>
      </c>
      <c r="Q216" s="220" t="s">
        <v>74</v>
      </c>
      <c r="R216" s="220" t="s">
        <v>74</v>
      </c>
    </row>
    <row r="217" spans="1:18" x14ac:dyDescent="0.25">
      <c r="A217" s="59"/>
      <c r="G217" s="16"/>
      <c r="H217" s="38">
        <v>212</v>
      </c>
      <c r="I217" s="39" t="str">
        <f t="shared" si="16"/>
        <v/>
      </c>
      <c r="J217" s="38" t="e">
        <f t="shared" si="19"/>
        <v>#NUM!</v>
      </c>
      <c r="K217" s="38" t="e">
        <f t="shared" si="17"/>
        <v>#NUM!</v>
      </c>
      <c r="L217" s="38"/>
      <c r="M217" s="40">
        <f t="shared" si="18"/>
        <v>0</v>
      </c>
      <c r="N217" s="218" t="s">
        <v>74</v>
      </c>
      <c r="O217" s="218" t="s">
        <v>74</v>
      </c>
      <c r="P217" s="219" t="s">
        <v>74</v>
      </c>
      <c r="Q217" s="220" t="s">
        <v>74</v>
      </c>
      <c r="R217" s="220" t="s">
        <v>74</v>
      </c>
    </row>
    <row r="218" spans="1:18" x14ac:dyDescent="0.25">
      <c r="A218" s="59"/>
      <c r="G218" s="16"/>
      <c r="H218" s="38">
        <v>213</v>
      </c>
      <c r="I218" s="39" t="str">
        <f t="shared" si="16"/>
        <v/>
      </c>
      <c r="J218" s="38" t="e">
        <f t="shared" si="19"/>
        <v>#NUM!</v>
      </c>
      <c r="K218" s="38" t="e">
        <f t="shared" si="17"/>
        <v>#NUM!</v>
      </c>
      <c r="L218" s="38"/>
      <c r="M218" s="40">
        <f t="shared" si="18"/>
        <v>0</v>
      </c>
      <c r="N218" s="218" t="s">
        <v>74</v>
      </c>
      <c r="O218" s="218" t="s">
        <v>74</v>
      </c>
      <c r="P218" s="219" t="s">
        <v>74</v>
      </c>
      <c r="Q218" s="220" t="s">
        <v>74</v>
      </c>
      <c r="R218" s="220" t="s">
        <v>74</v>
      </c>
    </row>
    <row r="219" spans="1:18" x14ac:dyDescent="0.25">
      <c r="A219" s="59"/>
      <c r="G219" s="16"/>
      <c r="H219" s="38">
        <v>214</v>
      </c>
      <c r="I219" s="39" t="str">
        <f t="shared" si="16"/>
        <v/>
      </c>
      <c r="J219" s="38" t="e">
        <f t="shared" si="19"/>
        <v>#NUM!</v>
      </c>
      <c r="K219" s="38" t="e">
        <f t="shared" si="17"/>
        <v>#NUM!</v>
      </c>
      <c r="L219" s="38"/>
      <c r="M219" s="40">
        <f t="shared" si="18"/>
        <v>0</v>
      </c>
      <c r="N219" s="218" t="s">
        <v>74</v>
      </c>
      <c r="O219" s="218" t="s">
        <v>74</v>
      </c>
      <c r="P219" s="219" t="s">
        <v>74</v>
      </c>
      <c r="Q219" s="220" t="s">
        <v>74</v>
      </c>
      <c r="R219" s="220" t="s">
        <v>74</v>
      </c>
    </row>
    <row r="220" spans="1:18" x14ac:dyDescent="0.25">
      <c r="A220" s="59"/>
      <c r="G220" s="16"/>
      <c r="H220" s="38">
        <v>215</v>
      </c>
      <c r="I220" s="39" t="str">
        <f t="shared" si="16"/>
        <v/>
      </c>
      <c r="J220" s="38" t="e">
        <f t="shared" si="19"/>
        <v>#NUM!</v>
      </c>
      <c r="K220" s="38" t="e">
        <f t="shared" si="17"/>
        <v>#NUM!</v>
      </c>
      <c r="L220" s="38"/>
      <c r="M220" s="40">
        <f t="shared" si="18"/>
        <v>0</v>
      </c>
      <c r="N220" s="218" t="s">
        <v>74</v>
      </c>
      <c r="O220" s="218" t="s">
        <v>74</v>
      </c>
      <c r="P220" s="219" t="s">
        <v>74</v>
      </c>
      <c r="Q220" s="220" t="s">
        <v>74</v>
      </c>
      <c r="R220" s="220" t="s">
        <v>74</v>
      </c>
    </row>
    <row r="221" spans="1:18" x14ac:dyDescent="0.25">
      <c r="A221" s="59"/>
      <c r="G221" s="16"/>
      <c r="H221" s="38">
        <v>216</v>
      </c>
      <c r="I221" s="39" t="str">
        <f t="shared" si="16"/>
        <v/>
      </c>
      <c r="J221" s="38" t="e">
        <f t="shared" si="19"/>
        <v>#NUM!</v>
      </c>
      <c r="K221" s="38" t="e">
        <f t="shared" si="17"/>
        <v>#NUM!</v>
      </c>
      <c r="L221" s="38"/>
      <c r="M221" s="40">
        <f t="shared" si="18"/>
        <v>0</v>
      </c>
      <c r="N221" s="218" t="s">
        <v>74</v>
      </c>
      <c r="O221" s="218" t="s">
        <v>74</v>
      </c>
      <c r="P221" s="219" t="s">
        <v>74</v>
      </c>
      <c r="Q221" s="220" t="s">
        <v>74</v>
      </c>
      <c r="R221" s="220" t="s">
        <v>74</v>
      </c>
    </row>
    <row r="222" spans="1:18" x14ac:dyDescent="0.25">
      <c r="A222" s="59"/>
      <c r="G222" s="16"/>
      <c r="H222" s="38">
        <v>217</v>
      </c>
      <c r="I222" s="39" t="str">
        <f t="shared" si="16"/>
        <v/>
      </c>
      <c r="J222" s="38" t="e">
        <f t="shared" si="19"/>
        <v>#NUM!</v>
      </c>
      <c r="K222" s="38" t="e">
        <f t="shared" si="17"/>
        <v>#NUM!</v>
      </c>
      <c r="L222" s="38"/>
      <c r="M222" s="40">
        <f t="shared" si="18"/>
        <v>0</v>
      </c>
      <c r="N222" s="218" t="s">
        <v>74</v>
      </c>
      <c r="O222" s="218" t="s">
        <v>74</v>
      </c>
      <c r="P222" s="219" t="s">
        <v>74</v>
      </c>
      <c r="Q222" s="220" t="s">
        <v>74</v>
      </c>
      <c r="R222" s="220" t="s">
        <v>74</v>
      </c>
    </row>
    <row r="223" spans="1:18" x14ac:dyDescent="0.25">
      <c r="A223" s="59"/>
      <c r="G223" s="16"/>
      <c r="H223" s="38">
        <v>218</v>
      </c>
      <c r="I223" s="39" t="str">
        <f t="shared" si="16"/>
        <v/>
      </c>
      <c r="J223" s="38" t="e">
        <f t="shared" si="19"/>
        <v>#NUM!</v>
      </c>
      <c r="K223" s="38" t="e">
        <f t="shared" si="17"/>
        <v>#NUM!</v>
      </c>
      <c r="L223" s="38"/>
      <c r="M223" s="40">
        <f t="shared" si="18"/>
        <v>0</v>
      </c>
      <c r="N223" s="218" t="s">
        <v>74</v>
      </c>
      <c r="O223" s="218" t="s">
        <v>74</v>
      </c>
      <c r="P223" s="219" t="s">
        <v>74</v>
      </c>
      <c r="Q223" s="220" t="s">
        <v>74</v>
      </c>
      <c r="R223" s="220" t="s">
        <v>74</v>
      </c>
    </row>
    <row r="224" spans="1:18" x14ac:dyDescent="0.25">
      <c r="A224" s="59"/>
      <c r="G224" s="16"/>
      <c r="H224" s="38">
        <v>219</v>
      </c>
      <c r="I224" s="39" t="str">
        <f t="shared" si="16"/>
        <v/>
      </c>
      <c r="J224" s="38" t="e">
        <f t="shared" si="19"/>
        <v>#NUM!</v>
      </c>
      <c r="K224" s="38" t="e">
        <f t="shared" si="17"/>
        <v>#NUM!</v>
      </c>
      <c r="L224" s="38"/>
      <c r="M224" s="40">
        <f t="shared" si="18"/>
        <v>0</v>
      </c>
      <c r="N224" s="218" t="s">
        <v>74</v>
      </c>
      <c r="O224" s="218" t="s">
        <v>74</v>
      </c>
      <c r="P224" s="219" t="s">
        <v>74</v>
      </c>
      <c r="Q224" s="220" t="s">
        <v>74</v>
      </c>
      <c r="R224" s="220" t="s">
        <v>74</v>
      </c>
    </row>
    <row r="225" spans="1:18" x14ac:dyDescent="0.25">
      <c r="A225" s="59"/>
      <c r="G225" s="16"/>
      <c r="H225" s="38">
        <v>220</v>
      </c>
      <c r="I225" s="39" t="str">
        <f t="shared" si="16"/>
        <v/>
      </c>
      <c r="J225" s="38" t="e">
        <f t="shared" si="19"/>
        <v>#NUM!</v>
      </c>
      <c r="K225" s="38" t="e">
        <f t="shared" si="17"/>
        <v>#NUM!</v>
      </c>
      <c r="L225" s="38"/>
      <c r="M225" s="40">
        <f t="shared" si="18"/>
        <v>0</v>
      </c>
      <c r="N225" s="218" t="s">
        <v>74</v>
      </c>
      <c r="O225" s="218" t="s">
        <v>74</v>
      </c>
      <c r="P225" s="219" t="s">
        <v>74</v>
      </c>
      <c r="Q225" s="220" t="s">
        <v>74</v>
      </c>
      <c r="R225" s="220" t="s">
        <v>74</v>
      </c>
    </row>
    <row r="226" spans="1:18" x14ac:dyDescent="0.25">
      <c r="A226" s="59"/>
      <c r="G226" s="16"/>
      <c r="H226" s="38">
        <v>221</v>
      </c>
      <c r="I226" s="39" t="str">
        <f t="shared" si="16"/>
        <v/>
      </c>
      <c r="J226" s="38" t="e">
        <f t="shared" si="19"/>
        <v>#NUM!</v>
      </c>
      <c r="K226" s="38" t="e">
        <f t="shared" si="17"/>
        <v>#NUM!</v>
      </c>
      <c r="L226" s="38"/>
      <c r="M226" s="40">
        <f t="shared" si="18"/>
        <v>0</v>
      </c>
      <c r="N226" s="218" t="s">
        <v>74</v>
      </c>
      <c r="O226" s="218" t="s">
        <v>74</v>
      </c>
      <c r="P226" s="219" t="s">
        <v>74</v>
      </c>
      <c r="Q226" s="220" t="s">
        <v>74</v>
      </c>
      <c r="R226" s="220" t="s">
        <v>74</v>
      </c>
    </row>
    <row r="227" spans="1:18" x14ac:dyDescent="0.25">
      <c r="A227" s="59"/>
      <c r="G227" s="16"/>
      <c r="H227" s="38">
        <v>222</v>
      </c>
      <c r="I227" s="39" t="str">
        <f t="shared" si="16"/>
        <v/>
      </c>
      <c r="J227" s="38" t="e">
        <f t="shared" si="19"/>
        <v>#NUM!</v>
      </c>
      <c r="K227" s="38" t="e">
        <f t="shared" si="17"/>
        <v>#NUM!</v>
      </c>
      <c r="L227" s="38"/>
      <c r="M227" s="40">
        <f t="shared" si="18"/>
        <v>0</v>
      </c>
      <c r="N227" s="218" t="s">
        <v>74</v>
      </c>
      <c r="O227" s="218" t="s">
        <v>74</v>
      </c>
      <c r="P227" s="219" t="s">
        <v>74</v>
      </c>
      <c r="Q227" s="220" t="s">
        <v>74</v>
      </c>
      <c r="R227" s="220" t="s">
        <v>74</v>
      </c>
    </row>
    <row r="228" spans="1:18" x14ac:dyDescent="0.25">
      <c r="A228" s="59"/>
      <c r="G228" s="16"/>
      <c r="H228" s="38">
        <v>223</v>
      </c>
      <c r="I228" s="39" t="str">
        <f t="shared" si="16"/>
        <v/>
      </c>
      <c r="J228" s="38" t="e">
        <f t="shared" si="19"/>
        <v>#NUM!</v>
      </c>
      <c r="K228" s="38" t="e">
        <f t="shared" si="17"/>
        <v>#NUM!</v>
      </c>
      <c r="L228" s="38"/>
      <c r="M228" s="40">
        <f t="shared" si="18"/>
        <v>0</v>
      </c>
      <c r="N228" s="218" t="s">
        <v>74</v>
      </c>
      <c r="O228" s="218" t="s">
        <v>74</v>
      </c>
      <c r="P228" s="219" t="s">
        <v>74</v>
      </c>
      <c r="Q228" s="220" t="s">
        <v>74</v>
      </c>
      <c r="R228" s="220" t="s">
        <v>74</v>
      </c>
    </row>
    <row r="229" spans="1:18" x14ac:dyDescent="0.25">
      <c r="A229" s="59"/>
      <c r="G229" s="16"/>
      <c r="H229" s="38">
        <v>224</v>
      </c>
      <c r="I229" s="39" t="str">
        <f t="shared" si="16"/>
        <v/>
      </c>
      <c r="J229" s="38" t="e">
        <f t="shared" si="19"/>
        <v>#NUM!</v>
      </c>
      <c r="K229" s="38" t="e">
        <f t="shared" si="17"/>
        <v>#NUM!</v>
      </c>
      <c r="L229" s="38"/>
      <c r="M229" s="40">
        <f t="shared" si="18"/>
        <v>0</v>
      </c>
      <c r="N229" s="218" t="s">
        <v>74</v>
      </c>
      <c r="O229" s="218" t="s">
        <v>74</v>
      </c>
      <c r="P229" s="219" t="s">
        <v>74</v>
      </c>
      <c r="Q229" s="220" t="s">
        <v>74</v>
      </c>
      <c r="R229" s="220" t="s">
        <v>74</v>
      </c>
    </row>
    <row r="230" spans="1:18" x14ac:dyDescent="0.25">
      <c r="A230" s="59"/>
      <c r="G230" s="16"/>
      <c r="H230" s="38">
        <v>225</v>
      </c>
      <c r="I230" s="39" t="str">
        <f t="shared" si="16"/>
        <v/>
      </c>
      <c r="J230" s="38" t="e">
        <f t="shared" si="19"/>
        <v>#NUM!</v>
      </c>
      <c r="K230" s="38" t="e">
        <f t="shared" si="17"/>
        <v>#NUM!</v>
      </c>
      <c r="L230" s="38"/>
      <c r="M230" s="40">
        <f t="shared" si="18"/>
        <v>0</v>
      </c>
      <c r="N230" s="218" t="s">
        <v>74</v>
      </c>
      <c r="O230" s="218" t="s">
        <v>74</v>
      </c>
      <c r="P230" s="219" t="s">
        <v>74</v>
      </c>
      <c r="Q230" s="220" t="s">
        <v>74</v>
      </c>
      <c r="R230" s="220" t="s">
        <v>74</v>
      </c>
    </row>
    <row r="231" spans="1:18" x14ac:dyDescent="0.25">
      <c r="A231" s="59"/>
      <c r="G231" s="16"/>
      <c r="H231" s="38">
        <v>226</v>
      </c>
      <c r="I231" s="39" t="str">
        <f t="shared" si="16"/>
        <v/>
      </c>
      <c r="J231" s="38" t="e">
        <f t="shared" si="19"/>
        <v>#NUM!</v>
      </c>
      <c r="K231" s="38" t="e">
        <f t="shared" si="17"/>
        <v>#NUM!</v>
      </c>
      <c r="L231" s="38"/>
      <c r="M231" s="40">
        <f t="shared" si="18"/>
        <v>0</v>
      </c>
      <c r="N231" s="218" t="s">
        <v>74</v>
      </c>
      <c r="O231" s="218" t="s">
        <v>74</v>
      </c>
      <c r="P231" s="219" t="s">
        <v>74</v>
      </c>
      <c r="Q231" s="220" t="s">
        <v>74</v>
      </c>
      <c r="R231" s="220" t="s">
        <v>74</v>
      </c>
    </row>
    <row r="232" spans="1:18" x14ac:dyDescent="0.25">
      <c r="A232" s="59"/>
      <c r="G232" s="16"/>
      <c r="H232" s="38">
        <v>227</v>
      </c>
      <c r="I232" s="39" t="str">
        <f t="shared" si="16"/>
        <v/>
      </c>
      <c r="J232" s="38" t="e">
        <f t="shared" si="19"/>
        <v>#NUM!</v>
      </c>
      <c r="K232" s="38" t="e">
        <f t="shared" si="17"/>
        <v>#NUM!</v>
      </c>
      <c r="L232" s="38"/>
      <c r="M232" s="40">
        <f t="shared" si="18"/>
        <v>0</v>
      </c>
      <c r="N232" s="218" t="s">
        <v>74</v>
      </c>
      <c r="O232" s="218" t="s">
        <v>74</v>
      </c>
      <c r="P232" s="219" t="s">
        <v>74</v>
      </c>
      <c r="Q232" s="220" t="s">
        <v>74</v>
      </c>
      <c r="R232" s="220" t="s">
        <v>74</v>
      </c>
    </row>
    <row r="233" spans="1:18" x14ac:dyDescent="0.25">
      <c r="A233" s="59"/>
      <c r="G233" s="16"/>
      <c r="H233" s="38">
        <v>228</v>
      </c>
      <c r="I233" s="39" t="str">
        <f t="shared" si="16"/>
        <v/>
      </c>
      <c r="J233" s="38" t="e">
        <f t="shared" si="19"/>
        <v>#NUM!</v>
      </c>
      <c r="K233" s="38" t="e">
        <f t="shared" si="17"/>
        <v>#NUM!</v>
      </c>
      <c r="L233" s="38"/>
      <c r="M233" s="40">
        <f t="shared" si="18"/>
        <v>0</v>
      </c>
      <c r="N233" s="218" t="s">
        <v>74</v>
      </c>
      <c r="O233" s="218" t="s">
        <v>74</v>
      </c>
      <c r="P233" s="219" t="s">
        <v>74</v>
      </c>
      <c r="Q233" s="220" t="s">
        <v>74</v>
      </c>
      <c r="R233" s="220" t="s">
        <v>74</v>
      </c>
    </row>
    <row r="234" spans="1:18" x14ac:dyDescent="0.25">
      <c r="A234" s="59"/>
      <c r="G234" s="16"/>
      <c r="H234" s="38">
        <v>229</v>
      </c>
      <c r="I234" s="39" t="str">
        <f t="shared" si="16"/>
        <v/>
      </c>
      <c r="J234" s="38" t="e">
        <f t="shared" si="19"/>
        <v>#NUM!</v>
      </c>
      <c r="K234" s="38" t="e">
        <f t="shared" si="17"/>
        <v>#NUM!</v>
      </c>
      <c r="L234" s="38"/>
      <c r="M234" s="40">
        <f t="shared" si="18"/>
        <v>0</v>
      </c>
      <c r="N234" s="218" t="s">
        <v>74</v>
      </c>
      <c r="O234" s="218" t="s">
        <v>74</v>
      </c>
      <c r="P234" s="219" t="s">
        <v>74</v>
      </c>
      <c r="Q234" s="220" t="s">
        <v>74</v>
      </c>
      <c r="R234" s="220" t="s">
        <v>74</v>
      </c>
    </row>
    <row r="235" spans="1:18" x14ac:dyDescent="0.25">
      <c r="A235" s="59"/>
      <c r="G235" s="16"/>
      <c r="H235" s="38">
        <v>230</v>
      </c>
      <c r="I235" s="39" t="str">
        <f t="shared" si="16"/>
        <v/>
      </c>
      <c r="J235" s="38" t="e">
        <f t="shared" si="19"/>
        <v>#NUM!</v>
      </c>
      <c r="K235" s="38" t="e">
        <f t="shared" si="17"/>
        <v>#NUM!</v>
      </c>
      <c r="L235" s="38"/>
      <c r="M235" s="40">
        <f t="shared" si="18"/>
        <v>0</v>
      </c>
      <c r="N235" s="218" t="s">
        <v>74</v>
      </c>
      <c r="O235" s="218" t="s">
        <v>74</v>
      </c>
      <c r="P235" s="219" t="s">
        <v>74</v>
      </c>
      <c r="Q235" s="220" t="s">
        <v>74</v>
      </c>
      <c r="R235" s="220" t="s">
        <v>74</v>
      </c>
    </row>
    <row r="236" spans="1:18" x14ac:dyDescent="0.25">
      <c r="A236" s="59"/>
      <c r="G236" s="16"/>
      <c r="H236" s="38">
        <v>231</v>
      </c>
      <c r="I236" s="39" t="str">
        <f t="shared" si="16"/>
        <v/>
      </c>
      <c r="J236" s="38" t="e">
        <f t="shared" si="19"/>
        <v>#NUM!</v>
      </c>
      <c r="K236" s="38" t="e">
        <f t="shared" si="17"/>
        <v>#NUM!</v>
      </c>
      <c r="L236" s="38"/>
      <c r="M236" s="40">
        <f t="shared" si="18"/>
        <v>0</v>
      </c>
      <c r="N236" s="218" t="s">
        <v>74</v>
      </c>
      <c r="O236" s="218" t="s">
        <v>74</v>
      </c>
      <c r="P236" s="219" t="s">
        <v>74</v>
      </c>
      <c r="Q236" s="220" t="s">
        <v>74</v>
      </c>
      <c r="R236" s="220" t="s">
        <v>74</v>
      </c>
    </row>
    <row r="237" spans="1:18" x14ac:dyDescent="0.25">
      <c r="A237" s="59"/>
      <c r="G237" s="16"/>
      <c r="H237" s="38">
        <v>232</v>
      </c>
      <c r="I237" s="39" t="str">
        <f t="shared" si="16"/>
        <v/>
      </c>
      <c r="J237" s="38" t="e">
        <f t="shared" si="19"/>
        <v>#NUM!</v>
      </c>
      <c r="K237" s="38" t="e">
        <f t="shared" si="17"/>
        <v>#NUM!</v>
      </c>
      <c r="L237" s="38"/>
      <c r="M237" s="40">
        <f t="shared" si="18"/>
        <v>0</v>
      </c>
      <c r="N237" s="218" t="s">
        <v>74</v>
      </c>
      <c r="O237" s="218" t="s">
        <v>74</v>
      </c>
      <c r="P237" s="219" t="s">
        <v>74</v>
      </c>
      <c r="Q237" s="220" t="s">
        <v>74</v>
      </c>
      <c r="R237" s="220" t="s">
        <v>74</v>
      </c>
    </row>
    <row r="238" spans="1:18" x14ac:dyDescent="0.25">
      <c r="A238" s="59"/>
      <c r="G238" s="16"/>
      <c r="H238" s="38">
        <v>233</v>
      </c>
      <c r="I238" s="39" t="str">
        <f t="shared" si="16"/>
        <v/>
      </c>
      <c r="J238" s="38" t="e">
        <f t="shared" si="19"/>
        <v>#NUM!</v>
      </c>
      <c r="K238" s="38" t="e">
        <f t="shared" si="17"/>
        <v>#NUM!</v>
      </c>
      <c r="L238" s="38"/>
      <c r="M238" s="40">
        <f t="shared" si="18"/>
        <v>0</v>
      </c>
      <c r="N238" s="218" t="s">
        <v>74</v>
      </c>
      <c r="O238" s="218" t="s">
        <v>74</v>
      </c>
      <c r="P238" s="219" t="s">
        <v>74</v>
      </c>
      <c r="Q238" s="220" t="s">
        <v>74</v>
      </c>
      <c r="R238" s="220" t="s">
        <v>74</v>
      </c>
    </row>
    <row r="239" spans="1:18" x14ac:dyDescent="0.25">
      <c r="A239" s="59"/>
      <c r="G239" s="16"/>
      <c r="H239" s="38">
        <v>234</v>
      </c>
      <c r="I239" s="39" t="str">
        <f t="shared" si="16"/>
        <v/>
      </c>
      <c r="J239" s="38" t="e">
        <f t="shared" si="19"/>
        <v>#NUM!</v>
      </c>
      <c r="K239" s="38" t="e">
        <f t="shared" si="17"/>
        <v>#NUM!</v>
      </c>
      <c r="L239" s="38"/>
      <c r="M239" s="40">
        <f t="shared" si="18"/>
        <v>0</v>
      </c>
      <c r="N239" s="218" t="s">
        <v>74</v>
      </c>
      <c r="O239" s="218" t="s">
        <v>74</v>
      </c>
      <c r="P239" s="219" t="s">
        <v>74</v>
      </c>
      <c r="Q239" s="220" t="s">
        <v>74</v>
      </c>
      <c r="R239" s="220" t="s">
        <v>74</v>
      </c>
    </row>
    <row r="240" spans="1:18" x14ac:dyDescent="0.25">
      <c r="A240" s="59"/>
      <c r="G240" s="16"/>
      <c r="H240" s="38">
        <v>235</v>
      </c>
      <c r="I240" s="39" t="str">
        <f t="shared" si="16"/>
        <v/>
      </c>
      <c r="J240" s="38" t="e">
        <f t="shared" si="19"/>
        <v>#NUM!</v>
      </c>
      <c r="K240" s="38" t="e">
        <f t="shared" si="17"/>
        <v>#NUM!</v>
      </c>
      <c r="L240" s="38"/>
      <c r="M240" s="40">
        <f t="shared" si="18"/>
        <v>0</v>
      </c>
      <c r="N240" s="218" t="s">
        <v>74</v>
      </c>
      <c r="O240" s="218" t="s">
        <v>74</v>
      </c>
      <c r="P240" s="219" t="s">
        <v>74</v>
      </c>
      <c r="Q240" s="220" t="s">
        <v>74</v>
      </c>
      <c r="R240" s="220" t="s">
        <v>74</v>
      </c>
    </row>
    <row r="241" spans="1:18" x14ac:dyDescent="0.25">
      <c r="A241" s="59"/>
      <c r="G241" s="16"/>
      <c r="H241" s="38">
        <v>236</v>
      </c>
      <c r="I241" s="39" t="str">
        <f t="shared" si="16"/>
        <v/>
      </c>
      <c r="J241" s="38" t="e">
        <f t="shared" si="19"/>
        <v>#NUM!</v>
      </c>
      <c r="K241" s="38" t="e">
        <f t="shared" si="17"/>
        <v>#NUM!</v>
      </c>
      <c r="L241" s="38"/>
      <c r="M241" s="40">
        <f t="shared" si="18"/>
        <v>0</v>
      </c>
      <c r="N241" s="218" t="s">
        <v>74</v>
      </c>
      <c r="O241" s="218" t="s">
        <v>74</v>
      </c>
      <c r="P241" s="219" t="s">
        <v>74</v>
      </c>
      <c r="Q241" s="220" t="s">
        <v>74</v>
      </c>
      <c r="R241" s="220" t="s">
        <v>74</v>
      </c>
    </row>
    <row r="242" spans="1:18" x14ac:dyDescent="0.25">
      <c r="A242" s="59"/>
      <c r="G242" s="16"/>
      <c r="H242" s="38">
        <v>237</v>
      </c>
      <c r="I242" s="39" t="str">
        <f t="shared" si="16"/>
        <v/>
      </c>
      <c r="J242" s="38" t="e">
        <f t="shared" si="19"/>
        <v>#NUM!</v>
      </c>
      <c r="K242" s="38" t="e">
        <f t="shared" si="17"/>
        <v>#NUM!</v>
      </c>
      <c r="L242" s="38"/>
      <c r="M242" s="40">
        <f t="shared" si="18"/>
        <v>0</v>
      </c>
      <c r="N242" s="218" t="s">
        <v>74</v>
      </c>
      <c r="O242" s="218" t="s">
        <v>74</v>
      </c>
      <c r="P242" s="219" t="s">
        <v>74</v>
      </c>
      <c r="Q242" s="220" t="s">
        <v>74</v>
      </c>
      <c r="R242" s="220" t="s">
        <v>74</v>
      </c>
    </row>
    <row r="243" spans="1:18" x14ac:dyDescent="0.25">
      <c r="A243" s="59"/>
      <c r="G243" s="16"/>
      <c r="H243" s="38">
        <v>238</v>
      </c>
      <c r="I243" s="39" t="str">
        <f t="shared" si="16"/>
        <v/>
      </c>
      <c r="J243" s="38" t="e">
        <f t="shared" si="19"/>
        <v>#NUM!</v>
      </c>
      <c r="K243" s="38" t="e">
        <f t="shared" si="17"/>
        <v>#NUM!</v>
      </c>
      <c r="L243" s="38"/>
      <c r="M243" s="40">
        <f t="shared" si="18"/>
        <v>0</v>
      </c>
      <c r="N243" s="218" t="s">
        <v>74</v>
      </c>
      <c r="O243" s="218" t="s">
        <v>74</v>
      </c>
      <c r="P243" s="219" t="s">
        <v>74</v>
      </c>
      <c r="Q243" s="220" t="s">
        <v>74</v>
      </c>
      <c r="R243" s="220" t="s">
        <v>74</v>
      </c>
    </row>
    <row r="244" spans="1:18" x14ac:dyDescent="0.25">
      <c r="A244" s="59"/>
      <c r="G244" s="16"/>
      <c r="H244" s="38">
        <v>239</v>
      </c>
      <c r="I244" s="39" t="str">
        <f t="shared" si="16"/>
        <v/>
      </c>
      <c r="J244" s="38" t="e">
        <f t="shared" si="19"/>
        <v>#NUM!</v>
      </c>
      <c r="K244" s="38" t="e">
        <f t="shared" si="17"/>
        <v>#NUM!</v>
      </c>
      <c r="L244" s="38"/>
      <c r="M244" s="40">
        <f t="shared" si="18"/>
        <v>0</v>
      </c>
      <c r="N244" s="218" t="s">
        <v>74</v>
      </c>
      <c r="O244" s="218" t="s">
        <v>74</v>
      </c>
      <c r="P244" s="219" t="s">
        <v>74</v>
      </c>
      <c r="Q244" s="220" t="s">
        <v>74</v>
      </c>
      <c r="R244" s="220" t="s">
        <v>74</v>
      </c>
    </row>
    <row r="245" spans="1:18" x14ac:dyDescent="0.25">
      <c r="A245" s="59"/>
      <c r="G245" s="16"/>
      <c r="H245" s="38">
        <v>240</v>
      </c>
      <c r="I245" s="39" t="str">
        <f t="shared" si="16"/>
        <v/>
      </c>
      <c r="J245" s="38" t="e">
        <f t="shared" si="19"/>
        <v>#NUM!</v>
      </c>
      <c r="K245" s="38" t="e">
        <f t="shared" si="17"/>
        <v>#NUM!</v>
      </c>
      <c r="L245" s="38"/>
      <c r="M245" s="40">
        <f t="shared" si="18"/>
        <v>0</v>
      </c>
      <c r="N245" s="218" t="s">
        <v>74</v>
      </c>
      <c r="O245" s="218" t="s">
        <v>74</v>
      </c>
      <c r="P245" s="219" t="s">
        <v>74</v>
      </c>
      <c r="Q245" s="220" t="s">
        <v>74</v>
      </c>
      <c r="R245" s="220" t="s">
        <v>74</v>
      </c>
    </row>
    <row r="246" spans="1:18" x14ac:dyDescent="0.25">
      <c r="A246" s="59"/>
      <c r="G246" s="16"/>
      <c r="H246" s="38">
        <v>241</v>
      </c>
      <c r="I246" s="39" t="str">
        <f t="shared" si="16"/>
        <v/>
      </c>
      <c r="J246" s="38" t="e">
        <f t="shared" si="19"/>
        <v>#NUM!</v>
      </c>
      <c r="K246" s="38" t="e">
        <f t="shared" si="17"/>
        <v>#NUM!</v>
      </c>
      <c r="L246" s="38"/>
      <c r="M246" s="40">
        <f t="shared" si="18"/>
        <v>0</v>
      </c>
      <c r="N246" s="218" t="s">
        <v>74</v>
      </c>
      <c r="O246" s="218" t="s">
        <v>74</v>
      </c>
      <c r="P246" s="219" t="s">
        <v>74</v>
      </c>
      <c r="Q246" s="220" t="s">
        <v>74</v>
      </c>
      <c r="R246" s="220" t="s">
        <v>74</v>
      </c>
    </row>
    <row r="247" spans="1:18" x14ac:dyDescent="0.25">
      <c r="A247" s="59"/>
      <c r="G247" s="16"/>
      <c r="H247" s="38">
        <v>242</v>
      </c>
      <c r="I247" s="39" t="str">
        <f t="shared" si="16"/>
        <v/>
      </c>
      <c r="J247" s="38" t="e">
        <f t="shared" si="19"/>
        <v>#NUM!</v>
      </c>
      <c r="K247" s="38" t="e">
        <f t="shared" si="17"/>
        <v>#NUM!</v>
      </c>
      <c r="L247" s="38"/>
      <c r="M247" s="40">
        <f t="shared" si="18"/>
        <v>0</v>
      </c>
      <c r="N247" s="218" t="s">
        <v>74</v>
      </c>
      <c r="O247" s="218" t="s">
        <v>74</v>
      </c>
      <c r="P247" s="219" t="s">
        <v>74</v>
      </c>
      <c r="Q247" s="220" t="s">
        <v>74</v>
      </c>
      <c r="R247" s="220" t="s">
        <v>74</v>
      </c>
    </row>
    <row r="248" spans="1:18" x14ac:dyDescent="0.25">
      <c r="A248" s="59"/>
      <c r="G248" s="16"/>
      <c r="H248" s="38">
        <v>243</v>
      </c>
      <c r="I248" s="39" t="str">
        <f t="shared" si="16"/>
        <v/>
      </c>
      <c r="J248" s="38" t="e">
        <f t="shared" si="19"/>
        <v>#NUM!</v>
      </c>
      <c r="K248" s="38" t="e">
        <f t="shared" si="17"/>
        <v>#NUM!</v>
      </c>
      <c r="L248" s="38"/>
      <c r="M248" s="40">
        <f t="shared" si="18"/>
        <v>0</v>
      </c>
      <c r="N248" s="218" t="s">
        <v>74</v>
      </c>
      <c r="O248" s="218" t="s">
        <v>74</v>
      </c>
      <c r="P248" s="219" t="s">
        <v>74</v>
      </c>
      <c r="Q248" s="220" t="s">
        <v>74</v>
      </c>
      <c r="R248" s="220" t="s">
        <v>74</v>
      </c>
    </row>
    <row r="249" spans="1:18" x14ac:dyDescent="0.25">
      <c r="A249" s="59"/>
      <c r="G249" s="16"/>
      <c r="H249" s="38">
        <v>244</v>
      </c>
      <c r="I249" s="39" t="str">
        <f t="shared" si="16"/>
        <v/>
      </c>
      <c r="J249" s="38" t="e">
        <f t="shared" si="19"/>
        <v>#NUM!</v>
      </c>
      <c r="K249" s="38" t="e">
        <f t="shared" si="17"/>
        <v>#NUM!</v>
      </c>
      <c r="L249" s="38"/>
      <c r="M249" s="40">
        <f t="shared" si="18"/>
        <v>0</v>
      </c>
      <c r="N249" s="218" t="s">
        <v>74</v>
      </c>
      <c r="O249" s="218" t="s">
        <v>74</v>
      </c>
      <c r="P249" s="219" t="s">
        <v>74</v>
      </c>
      <c r="Q249" s="220" t="s">
        <v>74</v>
      </c>
      <c r="R249" s="220" t="s">
        <v>74</v>
      </c>
    </row>
    <row r="250" spans="1:18" x14ac:dyDescent="0.25">
      <c r="A250" s="59"/>
      <c r="G250" s="16"/>
      <c r="H250" s="38">
        <v>245</v>
      </c>
      <c r="I250" s="39" t="str">
        <f t="shared" si="16"/>
        <v/>
      </c>
      <c r="J250" s="38" t="e">
        <f t="shared" si="19"/>
        <v>#NUM!</v>
      </c>
      <c r="K250" s="38" t="e">
        <f t="shared" si="17"/>
        <v>#NUM!</v>
      </c>
      <c r="L250" s="38"/>
      <c r="M250" s="40">
        <f t="shared" si="18"/>
        <v>0</v>
      </c>
      <c r="N250" s="218" t="s">
        <v>74</v>
      </c>
      <c r="O250" s="218" t="s">
        <v>74</v>
      </c>
      <c r="P250" s="219" t="s">
        <v>74</v>
      </c>
      <c r="Q250" s="220" t="s">
        <v>74</v>
      </c>
      <c r="R250" s="220" t="s">
        <v>74</v>
      </c>
    </row>
    <row r="251" spans="1:18" x14ac:dyDescent="0.25">
      <c r="A251" s="59"/>
      <c r="G251" s="16"/>
      <c r="H251" s="38">
        <v>246</v>
      </c>
      <c r="I251" s="39" t="str">
        <f t="shared" si="16"/>
        <v/>
      </c>
      <c r="J251" s="38" t="e">
        <f t="shared" si="19"/>
        <v>#NUM!</v>
      </c>
      <c r="K251" s="38" t="e">
        <f t="shared" si="17"/>
        <v>#NUM!</v>
      </c>
      <c r="L251" s="38"/>
      <c r="M251" s="40">
        <f t="shared" si="18"/>
        <v>0</v>
      </c>
      <c r="N251" s="218" t="s">
        <v>74</v>
      </c>
      <c r="O251" s="218" t="s">
        <v>74</v>
      </c>
      <c r="P251" s="219" t="s">
        <v>74</v>
      </c>
      <c r="Q251" s="220" t="s">
        <v>74</v>
      </c>
      <c r="R251" s="220" t="s">
        <v>74</v>
      </c>
    </row>
    <row r="252" spans="1:18" x14ac:dyDescent="0.25">
      <c r="A252" s="59"/>
      <c r="G252" s="16"/>
      <c r="H252" s="38">
        <v>247</v>
      </c>
      <c r="I252" s="39" t="str">
        <f t="shared" si="16"/>
        <v/>
      </c>
      <c r="J252" s="38" t="e">
        <f t="shared" si="19"/>
        <v>#NUM!</v>
      </c>
      <c r="K252" s="38" t="e">
        <f t="shared" si="17"/>
        <v>#NUM!</v>
      </c>
      <c r="L252" s="38"/>
      <c r="M252" s="40">
        <f t="shared" si="18"/>
        <v>0</v>
      </c>
      <c r="N252" s="218" t="s">
        <v>74</v>
      </c>
      <c r="O252" s="218" t="s">
        <v>74</v>
      </c>
      <c r="P252" s="219" t="s">
        <v>74</v>
      </c>
      <c r="Q252" s="220" t="s">
        <v>74</v>
      </c>
      <c r="R252" s="220" t="s">
        <v>74</v>
      </c>
    </row>
    <row r="253" spans="1:18" x14ac:dyDescent="0.25">
      <c r="A253" s="59"/>
      <c r="G253" s="16"/>
      <c r="H253" s="38">
        <v>248</v>
      </c>
      <c r="I253" s="39" t="str">
        <f t="shared" si="16"/>
        <v/>
      </c>
      <c r="J253" s="38" t="e">
        <f t="shared" si="19"/>
        <v>#NUM!</v>
      </c>
      <c r="K253" s="38" t="e">
        <f t="shared" si="17"/>
        <v>#NUM!</v>
      </c>
      <c r="L253" s="38"/>
      <c r="M253" s="40">
        <f t="shared" si="18"/>
        <v>0</v>
      </c>
      <c r="N253" s="218" t="s">
        <v>74</v>
      </c>
      <c r="O253" s="218" t="s">
        <v>74</v>
      </c>
      <c r="P253" s="219" t="s">
        <v>74</v>
      </c>
      <c r="Q253" s="220" t="s">
        <v>74</v>
      </c>
      <c r="R253" s="220" t="s">
        <v>74</v>
      </c>
    </row>
    <row r="254" spans="1:18" x14ac:dyDescent="0.25">
      <c r="A254" s="59"/>
      <c r="G254" s="16"/>
      <c r="H254" s="38">
        <v>249</v>
      </c>
      <c r="I254" s="39" t="str">
        <f t="shared" si="16"/>
        <v/>
      </c>
      <c r="J254" s="38" t="e">
        <f t="shared" si="19"/>
        <v>#NUM!</v>
      </c>
      <c r="K254" s="38" t="e">
        <f t="shared" si="17"/>
        <v>#NUM!</v>
      </c>
      <c r="L254" s="38"/>
      <c r="M254" s="40">
        <f t="shared" si="18"/>
        <v>0</v>
      </c>
      <c r="N254" s="218" t="s">
        <v>74</v>
      </c>
      <c r="O254" s="218" t="s">
        <v>74</v>
      </c>
      <c r="P254" s="219" t="s">
        <v>74</v>
      </c>
      <c r="Q254" s="220" t="s">
        <v>74</v>
      </c>
      <c r="R254" s="220" t="s">
        <v>74</v>
      </c>
    </row>
    <row r="255" spans="1:18" x14ac:dyDescent="0.25">
      <c r="A255" s="59"/>
      <c r="G255" s="16"/>
      <c r="H255" s="38">
        <v>250</v>
      </c>
      <c r="I255" s="39" t="str">
        <f t="shared" si="16"/>
        <v/>
      </c>
      <c r="J255" s="38" t="e">
        <f t="shared" si="19"/>
        <v>#NUM!</v>
      </c>
      <c r="K255" s="38" t="e">
        <f t="shared" si="17"/>
        <v>#NUM!</v>
      </c>
      <c r="L255" s="38"/>
      <c r="M255" s="40">
        <f t="shared" si="18"/>
        <v>0</v>
      </c>
      <c r="N255" s="218" t="s">
        <v>74</v>
      </c>
      <c r="O255" s="218" t="s">
        <v>74</v>
      </c>
      <c r="P255" s="219" t="s">
        <v>74</v>
      </c>
      <c r="Q255" s="220" t="s">
        <v>74</v>
      </c>
      <c r="R255" s="220" t="s">
        <v>74</v>
      </c>
    </row>
    <row r="256" spans="1:18" x14ac:dyDescent="0.25">
      <c r="A256" s="59"/>
      <c r="G256" s="16"/>
      <c r="H256" s="38">
        <v>251</v>
      </c>
      <c r="I256" s="39" t="str">
        <f t="shared" si="16"/>
        <v/>
      </c>
      <c r="J256" s="38" t="e">
        <f t="shared" si="19"/>
        <v>#NUM!</v>
      </c>
      <c r="K256" s="38" t="e">
        <f t="shared" si="17"/>
        <v>#NUM!</v>
      </c>
      <c r="L256" s="38"/>
      <c r="M256" s="40">
        <f t="shared" si="18"/>
        <v>0</v>
      </c>
      <c r="N256" s="218" t="s">
        <v>74</v>
      </c>
      <c r="O256" s="218" t="s">
        <v>74</v>
      </c>
      <c r="P256" s="219" t="s">
        <v>74</v>
      </c>
      <c r="Q256" s="220" t="s">
        <v>74</v>
      </c>
      <c r="R256" s="220" t="s">
        <v>74</v>
      </c>
    </row>
    <row r="257" spans="1:18" x14ac:dyDescent="0.25">
      <c r="A257" s="59"/>
      <c r="G257" s="16"/>
      <c r="H257" s="38">
        <v>252</v>
      </c>
      <c r="I257" s="39" t="str">
        <f t="shared" si="16"/>
        <v/>
      </c>
      <c r="J257" s="38" t="e">
        <f t="shared" si="19"/>
        <v>#NUM!</v>
      </c>
      <c r="K257" s="38" t="e">
        <f t="shared" si="17"/>
        <v>#NUM!</v>
      </c>
      <c r="L257" s="38"/>
      <c r="M257" s="40">
        <f t="shared" si="18"/>
        <v>0</v>
      </c>
      <c r="N257" s="218" t="s">
        <v>74</v>
      </c>
      <c r="O257" s="218" t="s">
        <v>74</v>
      </c>
      <c r="P257" s="219" t="s">
        <v>74</v>
      </c>
      <c r="Q257" s="220" t="s">
        <v>74</v>
      </c>
      <c r="R257" s="220" t="s">
        <v>74</v>
      </c>
    </row>
    <row r="258" spans="1:18" x14ac:dyDescent="0.25">
      <c r="A258" s="59"/>
      <c r="G258" s="16"/>
      <c r="H258" s="38">
        <v>253</v>
      </c>
      <c r="I258" s="39" t="str">
        <f t="shared" si="16"/>
        <v/>
      </c>
      <c r="J258" s="38" t="e">
        <f t="shared" si="19"/>
        <v>#NUM!</v>
      </c>
      <c r="K258" s="38" t="e">
        <f t="shared" si="17"/>
        <v>#NUM!</v>
      </c>
      <c r="L258" s="38"/>
      <c r="M258" s="40">
        <f t="shared" si="18"/>
        <v>0</v>
      </c>
      <c r="N258" s="218" t="s">
        <v>74</v>
      </c>
      <c r="O258" s="218" t="s">
        <v>74</v>
      </c>
      <c r="P258" s="219" t="s">
        <v>74</v>
      </c>
      <c r="Q258" s="220" t="s">
        <v>74</v>
      </c>
      <c r="R258" s="220" t="s">
        <v>74</v>
      </c>
    </row>
    <row r="259" spans="1:18" x14ac:dyDescent="0.25">
      <c r="A259" s="59"/>
      <c r="G259" s="16"/>
      <c r="H259" s="38">
        <v>254</v>
      </c>
      <c r="I259" s="39" t="str">
        <f t="shared" si="16"/>
        <v/>
      </c>
      <c r="J259" s="38" t="e">
        <f t="shared" si="19"/>
        <v>#NUM!</v>
      </c>
      <c r="K259" s="38" t="e">
        <f t="shared" si="17"/>
        <v>#NUM!</v>
      </c>
      <c r="L259" s="38"/>
      <c r="M259" s="40">
        <f t="shared" si="18"/>
        <v>0</v>
      </c>
      <c r="N259" s="218" t="s">
        <v>74</v>
      </c>
      <c r="O259" s="218" t="s">
        <v>74</v>
      </c>
      <c r="P259" s="219" t="s">
        <v>74</v>
      </c>
      <c r="Q259" s="220" t="s">
        <v>74</v>
      </c>
      <c r="R259" s="220" t="s">
        <v>74</v>
      </c>
    </row>
    <row r="260" spans="1:18" x14ac:dyDescent="0.25">
      <c r="A260" s="59"/>
      <c r="G260" s="16"/>
      <c r="H260" s="38">
        <v>255</v>
      </c>
      <c r="I260" s="39" t="str">
        <f t="shared" si="16"/>
        <v/>
      </c>
      <c r="J260" s="38" t="e">
        <f t="shared" si="19"/>
        <v>#NUM!</v>
      </c>
      <c r="K260" s="38" t="e">
        <f t="shared" si="17"/>
        <v>#NUM!</v>
      </c>
      <c r="L260" s="38"/>
      <c r="M260" s="40">
        <f t="shared" si="18"/>
        <v>0</v>
      </c>
      <c r="N260" s="218" t="s">
        <v>74</v>
      </c>
      <c r="O260" s="218" t="s">
        <v>74</v>
      </c>
      <c r="P260" s="219" t="s">
        <v>74</v>
      </c>
      <c r="Q260" s="220" t="s">
        <v>74</v>
      </c>
      <c r="R260" s="220" t="s">
        <v>74</v>
      </c>
    </row>
    <row r="261" spans="1:18" x14ac:dyDescent="0.25">
      <c r="A261" s="59"/>
      <c r="G261" s="16"/>
      <c r="H261" s="38">
        <v>256</v>
      </c>
      <c r="I261" s="39" t="str">
        <f t="shared" si="16"/>
        <v/>
      </c>
      <c r="J261" s="38" t="e">
        <f t="shared" si="19"/>
        <v>#NUM!</v>
      </c>
      <c r="K261" s="38" t="e">
        <f t="shared" si="17"/>
        <v>#NUM!</v>
      </c>
      <c r="L261" s="38"/>
      <c r="M261" s="40">
        <f t="shared" si="18"/>
        <v>0</v>
      </c>
      <c r="N261" s="218" t="s">
        <v>74</v>
      </c>
      <c r="O261" s="218" t="s">
        <v>74</v>
      </c>
      <c r="P261" s="219" t="s">
        <v>74</v>
      </c>
      <c r="Q261" s="220" t="s">
        <v>74</v>
      </c>
      <c r="R261" s="220" t="s">
        <v>74</v>
      </c>
    </row>
    <row r="262" spans="1:18" x14ac:dyDescent="0.25">
      <c r="A262" s="59"/>
      <c r="G262" s="16"/>
      <c r="H262" s="38">
        <v>257</v>
      </c>
      <c r="I262" s="39" t="str">
        <f t="shared" ref="I262:I305" si="20">IF(H262&lt;$H$2+1,($I$2-($I$2-1)*(LOG(H262)/LOG($H$2))),"")</f>
        <v/>
      </c>
      <c r="J262" s="38" t="e">
        <f t="shared" si="19"/>
        <v>#NUM!</v>
      </c>
      <c r="K262" s="38" t="e">
        <f t="shared" ref="K262:K305" si="21">J262*$J$2</f>
        <v>#NUM!</v>
      </c>
      <c r="L262" s="38"/>
      <c r="M262" s="40">
        <f t="shared" ref="M262:M305" si="22">IF(I262&lt;&gt;"",K262+I262+L262,0)</f>
        <v>0</v>
      </c>
      <c r="N262" s="218" t="s">
        <v>74</v>
      </c>
      <c r="O262" s="218" t="s">
        <v>74</v>
      </c>
      <c r="P262" s="219" t="s">
        <v>74</v>
      </c>
      <c r="Q262" s="220" t="s">
        <v>74</v>
      </c>
      <c r="R262" s="220" t="s">
        <v>74</v>
      </c>
    </row>
    <row r="263" spans="1:18" x14ac:dyDescent="0.25">
      <c r="A263" s="59"/>
      <c r="G263" s="16"/>
      <c r="H263" s="38">
        <v>258</v>
      </c>
      <c r="I263" s="39" t="str">
        <f t="shared" si="20"/>
        <v/>
      </c>
      <c r="J263" s="38" t="e">
        <f t="shared" ref="J263:J305" si="23">INT(LOG($H$2,2))-ROUNDUP(LOG(H263,2),0)+IF(OR($H$2=1,$H$2=2,$H$2=4,$H$2=8,$H$2=16,$H$2=32,$H$2=64,$H$2=128,$H$2=256),1,0)</f>
        <v>#NUM!</v>
      </c>
      <c r="K263" s="38" t="e">
        <f t="shared" si="21"/>
        <v>#NUM!</v>
      </c>
      <c r="L263" s="38"/>
      <c r="M263" s="40">
        <f t="shared" si="22"/>
        <v>0</v>
      </c>
      <c r="N263" s="218" t="s">
        <v>74</v>
      </c>
      <c r="O263" s="218" t="s">
        <v>74</v>
      </c>
      <c r="P263" s="219" t="s">
        <v>74</v>
      </c>
      <c r="Q263" s="220" t="s">
        <v>74</v>
      </c>
      <c r="R263" s="220" t="s">
        <v>74</v>
      </c>
    </row>
    <row r="264" spans="1:18" x14ac:dyDescent="0.25">
      <c r="A264" s="59"/>
      <c r="G264" s="16"/>
      <c r="H264" s="38">
        <v>259</v>
      </c>
      <c r="I264" s="39" t="str">
        <f t="shared" si="20"/>
        <v/>
      </c>
      <c r="J264" s="38" t="e">
        <f t="shared" si="23"/>
        <v>#NUM!</v>
      </c>
      <c r="K264" s="38" t="e">
        <f t="shared" si="21"/>
        <v>#NUM!</v>
      </c>
      <c r="L264" s="38"/>
      <c r="M264" s="40">
        <f t="shared" si="22"/>
        <v>0</v>
      </c>
      <c r="N264" s="218" t="s">
        <v>74</v>
      </c>
      <c r="O264" s="218" t="s">
        <v>74</v>
      </c>
      <c r="P264" s="219" t="s">
        <v>74</v>
      </c>
      <c r="Q264" s="220" t="s">
        <v>74</v>
      </c>
      <c r="R264" s="220" t="s">
        <v>74</v>
      </c>
    </row>
    <row r="265" spans="1:18" x14ac:dyDescent="0.25">
      <c r="A265" s="59"/>
      <c r="G265" s="16"/>
      <c r="H265" s="38">
        <v>260</v>
      </c>
      <c r="I265" s="39" t="str">
        <f t="shared" si="20"/>
        <v/>
      </c>
      <c r="J265" s="38" t="e">
        <f t="shared" si="23"/>
        <v>#NUM!</v>
      </c>
      <c r="K265" s="38" t="e">
        <f t="shared" si="21"/>
        <v>#NUM!</v>
      </c>
      <c r="L265" s="38"/>
      <c r="M265" s="40">
        <f t="shared" si="22"/>
        <v>0</v>
      </c>
      <c r="N265" s="218" t="s">
        <v>74</v>
      </c>
      <c r="O265" s="218" t="s">
        <v>74</v>
      </c>
      <c r="P265" s="219" t="s">
        <v>74</v>
      </c>
      <c r="Q265" s="220" t="s">
        <v>74</v>
      </c>
      <c r="R265" s="220" t="s">
        <v>74</v>
      </c>
    </row>
    <row r="266" spans="1:18" x14ac:dyDescent="0.25">
      <c r="A266" s="59"/>
      <c r="G266" s="16"/>
      <c r="H266" s="38">
        <v>261</v>
      </c>
      <c r="I266" s="39" t="str">
        <f t="shared" si="20"/>
        <v/>
      </c>
      <c r="J266" s="38" t="e">
        <f t="shared" si="23"/>
        <v>#NUM!</v>
      </c>
      <c r="K266" s="38" t="e">
        <f t="shared" si="21"/>
        <v>#NUM!</v>
      </c>
      <c r="L266" s="38"/>
      <c r="M266" s="40">
        <f t="shared" si="22"/>
        <v>0</v>
      </c>
      <c r="N266" s="218" t="s">
        <v>74</v>
      </c>
      <c r="O266" s="218" t="s">
        <v>74</v>
      </c>
      <c r="P266" s="219" t="s">
        <v>74</v>
      </c>
      <c r="Q266" s="220" t="s">
        <v>74</v>
      </c>
      <c r="R266" s="220" t="s">
        <v>74</v>
      </c>
    </row>
    <row r="267" spans="1:18" x14ac:dyDescent="0.25">
      <c r="A267" s="59"/>
      <c r="G267" s="16"/>
      <c r="H267" s="38">
        <v>262</v>
      </c>
      <c r="I267" s="39" t="str">
        <f t="shared" si="20"/>
        <v/>
      </c>
      <c r="J267" s="38" t="e">
        <f t="shared" si="23"/>
        <v>#NUM!</v>
      </c>
      <c r="K267" s="38" t="e">
        <f t="shared" si="21"/>
        <v>#NUM!</v>
      </c>
      <c r="L267" s="38"/>
      <c r="M267" s="40">
        <f t="shared" si="22"/>
        <v>0</v>
      </c>
      <c r="N267" s="218" t="s">
        <v>74</v>
      </c>
      <c r="O267" s="218" t="s">
        <v>74</v>
      </c>
      <c r="P267" s="219" t="s">
        <v>74</v>
      </c>
      <c r="Q267" s="220" t="s">
        <v>74</v>
      </c>
      <c r="R267" s="220" t="s">
        <v>74</v>
      </c>
    </row>
    <row r="268" spans="1:18" x14ac:dyDescent="0.25">
      <c r="A268" s="59"/>
      <c r="G268" s="16"/>
      <c r="H268" s="38">
        <v>263</v>
      </c>
      <c r="I268" s="39" t="str">
        <f t="shared" si="20"/>
        <v/>
      </c>
      <c r="J268" s="38" t="e">
        <f t="shared" si="23"/>
        <v>#NUM!</v>
      </c>
      <c r="K268" s="38" t="e">
        <f t="shared" si="21"/>
        <v>#NUM!</v>
      </c>
      <c r="L268" s="38"/>
      <c r="M268" s="40">
        <f t="shared" si="22"/>
        <v>0</v>
      </c>
      <c r="N268" s="218" t="s">
        <v>74</v>
      </c>
      <c r="O268" s="218" t="s">
        <v>74</v>
      </c>
      <c r="P268" s="219" t="s">
        <v>74</v>
      </c>
      <c r="Q268" s="220" t="s">
        <v>74</v>
      </c>
      <c r="R268" s="220" t="s">
        <v>74</v>
      </c>
    </row>
    <row r="269" spans="1:18" x14ac:dyDescent="0.25">
      <c r="A269" s="59"/>
      <c r="G269" s="16"/>
      <c r="H269" s="38">
        <v>264</v>
      </c>
      <c r="I269" s="39" t="str">
        <f t="shared" si="20"/>
        <v/>
      </c>
      <c r="J269" s="38" t="e">
        <f t="shared" si="23"/>
        <v>#NUM!</v>
      </c>
      <c r="K269" s="38" t="e">
        <f t="shared" si="21"/>
        <v>#NUM!</v>
      </c>
      <c r="L269" s="38"/>
      <c r="M269" s="40">
        <f t="shared" si="22"/>
        <v>0</v>
      </c>
      <c r="N269" s="218" t="s">
        <v>74</v>
      </c>
      <c r="O269" s="218" t="s">
        <v>74</v>
      </c>
      <c r="P269" s="219" t="s">
        <v>74</v>
      </c>
      <c r="Q269" s="220" t="s">
        <v>74</v>
      </c>
      <c r="R269" s="220" t="s">
        <v>74</v>
      </c>
    </row>
    <row r="270" spans="1:18" x14ac:dyDescent="0.25">
      <c r="A270" s="59"/>
      <c r="G270" s="16"/>
      <c r="H270" s="38">
        <v>265</v>
      </c>
      <c r="I270" s="39" t="str">
        <f t="shared" si="20"/>
        <v/>
      </c>
      <c r="J270" s="38" t="e">
        <f t="shared" si="23"/>
        <v>#NUM!</v>
      </c>
      <c r="K270" s="38" t="e">
        <f t="shared" si="21"/>
        <v>#NUM!</v>
      </c>
      <c r="L270" s="38"/>
      <c r="M270" s="40">
        <f t="shared" si="22"/>
        <v>0</v>
      </c>
      <c r="N270" s="218" t="s">
        <v>74</v>
      </c>
      <c r="O270" s="218" t="s">
        <v>74</v>
      </c>
      <c r="P270" s="219" t="s">
        <v>74</v>
      </c>
      <c r="Q270" s="220" t="s">
        <v>74</v>
      </c>
      <c r="R270" s="220" t="s">
        <v>74</v>
      </c>
    </row>
    <row r="271" spans="1:18" x14ac:dyDescent="0.25">
      <c r="A271" s="59"/>
      <c r="G271" s="16"/>
      <c r="H271" s="38">
        <v>266</v>
      </c>
      <c r="I271" s="39" t="str">
        <f t="shared" si="20"/>
        <v/>
      </c>
      <c r="J271" s="38" t="e">
        <f t="shared" si="23"/>
        <v>#NUM!</v>
      </c>
      <c r="K271" s="38" t="e">
        <f t="shared" si="21"/>
        <v>#NUM!</v>
      </c>
      <c r="L271" s="38"/>
      <c r="M271" s="40">
        <f t="shared" si="22"/>
        <v>0</v>
      </c>
      <c r="N271" s="218" t="s">
        <v>74</v>
      </c>
      <c r="O271" s="218" t="s">
        <v>74</v>
      </c>
      <c r="P271" s="219" t="s">
        <v>74</v>
      </c>
      <c r="Q271" s="220" t="s">
        <v>74</v>
      </c>
      <c r="R271" s="220" t="s">
        <v>74</v>
      </c>
    </row>
    <row r="272" spans="1:18" x14ac:dyDescent="0.25">
      <c r="A272" s="59"/>
      <c r="G272" s="16"/>
      <c r="H272" s="38">
        <v>267</v>
      </c>
      <c r="I272" s="39" t="str">
        <f t="shared" si="20"/>
        <v/>
      </c>
      <c r="J272" s="38" t="e">
        <f t="shared" si="23"/>
        <v>#NUM!</v>
      </c>
      <c r="K272" s="38" t="e">
        <f t="shared" si="21"/>
        <v>#NUM!</v>
      </c>
      <c r="L272" s="38"/>
      <c r="M272" s="40">
        <f t="shared" si="22"/>
        <v>0</v>
      </c>
      <c r="N272" s="218" t="s">
        <v>74</v>
      </c>
      <c r="O272" s="218" t="s">
        <v>74</v>
      </c>
      <c r="P272" s="219" t="s">
        <v>74</v>
      </c>
      <c r="Q272" s="220" t="s">
        <v>74</v>
      </c>
      <c r="R272" s="220" t="s">
        <v>74</v>
      </c>
    </row>
    <row r="273" spans="1:18" x14ac:dyDescent="0.25">
      <c r="A273" s="59"/>
      <c r="G273" s="16"/>
      <c r="H273" s="38">
        <v>268</v>
      </c>
      <c r="I273" s="39" t="str">
        <f t="shared" si="20"/>
        <v/>
      </c>
      <c r="J273" s="38" t="e">
        <f t="shared" si="23"/>
        <v>#NUM!</v>
      </c>
      <c r="K273" s="38" t="e">
        <f t="shared" si="21"/>
        <v>#NUM!</v>
      </c>
      <c r="L273" s="38"/>
      <c r="M273" s="40">
        <f t="shared" si="22"/>
        <v>0</v>
      </c>
      <c r="N273" s="218" t="s">
        <v>74</v>
      </c>
      <c r="O273" s="218" t="s">
        <v>74</v>
      </c>
      <c r="P273" s="219" t="s">
        <v>74</v>
      </c>
      <c r="Q273" s="220" t="s">
        <v>74</v>
      </c>
      <c r="R273" s="220" t="s">
        <v>74</v>
      </c>
    </row>
    <row r="274" spans="1:18" x14ac:dyDescent="0.25">
      <c r="A274" s="59"/>
      <c r="G274" s="16"/>
      <c r="H274" s="38">
        <v>269</v>
      </c>
      <c r="I274" s="39" t="str">
        <f t="shared" si="20"/>
        <v/>
      </c>
      <c r="J274" s="38" t="e">
        <f t="shared" si="23"/>
        <v>#NUM!</v>
      </c>
      <c r="K274" s="38" t="e">
        <f t="shared" si="21"/>
        <v>#NUM!</v>
      </c>
      <c r="L274" s="38"/>
      <c r="M274" s="40">
        <f t="shared" si="22"/>
        <v>0</v>
      </c>
      <c r="N274" s="218" t="s">
        <v>74</v>
      </c>
      <c r="O274" s="218" t="s">
        <v>74</v>
      </c>
      <c r="P274" s="219" t="s">
        <v>74</v>
      </c>
      <c r="Q274" s="220" t="s">
        <v>74</v>
      </c>
      <c r="R274" s="220" t="s">
        <v>74</v>
      </c>
    </row>
    <row r="275" spans="1:18" x14ac:dyDescent="0.25">
      <c r="A275" s="59"/>
      <c r="G275" s="16"/>
      <c r="H275" s="38">
        <v>270</v>
      </c>
      <c r="I275" s="39" t="str">
        <f t="shared" si="20"/>
        <v/>
      </c>
      <c r="J275" s="38" t="e">
        <f t="shared" si="23"/>
        <v>#NUM!</v>
      </c>
      <c r="K275" s="38" t="e">
        <f t="shared" si="21"/>
        <v>#NUM!</v>
      </c>
      <c r="L275" s="38"/>
      <c r="M275" s="40">
        <f t="shared" si="22"/>
        <v>0</v>
      </c>
      <c r="N275" s="218" t="s">
        <v>74</v>
      </c>
      <c r="O275" s="218" t="s">
        <v>74</v>
      </c>
      <c r="P275" s="219" t="s">
        <v>74</v>
      </c>
      <c r="Q275" s="220" t="s">
        <v>74</v>
      </c>
      <c r="R275" s="220" t="s">
        <v>74</v>
      </c>
    </row>
    <row r="276" spans="1:18" x14ac:dyDescent="0.25">
      <c r="A276" s="59"/>
      <c r="G276" s="16"/>
      <c r="H276" s="38">
        <v>271</v>
      </c>
      <c r="I276" s="39" t="str">
        <f t="shared" si="20"/>
        <v/>
      </c>
      <c r="J276" s="38" t="e">
        <f t="shared" si="23"/>
        <v>#NUM!</v>
      </c>
      <c r="K276" s="38" t="e">
        <f t="shared" si="21"/>
        <v>#NUM!</v>
      </c>
      <c r="L276" s="38"/>
      <c r="M276" s="40">
        <f t="shared" si="22"/>
        <v>0</v>
      </c>
      <c r="N276" s="218" t="s">
        <v>74</v>
      </c>
      <c r="O276" s="218" t="s">
        <v>74</v>
      </c>
      <c r="P276" s="219" t="s">
        <v>74</v>
      </c>
      <c r="Q276" s="220" t="s">
        <v>74</v>
      </c>
      <c r="R276" s="220" t="s">
        <v>74</v>
      </c>
    </row>
    <row r="277" spans="1:18" x14ac:dyDescent="0.25">
      <c r="A277" s="59"/>
      <c r="G277" s="16"/>
      <c r="H277" s="38">
        <v>272</v>
      </c>
      <c r="I277" s="39" t="str">
        <f t="shared" si="20"/>
        <v/>
      </c>
      <c r="J277" s="38" t="e">
        <f t="shared" si="23"/>
        <v>#NUM!</v>
      </c>
      <c r="K277" s="38" t="e">
        <f t="shared" si="21"/>
        <v>#NUM!</v>
      </c>
      <c r="L277" s="38"/>
      <c r="M277" s="40">
        <f t="shared" si="22"/>
        <v>0</v>
      </c>
      <c r="N277" s="218" t="s">
        <v>74</v>
      </c>
      <c r="O277" s="218" t="s">
        <v>74</v>
      </c>
      <c r="P277" s="219" t="s">
        <v>74</v>
      </c>
      <c r="Q277" s="220" t="s">
        <v>74</v>
      </c>
      <c r="R277" s="220" t="s">
        <v>74</v>
      </c>
    </row>
    <row r="278" spans="1:18" x14ac:dyDescent="0.25">
      <c r="A278" s="59"/>
      <c r="G278" s="16"/>
      <c r="H278" s="38">
        <v>273</v>
      </c>
      <c r="I278" s="39" t="str">
        <f t="shared" si="20"/>
        <v/>
      </c>
      <c r="J278" s="38" t="e">
        <f t="shared" si="23"/>
        <v>#NUM!</v>
      </c>
      <c r="K278" s="38" t="e">
        <f t="shared" si="21"/>
        <v>#NUM!</v>
      </c>
      <c r="L278" s="38"/>
      <c r="M278" s="40">
        <f t="shared" si="22"/>
        <v>0</v>
      </c>
      <c r="N278" s="218" t="s">
        <v>74</v>
      </c>
      <c r="O278" s="218" t="s">
        <v>74</v>
      </c>
      <c r="P278" s="219" t="s">
        <v>74</v>
      </c>
      <c r="Q278" s="220" t="s">
        <v>74</v>
      </c>
      <c r="R278" s="220" t="s">
        <v>74</v>
      </c>
    </row>
    <row r="279" spans="1:18" x14ac:dyDescent="0.25">
      <c r="A279" s="59"/>
      <c r="G279" s="16"/>
      <c r="H279" s="38">
        <v>274</v>
      </c>
      <c r="I279" s="39" t="str">
        <f t="shared" si="20"/>
        <v/>
      </c>
      <c r="J279" s="38" t="e">
        <f t="shared" si="23"/>
        <v>#NUM!</v>
      </c>
      <c r="K279" s="38" t="e">
        <f t="shared" si="21"/>
        <v>#NUM!</v>
      </c>
      <c r="L279" s="38"/>
      <c r="M279" s="40">
        <f t="shared" si="22"/>
        <v>0</v>
      </c>
      <c r="N279" s="218" t="s">
        <v>74</v>
      </c>
      <c r="O279" s="218" t="s">
        <v>74</v>
      </c>
      <c r="P279" s="219" t="s">
        <v>74</v>
      </c>
      <c r="Q279" s="220" t="s">
        <v>74</v>
      </c>
      <c r="R279" s="220" t="s">
        <v>74</v>
      </c>
    </row>
    <row r="280" spans="1:18" x14ac:dyDescent="0.25">
      <c r="A280" s="59"/>
      <c r="G280" s="16"/>
      <c r="H280" s="38">
        <v>275</v>
      </c>
      <c r="I280" s="39" t="str">
        <f t="shared" si="20"/>
        <v/>
      </c>
      <c r="J280" s="38" t="e">
        <f t="shared" si="23"/>
        <v>#NUM!</v>
      </c>
      <c r="K280" s="38" t="e">
        <f t="shared" si="21"/>
        <v>#NUM!</v>
      </c>
      <c r="L280" s="38"/>
      <c r="M280" s="40">
        <f t="shared" si="22"/>
        <v>0</v>
      </c>
      <c r="N280" s="218" t="s">
        <v>74</v>
      </c>
      <c r="O280" s="218" t="s">
        <v>74</v>
      </c>
      <c r="P280" s="219" t="s">
        <v>74</v>
      </c>
      <c r="Q280" s="220" t="s">
        <v>74</v>
      </c>
      <c r="R280" s="220" t="s">
        <v>74</v>
      </c>
    </row>
    <row r="281" spans="1:18" x14ac:dyDescent="0.25">
      <c r="A281" s="59"/>
      <c r="G281" s="16"/>
      <c r="H281" s="38">
        <v>276</v>
      </c>
      <c r="I281" s="39" t="str">
        <f t="shared" si="20"/>
        <v/>
      </c>
      <c r="J281" s="38" t="e">
        <f t="shared" si="23"/>
        <v>#NUM!</v>
      </c>
      <c r="K281" s="38" t="e">
        <f t="shared" si="21"/>
        <v>#NUM!</v>
      </c>
      <c r="L281" s="38"/>
      <c r="M281" s="40">
        <f t="shared" si="22"/>
        <v>0</v>
      </c>
      <c r="N281" s="218" t="s">
        <v>74</v>
      </c>
      <c r="O281" s="218" t="s">
        <v>74</v>
      </c>
      <c r="P281" s="219" t="s">
        <v>74</v>
      </c>
      <c r="Q281" s="220" t="s">
        <v>74</v>
      </c>
      <c r="R281" s="220" t="s">
        <v>74</v>
      </c>
    </row>
    <row r="282" spans="1:18" x14ac:dyDescent="0.25">
      <c r="A282" s="59"/>
      <c r="G282" s="16"/>
      <c r="H282" s="38">
        <v>277</v>
      </c>
      <c r="I282" s="39" t="str">
        <f t="shared" si="20"/>
        <v/>
      </c>
      <c r="J282" s="38" t="e">
        <f t="shared" si="23"/>
        <v>#NUM!</v>
      </c>
      <c r="K282" s="38" t="e">
        <f t="shared" si="21"/>
        <v>#NUM!</v>
      </c>
      <c r="L282" s="38"/>
      <c r="M282" s="40">
        <f t="shared" si="22"/>
        <v>0</v>
      </c>
      <c r="N282" s="218" t="s">
        <v>74</v>
      </c>
      <c r="O282" s="218" t="s">
        <v>74</v>
      </c>
      <c r="P282" s="219" t="s">
        <v>74</v>
      </c>
      <c r="Q282" s="220" t="s">
        <v>74</v>
      </c>
      <c r="R282" s="220" t="s">
        <v>74</v>
      </c>
    </row>
    <row r="283" spans="1:18" x14ac:dyDescent="0.25">
      <c r="A283" s="59"/>
      <c r="G283" s="16"/>
      <c r="H283" s="38">
        <v>278</v>
      </c>
      <c r="I283" s="39" t="str">
        <f t="shared" si="20"/>
        <v/>
      </c>
      <c r="J283" s="38" t="e">
        <f t="shared" si="23"/>
        <v>#NUM!</v>
      </c>
      <c r="K283" s="38" t="e">
        <f t="shared" si="21"/>
        <v>#NUM!</v>
      </c>
      <c r="L283" s="38"/>
      <c r="M283" s="40">
        <f t="shared" si="22"/>
        <v>0</v>
      </c>
      <c r="N283" s="218" t="s">
        <v>74</v>
      </c>
      <c r="O283" s="218" t="s">
        <v>74</v>
      </c>
      <c r="P283" s="219" t="s">
        <v>74</v>
      </c>
      <c r="Q283" s="220" t="s">
        <v>74</v>
      </c>
      <c r="R283" s="220" t="s">
        <v>74</v>
      </c>
    </row>
    <row r="284" spans="1:18" x14ac:dyDescent="0.25">
      <c r="A284" s="59"/>
      <c r="G284" s="16"/>
      <c r="H284" s="38">
        <v>279</v>
      </c>
      <c r="I284" s="39" t="str">
        <f t="shared" si="20"/>
        <v/>
      </c>
      <c r="J284" s="38" t="e">
        <f t="shared" si="23"/>
        <v>#NUM!</v>
      </c>
      <c r="K284" s="38" t="e">
        <f t="shared" si="21"/>
        <v>#NUM!</v>
      </c>
      <c r="L284" s="38"/>
      <c r="M284" s="40">
        <f t="shared" si="22"/>
        <v>0</v>
      </c>
      <c r="N284" s="218" t="s">
        <v>74</v>
      </c>
      <c r="O284" s="218" t="s">
        <v>74</v>
      </c>
      <c r="P284" s="219" t="s">
        <v>74</v>
      </c>
      <c r="Q284" s="220" t="s">
        <v>74</v>
      </c>
      <c r="R284" s="220" t="s">
        <v>74</v>
      </c>
    </row>
    <row r="285" spans="1:18" x14ac:dyDescent="0.25">
      <c r="A285" s="59"/>
      <c r="G285" s="16"/>
      <c r="H285" s="38">
        <v>280</v>
      </c>
      <c r="I285" s="39" t="str">
        <f t="shared" si="20"/>
        <v/>
      </c>
      <c r="J285" s="38" t="e">
        <f t="shared" si="23"/>
        <v>#NUM!</v>
      </c>
      <c r="K285" s="38" t="e">
        <f t="shared" si="21"/>
        <v>#NUM!</v>
      </c>
      <c r="L285" s="38"/>
      <c r="M285" s="40">
        <f t="shared" si="22"/>
        <v>0</v>
      </c>
      <c r="N285" s="218" t="s">
        <v>74</v>
      </c>
      <c r="O285" s="218" t="s">
        <v>74</v>
      </c>
      <c r="P285" s="219" t="s">
        <v>74</v>
      </c>
      <c r="Q285" s="220" t="s">
        <v>74</v>
      </c>
      <c r="R285" s="220" t="s">
        <v>74</v>
      </c>
    </row>
    <row r="286" spans="1:18" x14ac:dyDescent="0.25">
      <c r="A286" s="59"/>
      <c r="G286" s="16"/>
      <c r="H286" s="38">
        <v>281</v>
      </c>
      <c r="I286" s="39" t="str">
        <f t="shared" si="20"/>
        <v/>
      </c>
      <c r="J286" s="38" t="e">
        <f t="shared" si="23"/>
        <v>#NUM!</v>
      </c>
      <c r="K286" s="38" t="e">
        <f t="shared" si="21"/>
        <v>#NUM!</v>
      </c>
      <c r="L286" s="38"/>
      <c r="M286" s="40">
        <f t="shared" si="22"/>
        <v>0</v>
      </c>
      <c r="N286" s="218" t="s">
        <v>74</v>
      </c>
      <c r="O286" s="218" t="s">
        <v>74</v>
      </c>
      <c r="P286" s="219" t="s">
        <v>74</v>
      </c>
      <c r="Q286" s="220" t="s">
        <v>74</v>
      </c>
      <c r="R286" s="220" t="s">
        <v>74</v>
      </c>
    </row>
    <row r="287" spans="1:18" x14ac:dyDescent="0.25">
      <c r="A287" s="59"/>
      <c r="G287" s="16"/>
      <c r="H287" s="38">
        <v>282</v>
      </c>
      <c r="I287" s="39" t="str">
        <f t="shared" si="20"/>
        <v/>
      </c>
      <c r="J287" s="38" t="e">
        <f t="shared" si="23"/>
        <v>#NUM!</v>
      </c>
      <c r="K287" s="38" t="e">
        <f t="shared" si="21"/>
        <v>#NUM!</v>
      </c>
      <c r="L287" s="38"/>
      <c r="M287" s="40">
        <f t="shared" si="22"/>
        <v>0</v>
      </c>
      <c r="N287" s="218" t="s">
        <v>74</v>
      </c>
      <c r="O287" s="218" t="s">
        <v>74</v>
      </c>
      <c r="P287" s="219" t="s">
        <v>74</v>
      </c>
      <c r="Q287" s="220" t="s">
        <v>74</v>
      </c>
      <c r="R287" s="220" t="s">
        <v>74</v>
      </c>
    </row>
    <row r="288" spans="1:18" x14ac:dyDescent="0.25">
      <c r="A288" s="59"/>
      <c r="G288" s="16"/>
      <c r="H288" s="38">
        <v>283</v>
      </c>
      <c r="I288" s="39" t="str">
        <f t="shared" si="20"/>
        <v/>
      </c>
      <c r="J288" s="38" t="e">
        <f t="shared" si="23"/>
        <v>#NUM!</v>
      </c>
      <c r="K288" s="38" t="e">
        <f t="shared" si="21"/>
        <v>#NUM!</v>
      </c>
      <c r="L288" s="38"/>
      <c r="M288" s="40">
        <f t="shared" si="22"/>
        <v>0</v>
      </c>
      <c r="N288" s="218" t="s">
        <v>74</v>
      </c>
      <c r="O288" s="218" t="s">
        <v>74</v>
      </c>
      <c r="P288" s="219" t="s">
        <v>74</v>
      </c>
      <c r="Q288" s="220" t="s">
        <v>74</v>
      </c>
      <c r="R288" s="220" t="s">
        <v>74</v>
      </c>
    </row>
    <row r="289" spans="1:18" x14ac:dyDescent="0.25">
      <c r="A289" s="59"/>
      <c r="G289" s="16"/>
      <c r="H289" s="38">
        <v>284</v>
      </c>
      <c r="I289" s="39" t="str">
        <f t="shared" si="20"/>
        <v/>
      </c>
      <c r="J289" s="38" t="e">
        <f t="shared" si="23"/>
        <v>#NUM!</v>
      </c>
      <c r="K289" s="38" t="e">
        <f t="shared" si="21"/>
        <v>#NUM!</v>
      </c>
      <c r="L289" s="38"/>
      <c r="M289" s="40">
        <f t="shared" si="22"/>
        <v>0</v>
      </c>
      <c r="N289" s="218" t="s">
        <v>74</v>
      </c>
      <c r="O289" s="218" t="s">
        <v>74</v>
      </c>
      <c r="P289" s="219" t="s">
        <v>74</v>
      </c>
      <c r="Q289" s="220" t="s">
        <v>74</v>
      </c>
      <c r="R289" s="220" t="s">
        <v>74</v>
      </c>
    </row>
    <row r="290" spans="1:18" x14ac:dyDescent="0.25">
      <c r="A290" s="59"/>
      <c r="G290" s="16"/>
      <c r="H290" s="38">
        <v>285</v>
      </c>
      <c r="I290" s="39" t="str">
        <f t="shared" si="20"/>
        <v/>
      </c>
      <c r="J290" s="38" t="e">
        <f t="shared" si="23"/>
        <v>#NUM!</v>
      </c>
      <c r="K290" s="38" t="e">
        <f t="shared" si="21"/>
        <v>#NUM!</v>
      </c>
      <c r="L290" s="38"/>
      <c r="M290" s="40">
        <f t="shared" si="22"/>
        <v>0</v>
      </c>
      <c r="N290" s="218" t="s">
        <v>74</v>
      </c>
      <c r="O290" s="218" t="s">
        <v>74</v>
      </c>
      <c r="P290" s="219" t="s">
        <v>74</v>
      </c>
      <c r="Q290" s="220" t="s">
        <v>74</v>
      </c>
      <c r="R290" s="220" t="s">
        <v>74</v>
      </c>
    </row>
    <row r="291" spans="1:18" x14ac:dyDescent="0.25">
      <c r="A291" s="59"/>
      <c r="G291" s="16"/>
      <c r="H291" s="38">
        <v>286</v>
      </c>
      <c r="I291" s="39" t="str">
        <f t="shared" si="20"/>
        <v/>
      </c>
      <c r="J291" s="38" t="e">
        <f t="shared" si="23"/>
        <v>#NUM!</v>
      </c>
      <c r="K291" s="38" t="e">
        <f t="shared" si="21"/>
        <v>#NUM!</v>
      </c>
      <c r="L291" s="38"/>
      <c r="M291" s="40">
        <f t="shared" si="22"/>
        <v>0</v>
      </c>
      <c r="N291" s="218" t="s">
        <v>74</v>
      </c>
      <c r="O291" s="218" t="s">
        <v>74</v>
      </c>
      <c r="P291" s="219" t="s">
        <v>74</v>
      </c>
      <c r="Q291" s="220" t="s">
        <v>74</v>
      </c>
      <c r="R291" s="220" t="s">
        <v>74</v>
      </c>
    </row>
    <row r="292" spans="1:18" x14ac:dyDescent="0.25">
      <c r="A292" s="59"/>
      <c r="G292" s="16"/>
      <c r="H292" s="38">
        <v>287</v>
      </c>
      <c r="I292" s="39" t="str">
        <f t="shared" si="20"/>
        <v/>
      </c>
      <c r="J292" s="38" t="e">
        <f t="shared" si="23"/>
        <v>#NUM!</v>
      </c>
      <c r="K292" s="38" t="e">
        <f t="shared" si="21"/>
        <v>#NUM!</v>
      </c>
      <c r="L292" s="38"/>
      <c r="M292" s="40">
        <f t="shared" si="22"/>
        <v>0</v>
      </c>
      <c r="N292" s="218" t="s">
        <v>74</v>
      </c>
      <c r="O292" s="218" t="s">
        <v>74</v>
      </c>
      <c r="P292" s="219" t="s">
        <v>74</v>
      </c>
      <c r="Q292" s="220" t="s">
        <v>74</v>
      </c>
      <c r="R292" s="220" t="s">
        <v>74</v>
      </c>
    </row>
    <row r="293" spans="1:18" x14ac:dyDescent="0.25">
      <c r="A293" s="59"/>
      <c r="G293" s="16"/>
      <c r="H293" s="38">
        <v>288</v>
      </c>
      <c r="I293" s="39" t="str">
        <f t="shared" si="20"/>
        <v/>
      </c>
      <c r="J293" s="38" t="e">
        <f t="shared" si="23"/>
        <v>#NUM!</v>
      </c>
      <c r="K293" s="38" t="e">
        <f t="shared" si="21"/>
        <v>#NUM!</v>
      </c>
      <c r="L293" s="38"/>
      <c r="M293" s="40">
        <f t="shared" si="22"/>
        <v>0</v>
      </c>
      <c r="N293" s="218" t="s">
        <v>74</v>
      </c>
      <c r="O293" s="218" t="s">
        <v>74</v>
      </c>
      <c r="P293" s="219" t="s">
        <v>74</v>
      </c>
      <c r="Q293" s="220" t="s">
        <v>74</v>
      </c>
      <c r="R293" s="220" t="s">
        <v>74</v>
      </c>
    </row>
    <row r="294" spans="1:18" x14ac:dyDescent="0.25">
      <c r="A294" s="59"/>
      <c r="G294" s="16"/>
      <c r="H294" s="38">
        <v>289</v>
      </c>
      <c r="I294" s="39" t="str">
        <f t="shared" si="20"/>
        <v/>
      </c>
      <c r="J294" s="38" t="e">
        <f t="shared" si="23"/>
        <v>#NUM!</v>
      </c>
      <c r="K294" s="38" t="e">
        <f t="shared" si="21"/>
        <v>#NUM!</v>
      </c>
      <c r="L294" s="38"/>
      <c r="M294" s="40">
        <f t="shared" si="22"/>
        <v>0</v>
      </c>
      <c r="N294" s="218" t="s">
        <v>74</v>
      </c>
      <c r="O294" s="218" t="s">
        <v>74</v>
      </c>
      <c r="P294" s="219" t="s">
        <v>74</v>
      </c>
      <c r="Q294" s="220" t="s">
        <v>74</v>
      </c>
      <c r="R294" s="220" t="s">
        <v>74</v>
      </c>
    </row>
    <row r="295" spans="1:18" x14ac:dyDescent="0.25">
      <c r="A295" s="59"/>
      <c r="G295" s="16"/>
      <c r="H295" s="38">
        <v>290</v>
      </c>
      <c r="I295" s="39" t="str">
        <f t="shared" si="20"/>
        <v/>
      </c>
      <c r="J295" s="38" t="e">
        <f t="shared" si="23"/>
        <v>#NUM!</v>
      </c>
      <c r="K295" s="38" t="e">
        <f t="shared" si="21"/>
        <v>#NUM!</v>
      </c>
      <c r="L295" s="38"/>
      <c r="M295" s="40">
        <f t="shared" si="22"/>
        <v>0</v>
      </c>
      <c r="N295" s="218" t="s">
        <v>74</v>
      </c>
      <c r="O295" s="218" t="s">
        <v>74</v>
      </c>
      <c r="P295" s="219" t="s">
        <v>74</v>
      </c>
      <c r="Q295" s="220" t="s">
        <v>74</v>
      </c>
      <c r="R295" s="220" t="s">
        <v>74</v>
      </c>
    </row>
    <row r="296" spans="1:18" x14ac:dyDescent="0.25">
      <c r="A296" s="59"/>
      <c r="G296" s="16"/>
      <c r="H296" s="38">
        <v>291</v>
      </c>
      <c r="I296" s="39" t="str">
        <f t="shared" si="20"/>
        <v/>
      </c>
      <c r="J296" s="38" t="e">
        <f t="shared" si="23"/>
        <v>#NUM!</v>
      </c>
      <c r="K296" s="38" t="e">
        <f t="shared" si="21"/>
        <v>#NUM!</v>
      </c>
      <c r="L296" s="38"/>
      <c r="M296" s="40">
        <f t="shared" si="22"/>
        <v>0</v>
      </c>
      <c r="N296" s="218" t="s">
        <v>74</v>
      </c>
      <c r="O296" s="218" t="s">
        <v>74</v>
      </c>
      <c r="P296" s="219" t="s">
        <v>74</v>
      </c>
      <c r="Q296" s="220" t="s">
        <v>74</v>
      </c>
      <c r="R296" s="220" t="s">
        <v>74</v>
      </c>
    </row>
    <row r="297" spans="1:18" x14ac:dyDescent="0.25">
      <c r="A297" s="59"/>
      <c r="G297" s="16"/>
      <c r="H297" s="38">
        <v>292</v>
      </c>
      <c r="I297" s="39" t="str">
        <f t="shared" si="20"/>
        <v/>
      </c>
      <c r="J297" s="38" t="e">
        <f t="shared" si="23"/>
        <v>#NUM!</v>
      </c>
      <c r="K297" s="38" t="e">
        <f t="shared" si="21"/>
        <v>#NUM!</v>
      </c>
      <c r="L297" s="38"/>
      <c r="M297" s="40">
        <f t="shared" si="22"/>
        <v>0</v>
      </c>
      <c r="N297" s="218" t="s">
        <v>74</v>
      </c>
      <c r="O297" s="218" t="s">
        <v>74</v>
      </c>
      <c r="P297" s="219" t="s">
        <v>74</v>
      </c>
      <c r="Q297" s="220" t="s">
        <v>74</v>
      </c>
      <c r="R297" s="220" t="s">
        <v>74</v>
      </c>
    </row>
    <row r="298" spans="1:18" x14ac:dyDescent="0.25">
      <c r="A298" s="59"/>
      <c r="G298" s="16"/>
      <c r="H298" s="38">
        <v>293</v>
      </c>
      <c r="I298" s="39" t="str">
        <f t="shared" si="20"/>
        <v/>
      </c>
      <c r="J298" s="38" t="e">
        <f t="shared" si="23"/>
        <v>#NUM!</v>
      </c>
      <c r="K298" s="38" t="e">
        <f t="shared" si="21"/>
        <v>#NUM!</v>
      </c>
      <c r="L298" s="38"/>
      <c r="M298" s="40">
        <f t="shared" si="22"/>
        <v>0</v>
      </c>
      <c r="N298" s="218" t="s">
        <v>74</v>
      </c>
      <c r="O298" s="218" t="s">
        <v>74</v>
      </c>
      <c r="P298" s="219" t="s">
        <v>74</v>
      </c>
      <c r="Q298" s="220" t="s">
        <v>74</v>
      </c>
      <c r="R298" s="220" t="s">
        <v>74</v>
      </c>
    </row>
    <row r="299" spans="1:18" x14ac:dyDescent="0.25">
      <c r="A299" s="59"/>
      <c r="G299" s="16"/>
      <c r="H299" s="38">
        <v>294</v>
      </c>
      <c r="I299" s="39" t="str">
        <f t="shared" si="20"/>
        <v/>
      </c>
      <c r="J299" s="38" t="e">
        <f t="shared" si="23"/>
        <v>#NUM!</v>
      </c>
      <c r="K299" s="38" t="e">
        <f t="shared" si="21"/>
        <v>#NUM!</v>
      </c>
      <c r="L299" s="38"/>
      <c r="M299" s="40">
        <f t="shared" si="22"/>
        <v>0</v>
      </c>
      <c r="N299" s="218" t="s">
        <v>74</v>
      </c>
      <c r="O299" s="218" t="s">
        <v>74</v>
      </c>
      <c r="P299" s="219" t="s">
        <v>74</v>
      </c>
      <c r="Q299" s="220" t="s">
        <v>74</v>
      </c>
      <c r="R299" s="220" t="s">
        <v>74</v>
      </c>
    </row>
    <row r="300" spans="1:18" x14ac:dyDescent="0.25">
      <c r="A300" s="59"/>
      <c r="G300" s="16"/>
      <c r="H300" s="38">
        <v>295</v>
      </c>
      <c r="I300" s="39" t="str">
        <f t="shared" si="20"/>
        <v/>
      </c>
      <c r="J300" s="38" t="e">
        <f t="shared" si="23"/>
        <v>#NUM!</v>
      </c>
      <c r="K300" s="38" t="e">
        <f t="shared" si="21"/>
        <v>#NUM!</v>
      </c>
      <c r="L300" s="38"/>
      <c r="M300" s="40">
        <f t="shared" si="22"/>
        <v>0</v>
      </c>
      <c r="N300" s="218" t="s">
        <v>74</v>
      </c>
      <c r="O300" s="218" t="s">
        <v>74</v>
      </c>
      <c r="P300" s="219" t="s">
        <v>74</v>
      </c>
      <c r="Q300" s="220" t="s">
        <v>74</v>
      </c>
      <c r="R300" s="220" t="s">
        <v>74</v>
      </c>
    </row>
    <row r="301" spans="1:18" x14ac:dyDescent="0.25">
      <c r="A301" s="59"/>
      <c r="G301" s="16"/>
      <c r="H301" s="38">
        <v>296</v>
      </c>
      <c r="I301" s="39" t="str">
        <f t="shared" si="20"/>
        <v/>
      </c>
      <c r="J301" s="38" t="e">
        <f t="shared" si="23"/>
        <v>#NUM!</v>
      </c>
      <c r="K301" s="38" t="e">
        <f t="shared" si="21"/>
        <v>#NUM!</v>
      </c>
      <c r="L301" s="38"/>
      <c r="M301" s="40">
        <f t="shared" si="22"/>
        <v>0</v>
      </c>
      <c r="N301" s="218" t="s">
        <v>74</v>
      </c>
      <c r="O301" s="218" t="s">
        <v>74</v>
      </c>
      <c r="P301" s="219" t="s">
        <v>74</v>
      </c>
      <c r="Q301" s="220" t="s">
        <v>74</v>
      </c>
      <c r="R301" s="220" t="s">
        <v>74</v>
      </c>
    </row>
    <row r="302" spans="1:18" x14ac:dyDescent="0.25">
      <c r="A302" s="59"/>
      <c r="G302" s="16"/>
      <c r="H302" s="38">
        <v>297</v>
      </c>
      <c r="I302" s="39" t="str">
        <f t="shared" si="20"/>
        <v/>
      </c>
      <c r="J302" s="38" t="e">
        <f t="shared" si="23"/>
        <v>#NUM!</v>
      </c>
      <c r="K302" s="38" t="e">
        <f t="shared" si="21"/>
        <v>#NUM!</v>
      </c>
      <c r="L302" s="38"/>
      <c r="M302" s="40">
        <f t="shared" si="22"/>
        <v>0</v>
      </c>
      <c r="N302" s="218" t="s">
        <v>74</v>
      </c>
      <c r="O302" s="218" t="s">
        <v>74</v>
      </c>
      <c r="P302" s="219" t="s">
        <v>74</v>
      </c>
      <c r="Q302" s="220" t="s">
        <v>74</v>
      </c>
      <c r="R302" s="220" t="s">
        <v>74</v>
      </c>
    </row>
    <row r="303" spans="1:18" x14ac:dyDescent="0.25">
      <c r="A303" s="59"/>
      <c r="G303" s="16"/>
      <c r="H303" s="38">
        <v>298</v>
      </c>
      <c r="I303" s="39" t="str">
        <f t="shared" si="20"/>
        <v/>
      </c>
      <c r="J303" s="38" t="e">
        <f t="shared" si="23"/>
        <v>#NUM!</v>
      </c>
      <c r="K303" s="38" t="e">
        <f t="shared" si="21"/>
        <v>#NUM!</v>
      </c>
      <c r="L303" s="38"/>
      <c r="M303" s="40">
        <f t="shared" si="22"/>
        <v>0</v>
      </c>
      <c r="N303" s="218" t="s">
        <v>74</v>
      </c>
      <c r="O303" s="218" t="s">
        <v>74</v>
      </c>
      <c r="P303" s="219" t="s">
        <v>74</v>
      </c>
      <c r="Q303" s="220" t="s">
        <v>74</v>
      </c>
      <c r="R303" s="220" t="s">
        <v>74</v>
      </c>
    </row>
    <row r="304" spans="1:18" x14ac:dyDescent="0.25">
      <c r="A304" s="59"/>
      <c r="G304" s="16"/>
      <c r="H304" s="38">
        <v>299</v>
      </c>
      <c r="I304" s="39" t="str">
        <f t="shared" si="20"/>
        <v/>
      </c>
      <c r="J304" s="38" t="e">
        <f t="shared" si="23"/>
        <v>#NUM!</v>
      </c>
      <c r="K304" s="38" t="e">
        <f t="shared" si="21"/>
        <v>#NUM!</v>
      </c>
      <c r="L304" s="38"/>
      <c r="M304" s="40">
        <f t="shared" si="22"/>
        <v>0</v>
      </c>
      <c r="N304" s="218" t="s">
        <v>74</v>
      </c>
      <c r="O304" s="218" t="s">
        <v>74</v>
      </c>
      <c r="P304" s="219" t="s">
        <v>74</v>
      </c>
      <c r="Q304" s="220" t="s">
        <v>74</v>
      </c>
      <c r="R304" s="220" t="s">
        <v>74</v>
      </c>
    </row>
    <row r="305" spans="1:18" x14ac:dyDescent="0.25">
      <c r="A305" s="59"/>
      <c r="G305" s="16"/>
      <c r="H305" s="38">
        <v>300</v>
      </c>
      <c r="I305" s="39" t="str">
        <f t="shared" si="20"/>
        <v/>
      </c>
      <c r="J305" s="38" t="e">
        <f t="shared" si="23"/>
        <v>#NUM!</v>
      </c>
      <c r="K305" s="38" t="e">
        <f t="shared" si="21"/>
        <v>#NUM!</v>
      </c>
      <c r="L305" s="38"/>
      <c r="M305" s="40">
        <f t="shared" si="22"/>
        <v>0</v>
      </c>
      <c r="N305" s="218" t="s">
        <v>74</v>
      </c>
      <c r="O305" s="218" t="s">
        <v>74</v>
      </c>
      <c r="P305" s="219" t="s">
        <v>74</v>
      </c>
      <c r="Q305" s="220" t="s">
        <v>74</v>
      </c>
      <c r="R305" s="220" t="s">
        <v>74</v>
      </c>
    </row>
    <row r="306" spans="1:18" x14ac:dyDescent="0.25">
      <c r="A306" s="61"/>
      <c r="N306" s="218" t="s">
        <v>74</v>
      </c>
      <c r="O306" s="218" t="s">
        <v>74</v>
      </c>
      <c r="P306" s="219" t="s">
        <v>74</v>
      </c>
      <c r="Q306" s="220" t="s">
        <v>74</v>
      </c>
      <c r="R306" s="220" t="s">
        <v>74</v>
      </c>
    </row>
    <row r="307" spans="1:18" x14ac:dyDescent="0.25">
      <c r="N307" s="218" t="s">
        <v>74</v>
      </c>
      <c r="O307" s="218" t="s">
        <v>74</v>
      </c>
      <c r="P307" s="219" t="s">
        <v>74</v>
      </c>
      <c r="Q307" s="220" t="s">
        <v>74</v>
      </c>
      <c r="R307" s="220" t="s">
        <v>74</v>
      </c>
    </row>
    <row r="308" spans="1:18" x14ac:dyDescent="0.25">
      <c r="N308" s="218" t="s">
        <v>74</v>
      </c>
      <c r="O308" s="218" t="s">
        <v>74</v>
      </c>
      <c r="P308" s="219" t="s">
        <v>74</v>
      </c>
      <c r="Q308" s="220" t="s">
        <v>74</v>
      </c>
      <c r="R308" s="220" t="s">
        <v>74</v>
      </c>
    </row>
    <row r="309" spans="1:18" x14ac:dyDescent="0.25">
      <c r="N309" s="218" t="s">
        <v>74</v>
      </c>
      <c r="O309" s="218" t="s">
        <v>74</v>
      </c>
      <c r="P309" s="219" t="s">
        <v>74</v>
      </c>
      <c r="Q309" s="220" t="s">
        <v>74</v>
      </c>
      <c r="R309" s="220" t="s">
        <v>74</v>
      </c>
    </row>
    <row r="310" spans="1:18" x14ac:dyDescent="0.25">
      <c r="N310" s="218" t="s">
        <v>74</v>
      </c>
      <c r="O310" s="218" t="s">
        <v>74</v>
      </c>
      <c r="P310" s="219" t="s">
        <v>74</v>
      </c>
      <c r="Q310" s="220" t="s">
        <v>74</v>
      </c>
      <c r="R310" s="220" t="s">
        <v>74</v>
      </c>
    </row>
    <row r="311" spans="1:18" x14ac:dyDescent="0.25">
      <c r="N311" s="218" t="s">
        <v>74</v>
      </c>
      <c r="O311" s="218" t="s">
        <v>74</v>
      </c>
      <c r="P311" s="219" t="s">
        <v>74</v>
      </c>
      <c r="Q311" s="220" t="s">
        <v>74</v>
      </c>
      <c r="R311" s="220" t="s">
        <v>74</v>
      </c>
    </row>
    <row r="312" spans="1:18" x14ac:dyDescent="0.25">
      <c r="N312" s="218" t="s">
        <v>74</v>
      </c>
      <c r="O312" s="218" t="s">
        <v>74</v>
      </c>
      <c r="P312" s="219" t="s">
        <v>74</v>
      </c>
      <c r="Q312" s="220" t="s">
        <v>74</v>
      </c>
      <c r="R312" s="220" t="s">
        <v>74</v>
      </c>
    </row>
    <row r="313" spans="1:18" x14ac:dyDescent="0.25">
      <c r="N313" s="218" t="s">
        <v>74</v>
      </c>
      <c r="O313" s="218" t="s">
        <v>74</v>
      </c>
      <c r="P313" s="219" t="s">
        <v>74</v>
      </c>
      <c r="Q313" s="220" t="s">
        <v>74</v>
      </c>
      <c r="R313" s="220" t="s">
        <v>74</v>
      </c>
    </row>
    <row r="314" spans="1:18" x14ac:dyDescent="0.25">
      <c r="L314" s="64"/>
      <c r="N314" s="218" t="s">
        <v>74</v>
      </c>
      <c r="O314" s="218" t="s">
        <v>74</v>
      </c>
      <c r="P314" s="219" t="s">
        <v>74</v>
      </c>
      <c r="Q314" s="220" t="s">
        <v>74</v>
      </c>
      <c r="R314" s="220" t="s">
        <v>74</v>
      </c>
    </row>
    <row r="315" spans="1:18" x14ac:dyDescent="0.25">
      <c r="L315" s="64"/>
      <c r="N315" s="218" t="s">
        <v>74</v>
      </c>
      <c r="O315" s="218" t="s">
        <v>74</v>
      </c>
      <c r="P315" s="219" t="s">
        <v>74</v>
      </c>
      <c r="Q315" s="220" t="s">
        <v>74</v>
      </c>
      <c r="R315" s="220" t="s">
        <v>74</v>
      </c>
    </row>
    <row r="316" spans="1:18" x14ac:dyDescent="0.25">
      <c r="L316" s="64"/>
      <c r="N316" s="218" t="s">
        <v>74</v>
      </c>
      <c r="O316" s="218" t="s">
        <v>74</v>
      </c>
      <c r="P316" s="219" t="s">
        <v>74</v>
      </c>
      <c r="Q316" s="220" t="s">
        <v>74</v>
      </c>
      <c r="R316" s="220" t="s">
        <v>74</v>
      </c>
    </row>
    <row r="317" spans="1:18" x14ac:dyDescent="0.25">
      <c r="L317" s="64"/>
      <c r="N317" s="218" t="s">
        <v>74</v>
      </c>
      <c r="O317" s="218" t="s">
        <v>74</v>
      </c>
      <c r="P317" s="219" t="s">
        <v>74</v>
      </c>
      <c r="Q317" s="220" t="s">
        <v>74</v>
      </c>
      <c r="R317" s="220" t="s">
        <v>74</v>
      </c>
    </row>
    <row r="318" spans="1:18" x14ac:dyDescent="0.25">
      <c r="N318" s="218" t="s">
        <v>74</v>
      </c>
      <c r="O318" s="218" t="s">
        <v>74</v>
      </c>
      <c r="P318" s="219" t="s">
        <v>74</v>
      </c>
      <c r="Q318" s="220" t="s">
        <v>74</v>
      </c>
      <c r="R318" s="220" t="s">
        <v>74</v>
      </c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C0FAF307-745F-49C4-A440-F075E93BC925}">
      <formula1>#REF!</formula1>
    </dataValidation>
  </dataValidations>
  <hyperlinks>
    <hyperlink ref="C2:D2" r:id="rId1" display="GDAŃSK" xr:uid="{10DF6E81-15D7-43FE-AF38-FE0E77B7606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6961-DDC1-45BD-89EB-C426A9E2A816}">
  <sheetPr>
    <tabColor rgb="FF92D050"/>
  </sheetPr>
  <dimension ref="A1:AL317"/>
  <sheetViews>
    <sheetView workbookViewId="0">
      <selection activeCell="F18" sqref="F18"/>
    </sheetView>
  </sheetViews>
  <sheetFormatPr defaultColWidth="8.875" defaultRowHeight="14.3" x14ac:dyDescent="0.25"/>
  <cols>
    <col min="1" max="1" width="8" style="171" customWidth="1"/>
    <col min="2" max="2" width="8.25" style="171" customWidth="1"/>
    <col min="3" max="3" width="34.75" style="171" customWidth="1"/>
    <col min="4" max="4" width="11.25" style="171" customWidth="1"/>
    <col min="5" max="6" width="8.875" style="171"/>
    <col min="7" max="7" width="0.875" style="171" customWidth="1"/>
    <col min="8" max="8" width="8.875" style="173"/>
    <col min="9" max="9" width="11" style="173" customWidth="1"/>
    <col min="10" max="10" width="15.25" style="173" customWidth="1"/>
    <col min="11" max="11" width="8.75" style="173" customWidth="1"/>
    <col min="12" max="12" width="11" style="173" customWidth="1"/>
    <col min="13" max="13" width="11.75" style="174" customWidth="1"/>
    <col min="14" max="15" width="13.875" style="140" customWidth="1"/>
    <col min="16" max="16" width="20.75" style="140" bestFit="1" customWidth="1"/>
    <col min="17" max="18" width="8.875" style="140"/>
    <col min="19" max="20" width="8.875" style="145"/>
    <col min="21" max="21" width="12.125" style="145" customWidth="1"/>
    <col min="22" max="22" width="27.375" style="145" customWidth="1"/>
    <col min="23" max="38" width="8.875" style="145"/>
    <col min="39" max="16384" width="8.875" style="171"/>
  </cols>
  <sheetData>
    <row r="1" spans="1:36" x14ac:dyDescent="0.25">
      <c r="A1" s="140"/>
      <c r="B1" s="140"/>
      <c r="C1" s="140"/>
      <c r="D1" s="140"/>
      <c r="E1" s="140"/>
      <c r="F1" s="140"/>
      <c r="G1" s="140"/>
      <c r="H1" s="141" t="s">
        <v>26</v>
      </c>
      <c r="I1" s="142" t="s">
        <v>27</v>
      </c>
      <c r="J1" s="142" t="s">
        <v>28</v>
      </c>
      <c r="K1" s="143" t="s">
        <v>29</v>
      </c>
      <c r="L1" s="144"/>
      <c r="M1" s="144"/>
    </row>
    <row r="2" spans="1:36" ht="14.45" customHeight="1" x14ac:dyDescent="0.25">
      <c r="A2" s="140"/>
      <c r="B2" s="22" t="s">
        <v>30</v>
      </c>
      <c r="C2" s="289" t="s">
        <v>87</v>
      </c>
      <c r="D2" s="289"/>
      <c r="E2" s="23"/>
      <c r="F2" s="23"/>
      <c r="G2" s="23"/>
      <c r="H2" s="146">
        <v>1</v>
      </c>
      <c r="I2" s="147">
        <v>50</v>
      </c>
      <c r="J2" s="147">
        <v>10</v>
      </c>
      <c r="K2" s="148">
        <f>3*H2^(1/3)</f>
        <v>3</v>
      </c>
      <c r="L2" s="144"/>
      <c r="M2" s="144"/>
    </row>
    <row r="3" spans="1:36" ht="14.45" customHeight="1" x14ac:dyDescent="0.25">
      <c r="A3" s="140"/>
      <c r="B3" s="149" t="s">
        <v>32</v>
      </c>
      <c r="C3" s="290" t="s">
        <v>88</v>
      </c>
      <c r="D3" s="290"/>
      <c r="E3" s="28"/>
      <c r="F3" s="28"/>
      <c r="G3" s="28"/>
      <c r="H3" s="144"/>
      <c r="I3" s="144"/>
      <c r="J3" s="150"/>
      <c r="K3" s="144"/>
      <c r="L3" s="144"/>
      <c r="M3" s="14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44"/>
      <c r="I4" s="144"/>
      <c r="J4" s="150"/>
      <c r="K4" s="144"/>
      <c r="L4" s="144"/>
      <c r="M4" s="144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51" t="s">
        <v>40</v>
      </c>
      <c r="I5" s="152" t="s">
        <v>41</v>
      </c>
      <c r="J5" s="153" t="s">
        <v>42</v>
      </c>
      <c r="K5" s="152" t="s">
        <v>43</v>
      </c>
      <c r="L5" s="152" t="s">
        <v>44</v>
      </c>
      <c r="M5" s="151" t="s">
        <v>45</v>
      </c>
      <c r="O5" s="220"/>
      <c r="P5" s="291" t="s">
        <v>77</v>
      </c>
      <c r="Q5" s="291"/>
      <c r="R5" s="291"/>
    </row>
    <row r="6" spans="1:36" ht="14.45" customHeight="1" x14ac:dyDescent="0.25">
      <c r="A6" s="35">
        <f>M6</f>
        <v>69</v>
      </c>
      <c r="B6" s="36">
        <f t="shared" ref="B6:B13" si="0">IF(H6&gt;$H$2,"",(ROW()-5))</f>
        <v>1</v>
      </c>
      <c r="C6" s="37" t="s">
        <v>19</v>
      </c>
      <c r="D6" s="37" t="s">
        <v>46</v>
      </c>
      <c r="E6" s="37" t="s">
        <v>89</v>
      </c>
      <c r="F6" s="37"/>
      <c r="G6" s="30"/>
      <c r="H6" s="154">
        <v>1</v>
      </c>
      <c r="I6" s="155">
        <f>IF(H2=1,50,IF(H6&lt;$H$2+1,($I$2-($I$2-1)*(LOG(H6)/LOG($H$2))),""))</f>
        <v>50</v>
      </c>
      <c r="J6" s="154">
        <v>1</v>
      </c>
      <c r="K6" s="154">
        <f t="shared" ref="K6:K69" si="1">J6*$J$2</f>
        <v>10</v>
      </c>
      <c r="L6" s="156">
        <f>3*K2</f>
        <v>9</v>
      </c>
      <c r="M6" s="156">
        <f t="shared" ref="M6:M69" si="2">IF(I6&lt;&gt;"",K6+I6+L6,0)</f>
        <v>69</v>
      </c>
      <c r="O6" s="220"/>
      <c r="P6" s="219"/>
      <c r="Q6" s="220"/>
      <c r="R6" s="220"/>
    </row>
    <row r="7" spans="1:36" ht="14.45" customHeight="1" x14ac:dyDescent="0.25">
      <c r="A7" s="41">
        <f t="shared" ref="A7:A37" si="3">M7</f>
        <v>0</v>
      </c>
      <c r="B7" s="42"/>
      <c r="C7" s="43"/>
      <c r="D7" s="43"/>
      <c r="E7" s="43"/>
      <c r="F7" s="43"/>
      <c r="G7" s="30"/>
      <c r="H7" s="157">
        <v>2</v>
      </c>
      <c r="I7" s="158" t="str">
        <f t="shared" ref="I7:I70" si="4">IF(H7&lt;$H$2+1,($I$2-($I$2-1)*(LOG(H7)/LOG($H$2))),"")</f>
        <v/>
      </c>
      <c r="J7" s="157">
        <f t="shared" ref="J7:J70" si="5">INT(LOG($H$2,2))-ROUNDUP(LOG(H7,2),0)+IF(OR($H$2=1,$H$2=2,$H$2=4,$H$2=8,$H$2=16,$H$2=32,$H$2=64,$H$2=128,$H$2=256),0,1)</f>
        <v>-1</v>
      </c>
      <c r="K7" s="157">
        <f t="shared" si="1"/>
        <v>-10</v>
      </c>
      <c r="L7" s="159">
        <f>2*K2</f>
        <v>6</v>
      </c>
      <c r="M7" s="159">
        <f t="shared" si="2"/>
        <v>0</v>
      </c>
      <c r="O7" s="221">
        <v>1</v>
      </c>
      <c r="P7" s="223" t="s">
        <v>90</v>
      </c>
      <c r="Q7" s="221">
        <v>1</v>
      </c>
      <c r="R7" s="221">
        <v>10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54">
        <v>3</v>
      </c>
      <c r="I8" s="155" t="str">
        <f t="shared" si="4"/>
        <v/>
      </c>
      <c r="J8" s="154">
        <f t="shared" si="5"/>
        <v>-2</v>
      </c>
      <c r="K8" s="154">
        <f t="shared" si="1"/>
        <v>-20</v>
      </c>
      <c r="L8" s="156">
        <f>K2</f>
        <v>3</v>
      </c>
      <c r="M8" s="156">
        <f t="shared" si="2"/>
        <v>0</v>
      </c>
      <c r="O8" s="221">
        <v>2</v>
      </c>
      <c r="P8" s="223" t="s">
        <v>91</v>
      </c>
      <c r="Q8" s="221">
        <v>0</v>
      </c>
      <c r="R8" s="221"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7">
        <v>4</v>
      </c>
      <c r="I9" s="158" t="str">
        <f t="shared" si="4"/>
        <v/>
      </c>
      <c r="J9" s="157">
        <f t="shared" si="5"/>
        <v>-2</v>
      </c>
      <c r="K9" s="157">
        <f t="shared" si="1"/>
        <v>-20</v>
      </c>
      <c r="L9" s="159"/>
      <c r="M9" s="159">
        <f t="shared" si="2"/>
        <v>0</v>
      </c>
      <c r="O9" s="221"/>
      <c r="P9" s="223"/>
      <c r="Q9" s="221"/>
      <c r="R9" s="221"/>
      <c r="V9" s="160"/>
      <c r="Z9" s="161"/>
      <c r="AA9" s="161"/>
      <c r="AG9" s="162"/>
      <c r="AH9" s="145" t="s">
        <v>53</v>
      </c>
      <c r="AI9" s="145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54">
        <v>5</v>
      </c>
      <c r="I10" s="155" t="str">
        <f t="shared" si="4"/>
        <v/>
      </c>
      <c r="J10" s="154">
        <f t="shared" si="5"/>
        <v>-3</v>
      </c>
      <c r="K10" s="154">
        <f t="shared" si="1"/>
        <v>-30</v>
      </c>
      <c r="L10" s="154"/>
      <c r="M10" s="156">
        <f t="shared" si="2"/>
        <v>0</v>
      </c>
      <c r="O10" s="221"/>
      <c r="P10" s="223"/>
      <c r="Q10" s="221"/>
      <c r="R10" s="221"/>
      <c r="V10" s="160"/>
      <c r="Z10" s="161"/>
      <c r="AA10" s="161"/>
      <c r="AG10" s="162"/>
      <c r="AH10" s="145" t="s">
        <v>55</v>
      </c>
      <c r="AI10" s="145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7">
        <v>6</v>
      </c>
      <c r="I11" s="158" t="str">
        <f t="shared" si="4"/>
        <v/>
      </c>
      <c r="J11" s="157">
        <f t="shared" si="5"/>
        <v>-3</v>
      </c>
      <c r="K11" s="157">
        <f t="shared" si="1"/>
        <v>-30</v>
      </c>
      <c r="L11" s="157"/>
      <c r="M11" s="159">
        <f t="shared" si="2"/>
        <v>0</v>
      </c>
      <c r="O11" s="221"/>
      <c r="P11" s="223"/>
      <c r="Q11" s="221"/>
      <c r="R11" s="221"/>
      <c r="V11" s="163"/>
      <c r="Z11" s="161"/>
      <c r="AA11" s="161"/>
      <c r="AG11" s="162"/>
      <c r="AH11" s="145" t="s">
        <v>57</v>
      </c>
      <c r="AI11" s="145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54">
        <v>7</v>
      </c>
      <c r="I12" s="155" t="str">
        <f t="shared" si="4"/>
        <v/>
      </c>
      <c r="J12" s="154">
        <f t="shared" si="5"/>
        <v>-3</v>
      </c>
      <c r="K12" s="154">
        <f t="shared" si="1"/>
        <v>-30</v>
      </c>
      <c r="L12" s="154"/>
      <c r="M12" s="156">
        <f t="shared" si="2"/>
        <v>0</v>
      </c>
      <c r="O12" s="221"/>
      <c r="P12" s="223"/>
      <c r="Q12" s="221"/>
      <c r="R12" s="221"/>
      <c r="Z12" s="161"/>
      <c r="AA12" s="161"/>
      <c r="AG12" s="162"/>
      <c r="AH12" s="145" t="s">
        <v>58</v>
      </c>
      <c r="AI12" s="145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7">
        <v>8</v>
      </c>
      <c r="I13" s="158" t="str">
        <f t="shared" si="4"/>
        <v/>
      </c>
      <c r="J13" s="157">
        <f t="shared" si="5"/>
        <v>-3</v>
      </c>
      <c r="K13" s="157">
        <f t="shared" si="1"/>
        <v>-30</v>
      </c>
      <c r="L13" s="157"/>
      <c r="M13" s="159">
        <f t="shared" si="2"/>
        <v>0</v>
      </c>
      <c r="X13" s="160"/>
      <c r="AG13" s="162"/>
      <c r="AH13" s="145" t="s">
        <v>59</v>
      </c>
      <c r="AI13" s="145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54">
        <v>9</v>
      </c>
      <c r="I14" s="155" t="str">
        <f t="shared" si="4"/>
        <v/>
      </c>
      <c r="J14" s="154">
        <f t="shared" si="5"/>
        <v>-4</v>
      </c>
      <c r="K14" s="154">
        <f t="shared" si="1"/>
        <v>-40</v>
      </c>
      <c r="L14" s="154"/>
      <c r="M14" s="156">
        <f t="shared" si="2"/>
        <v>0</v>
      </c>
      <c r="X14" s="164"/>
      <c r="Z14" s="161"/>
      <c r="AA14" s="161"/>
      <c r="AG14" s="162"/>
      <c r="AH14" s="145" t="s">
        <v>65</v>
      </c>
      <c r="AI14" s="145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7">
        <v>10</v>
      </c>
      <c r="I15" s="158" t="str">
        <f t="shared" si="4"/>
        <v/>
      </c>
      <c r="J15" s="157">
        <f t="shared" si="5"/>
        <v>-4</v>
      </c>
      <c r="K15" s="157">
        <f t="shared" si="1"/>
        <v>-40</v>
      </c>
      <c r="L15" s="157"/>
      <c r="M15" s="159">
        <f t="shared" si="2"/>
        <v>0</v>
      </c>
      <c r="X15" s="160"/>
      <c r="Z15" s="161"/>
      <c r="AA15" s="161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54">
        <v>11</v>
      </c>
      <c r="I16" s="155" t="str">
        <f t="shared" si="4"/>
        <v/>
      </c>
      <c r="J16" s="154">
        <f t="shared" si="5"/>
        <v>-4</v>
      </c>
      <c r="K16" s="154">
        <f t="shared" si="1"/>
        <v>-40</v>
      </c>
      <c r="L16" s="154"/>
      <c r="M16" s="156">
        <f t="shared" si="2"/>
        <v>0</v>
      </c>
      <c r="R16" s="165"/>
      <c r="Z16" s="161"/>
      <c r="AA16" s="161"/>
      <c r="AH16" s="166" t="s">
        <v>61</v>
      </c>
      <c r="AI16" s="145">
        <f>AI11-AI12*AI13/AI14</f>
        <v>9.6393909380186855</v>
      </c>
      <c r="AJ16" s="145" t="s">
        <v>62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7">
        <v>12</v>
      </c>
      <c r="I17" s="158" t="str">
        <f t="shared" si="4"/>
        <v/>
      </c>
      <c r="J17" s="157">
        <f t="shared" si="5"/>
        <v>-4</v>
      </c>
      <c r="K17" s="157">
        <f t="shared" si="1"/>
        <v>-40</v>
      </c>
      <c r="L17" s="157"/>
      <c r="M17" s="159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54">
        <v>13</v>
      </c>
      <c r="I18" s="155" t="str">
        <f t="shared" si="4"/>
        <v/>
      </c>
      <c r="J18" s="154">
        <f t="shared" si="5"/>
        <v>-4</v>
      </c>
      <c r="K18" s="154">
        <f t="shared" si="1"/>
        <v>-40</v>
      </c>
      <c r="L18" s="154"/>
      <c r="M18" s="156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7">
        <v>14</v>
      </c>
      <c r="I19" s="158" t="str">
        <f t="shared" si="4"/>
        <v/>
      </c>
      <c r="J19" s="157">
        <f t="shared" si="5"/>
        <v>-4</v>
      </c>
      <c r="K19" s="157">
        <f t="shared" si="1"/>
        <v>-40</v>
      </c>
      <c r="L19" s="157"/>
      <c r="M19" s="159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54">
        <v>15</v>
      </c>
      <c r="I20" s="155" t="str">
        <f t="shared" si="4"/>
        <v/>
      </c>
      <c r="J20" s="154">
        <f t="shared" si="5"/>
        <v>-4</v>
      </c>
      <c r="K20" s="154">
        <f t="shared" si="1"/>
        <v>-40</v>
      </c>
      <c r="L20" s="154"/>
      <c r="M20" s="156">
        <f t="shared" si="2"/>
        <v>0</v>
      </c>
      <c r="R20" s="167"/>
      <c r="S20" s="168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7">
        <v>16</v>
      </c>
      <c r="I21" s="158" t="str">
        <f t="shared" si="4"/>
        <v/>
      </c>
      <c r="J21" s="157">
        <f t="shared" si="5"/>
        <v>-4</v>
      </c>
      <c r="K21" s="157">
        <f t="shared" si="1"/>
        <v>-40</v>
      </c>
      <c r="L21" s="157"/>
      <c r="M21" s="159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54">
        <v>17</v>
      </c>
      <c r="I22" s="155" t="str">
        <f t="shared" si="4"/>
        <v/>
      </c>
      <c r="J22" s="154">
        <f t="shared" si="5"/>
        <v>-5</v>
      </c>
      <c r="K22" s="154">
        <f t="shared" si="1"/>
        <v>-50</v>
      </c>
      <c r="L22" s="154"/>
      <c r="M22" s="156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7">
        <v>18</v>
      </c>
      <c r="I23" s="158" t="str">
        <f t="shared" si="4"/>
        <v/>
      </c>
      <c r="J23" s="157">
        <f t="shared" si="5"/>
        <v>-5</v>
      </c>
      <c r="K23" s="157">
        <f t="shared" si="1"/>
        <v>-50</v>
      </c>
      <c r="L23" s="157"/>
      <c r="M23" s="159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54">
        <v>19</v>
      </c>
      <c r="I24" s="155" t="str">
        <f t="shared" si="4"/>
        <v/>
      </c>
      <c r="J24" s="154">
        <f t="shared" si="5"/>
        <v>-5</v>
      </c>
      <c r="K24" s="154">
        <f t="shared" si="1"/>
        <v>-50</v>
      </c>
      <c r="L24" s="154"/>
      <c r="M24" s="156">
        <f t="shared" si="2"/>
        <v>0</v>
      </c>
      <c r="R24" s="167"/>
      <c r="S24" s="168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7">
        <v>20</v>
      </c>
      <c r="I25" s="158" t="str">
        <f t="shared" si="4"/>
        <v/>
      </c>
      <c r="J25" s="157">
        <f t="shared" si="5"/>
        <v>-5</v>
      </c>
      <c r="K25" s="157">
        <f t="shared" si="1"/>
        <v>-50</v>
      </c>
      <c r="L25" s="157"/>
      <c r="M25" s="159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54">
        <v>21</v>
      </c>
      <c r="I26" s="155" t="str">
        <f t="shared" si="4"/>
        <v/>
      </c>
      <c r="J26" s="154">
        <f t="shared" si="5"/>
        <v>-5</v>
      </c>
      <c r="K26" s="154">
        <f t="shared" si="1"/>
        <v>-50</v>
      </c>
      <c r="L26" s="154"/>
      <c r="M26" s="156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7">
        <v>22</v>
      </c>
      <c r="I27" s="158" t="str">
        <f t="shared" si="4"/>
        <v/>
      </c>
      <c r="J27" s="157">
        <f t="shared" si="5"/>
        <v>-5</v>
      </c>
      <c r="K27" s="157">
        <f t="shared" si="1"/>
        <v>-50</v>
      </c>
      <c r="L27" s="157"/>
      <c r="M27" s="159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54">
        <v>23</v>
      </c>
      <c r="I28" s="155" t="str">
        <f t="shared" si="4"/>
        <v/>
      </c>
      <c r="J28" s="154">
        <f t="shared" si="5"/>
        <v>-5</v>
      </c>
      <c r="K28" s="154">
        <f t="shared" si="1"/>
        <v>-50</v>
      </c>
      <c r="L28" s="154"/>
      <c r="M28" s="156">
        <f t="shared" si="2"/>
        <v>0</v>
      </c>
      <c r="R28" s="167"/>
      <c r="S28" s="168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0"/>
      <c r="H29" s="157">
        <v>24</v>
      </c>
      <c r="I29" s="158" t="str">
        <f t="shared" si="4"/>
        <v/>
      </c>
      <c r="J29" s="157">
        <f t="shared" si="5"/>
        <v>-5</v>
      </c>
      <c r="K29" s="157">
        <f t="shared" si="1"/>
        <v>-50</v>
      </c>
      <c r="L29" s="157"/>
      <c r="M29" s="159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0"/>
      <c r="H30" s="154">
        <v>25</v>
      </c>
      <c r="I30" s="155" t="str">
        <f t="shared" si="4"/>
        <v/>
      </c>
      <c r="J30" s="154">
        <f t="shared" si="5"/>
        <v>-5</v>
      </c>
      <c r="K30" s="154">
        <f t="shared" si="1"/>
        <v>-50</v>
      </c>
      <c r="L30" s="154"/>
      <c r="M30" s="156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0"/>
      <c r="H31" s="157">
        <v>26</v>
      </c>
      <c r="I31" s="158" t="str">
        <f t="shared" si="4"/>
        <v/>
      </c>
      <c r="J31" s="157">
        <f t="shared" si="5"/>
        <v>-5</v>
      </c>
      <c r="K31" s="157">
        <f t="shared" si="1"/>
        <v>-50</v>
      </c>
      <c r="L31" s="157"/>
      <c r="M31" s="159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0"/>
      <c r="H32" s="154">
        <v>27</v>
      </c>
      <c r="I32" s="155" t="str">
        <f t="shared" si="4"/>
        <v/>
      </c>
      <c r="J32" s="154">
        <f t="shared" si="5"/>
        <v>-5</v>
      </c>
      <c r="K32" s="154">
        <f t="shared" si="1"/>
        <v>-50</v>
      </c>
      <c r="L32" s="154"/>
      <c r="M32" s="156">
        <f t="shared" si="2"/>
        <v>0</v>
      </c>
      <c r="R32" s="167"/>
      <c r="S32" s="168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0"/>
      <c r="H33" s="157">
        <v>28</v>
      </c>
      <c r="I33" s="158" t="str">
        <f t="shared" si="4"/>
        <v/>
      </c>
      <c r="J33" s="157">
        <f t="shared" si="5"/>
        <v>-5</v>
      </c>
      <c r="K33" s="157">
        <f t="shared" si="1"/>
        <v>-50</v>
      </c>
      <c r="L33" s="157"/>
      <c r="M33" s="159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0"/>
      <c r="H34" s="154">
        <v>29</v>
      </c>
      <c r="I34" s="155" t="str">
        <f t="shared" si="4"/>
        <v/>
      </c>
      <c r="J34" s="154">
        <f t="shared" si="5"/>
        <v>-5</v>
      </c>
      <c r="K34" s="154">
        <f t="shared" si="1"/>
        <v>-50</v>
      </c>
      <c r="L34" s="154"/>
      <c r="M34" s="156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0"/>
      <c r="H35" s="157">
        <v>30</v>
      </c>
      <c r="I35" s="158" t="str">
        <f t="shared" si="4"/>
        <v/>
      </c>
      <c r="J35" s="157">
        <f t="shared" si="5"/>
        <v>-5</v>
      </c>
      <c r="K35" s="157">
        <f t="shared" si="1"/>
        <v>-50</v>
      </c>
      <c r="L35" s="157"/>
      <c r="M35" s="159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0"/>
      <c r="H36" s="154">
        <v>31</v>
      </c>
      <c r="I36" s="155" t="str">
        <f t="shared" si="4"/>
        <v/>
      </c>
      <c r="J36" s="154">
        <f t="shared" si="5"/>
        <v>-5</v>
      </c>
      <c r="K36" s="154">
        <f t="shared" si="1"/>
        <v>-50</v>
      </c>
      <c r="L36" s="154"/>
      <c r="M36" s="156">
        <f t="shared" si="2"/>
        <v>0</v>
      </c>
      <c r="R36" s="167"/>
      <c r="S36" s="168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0"/>
      <c r="H37" s="157">
        <v>32</v>
      </c>
      <c r="I37" s="158" t="str">
        <f t="shared" si="4"/>
        <v/>
      </c>
      <c r="J37" s="157">
        <f t="shared" si="5"/>
        <v>-5</v>
      </c>
      <c r="K37" s="157">
        <f t="shared" si="1"/>
        <v>-50</v>
      </c>
      <c r="L37" s="157"/>
      <c r="M37" s="159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0"/>
      <c r="H38" s="154">
        <v>33</v>
      </c>
      <c r="I38" s="155" t="str">
        <f t="shared" si="4"/>
        <v/>
      </c>
      <c r="J38" s="154">
        <f t="shared" si="5"/>
        <v>-6</v>
      </c>
      <c r="K38" s="154">
        <f t="shared" si="1"/>
        <v>-60</v>
      </c>
      <c r="L38" s="154"/>
      <c r="M38" s="156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0"/>
      <c r="H39" s="157">
        <v>34</v>
      </c>
      <c r="I39" s="158" t="str">
        <f t="shared" si="4"/>
        <v/>
      </c>
      <c r="J39" s="157">
        <f t="shared" si="5"/>
        <v>-6</v>
      </c>
      <c r="K39" s="157">
        <f t="shared" si="1"/>
        <v>-60</v>
      </c>
      <c r="L39" s="157"/>
      <c r="M39" s="159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0"/>
      <c r="H40" s="154">
        <v>35</v>
      </c>
      <c r="I40" s="155" t="str">
        <f t="shared" si="4"/>
        <v/>
      </c>
      <c r="J40" s="154">
        <f t="shared" si="5"/>
        <v>-6</v>
      </c>
      <c r="K40" s="154">
        <f t="shared" si="1"/>
        <v>-60</v>
      </c>
      <c r="L40" s="154"/>
      <c r="M40" s="156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0"/>
      <c r="H41" s="157">
        <v>36</v>
      </c>
      <c r="I41" s="158" t="str">
        <f t="shared" si="4"/>
        <v/>
      </c>
      <c r="J41" s="157">
        <f t="shared" si="5"/>
        <v>-6</v>
      </c>
      <c r="K41" s="157">
        <f t="shared" si="1"/>
        <v>-60</v>
      </c>
      <c r="L41" s="157"/>
      <c r="M41" s="159">
        <f t="shared" si="2"/>
        <v>0</v>
      </c>
      <c r="S41" s="169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0"/>
      <c r="H42" s="154">
        <v>37</v>
      </c>
      <c r="I42" s="155" t="str">
        <f t="shared" si="4"/>
        <v/>
      </c>
      <c r="J42" s="154">
        <f t="shared" si="5"/>
        <v>-6</v>
      </c>
      <c r="K42" s="154">
        <f t="shared" si="1"/>
        <v>-60</v>
      </c>
      <c r="L42" s="154"/>
      <c r="M42" s="156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0"/>
      <c r="H43" s="157">
        <v>38</v>
      </c>
      <c r="I43" s="158" t="str">
        <f t="shared" si="4"/>
        <v/>
      </c>
      <c r="J43" s="157">
        <f t="shared" si="5"/>
        <v>-6</v>
      </c>
      <c r="K43" s="157">
        <f t="shared" si="1"/>
        <v>-60</v>
      </c>
      <c r="L43" s="157"/>
      <c r="M43" s="159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0"/>
      <c r="H44" s="154">
        <v>39</v>
      </c>
      <c r="I44" s="155" t="str">
        <f t="shared" si="4"/>
        <v/>
      </c>
      <c r="J44" s="154">
        <f t="shared" si="5"/>
        <v>-6</v>
      </c>
      <c r="K44" s="154">
        <f t="shared" si="1"/>
        <v>-60</v>
      </c>
      <c r="L44" s="154"/>
      <c r="M44" s="156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0"/>
      <c r="H45" s="157">
        <v>40</v>
      </c>
      <c r="I45" s="158" t="str">
        <f t="shared" si="4"/>
        <v/>
      </c>
      <c r="J45" s="157">
        <f t="shared" si="5"/>
        <v>-6</v>
      </c>
      <c r="K45" s="157">
        <f t="shared" si="1"/>
        <v>-60</v>
      </c>
      <c r="L45" s="157"/>
      <c r="M45" s="159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0"/>
      <c r="H46" s="154">
        <v>41</v>
      </c>
      <c r="I46" s="155" t="str">
        <f t="shared" si="4"/>
        <v/>
      </c>
      <c r="J46" s="154">
        <f t="shared" si="5"/>
        <v>-6</v>
      </c>
      <c r="K46" s="154">
        <f t="shared" si="1"/>
        <v>-60</v>
      </c>
      <c r="L46" s="154"/>
      <c r="M46" s="156">
        <f t="shared" si="2"/>
        <v>0</v>
      </c>
      <c r="R46" s="140">
        <f>LOG($H$2,2)</f>
        <v>0</v>
      </c>
      <c r="T46" s="145">
        <f>LOG(H38,2)</f>
        <v>5.0443941193584534</v>
      </c>
      <c r="U46" s="145">
        <f>R46-T46</f>
        <v>-5.0443941193584534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0"/>
      <c r="H47" s="157">
        <v>42</v>
      </c>
      <c r="I47" s="158" t="str">
        <f t="shared" si="4"/>
        <v/>
      </c>
      <c r="J47" s="157">
        <f t="shared" si="5"/>
        <v>-6</v>
      </c>
      <c r="K47" s="157">
        <f t="shared" si="1"/>
        <v>-60</v>
      </c>
      <c r="L47" s="157"/>
      <c r="M47" s="159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0"/>
      <c r="H48" s="154">
        <v>43</v>
      </c>
      <c r="I48" s="155" t="str">
        <f t="shared" si="4"/>
        <v/>
      </c>
      <c r="J48" s="154">
        <f t="shared" si="5"/>
        <v>-6</v>
      </c>
      <c r="K48" s="154">
        <f t="shared" si="1"/>
        <v>-60</v>
      </c>
      <c r="L48" s="154"/>
      <c r="M48" s="156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0"/>
      <c r="H49" s="157">
        <v>44</v>
      </c>
      <c r="I49" s="158" t="str">
        <f t="shared" si="4"/>
        <v/>
      </c>
      <c r="J49" s="157">
        <f t="shared" si="5"/>
        <v>-6</v>
      </c>
      <c r="K49" s="157">
        <f t="shared" si="1"/>
        <v>-60</v>
      </c>
      <c r="L49" s="157"/>
      <c r="M49" s="159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0"/>
      <c r="H50" s="154">
        <v>45</v>
      </c>
      <c r="I50" s="155" t="str">
        <f t="shared" si="4"/>
        <v/>
      </c>
      <c r="J50" s="154">
        <f t="shared" si="5"/>
        <v>-6</v>
      </c>
      <c r="K50" s="154">
        <f t="shared" si="1"/>
        <v>-60</v>
      </c>
      <c r="L50" s="154"/>
      <c r="M50" s="156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0"/>
      <c r="H51" s="157">
        <v>46</v>
      </c>
      <c r="I51" s="158" t="str">
        <f t="shared" si="4"/>
        <v/>
      </c>
      <c r="J51" s="157">
        <f t="shared" si="5"/>
        <v>-6</v>
      </c>
      <c r="K51" s="157">
        <f t="shared" si="1"/>
        <v>-60</v>
      </c>
      <c r="L51" s="157"/>
      <c r="M51" s="159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0"/>
      <c r="H52" s="154">
        <v>47</v>
      </c>
      <c r="I52" s="155" t="str">
        <f t="shared" si="4"/>
        <v/>
      </c>
      <c r="J52" s="154">
        <f t="shared" si="5"/>
        <v>-6</v>
      </c>
      <c r="K52" s="154">
        <f t="shared" si="1"/>
        <v>-60</v>
      </c>
      <c r="L52" s="154"/>
      <c r="M52" s="156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0"/>
      <c r="H53" s="157">
        <v>48</v>
      </c>
      <c r="I53" s="158" t="str">
        <f t="shared" si="4"/>
        <v/>
      </c>
      <c r="J53" s="157">
        <f t="shared" si="5"/>
        <v>-6</v>
      </c>
      <c r="K53" s="157">
        <f t="shared" si="1"/>
        <v>-60</v>
      </c>
      <c r="L53" s="157"/>
      <c r="M53" s="159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0"/>
      <c r="H54" s="154">
        <v>49</v>
      </c>
      <c r="I54" s="155" t="str">
        <f t="shared" si="4"/>
        <v/>
      </c>
      <c r="J54" s="154">
        <f t="shared" si="5"/>
        <v>-6</v>
      </c>
      <c r="K54" s="154">
        <f t="shared" si="1"/>
        <v>-60</v>
      </c>
      <c r="L54" s="154"/>
      <c r="M54" s="156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0"/>
      <c r="H55" s="157">
        <v>50</v>
      </c>
      <c r="I55" s="158" t="str">
        <f t="shared" si="4"/>
        <v/>
      </c>
      <c r="J55" s="157">
        <f t="shared" si="5"/>
        <v>-6</v>
      </c>
      <c r="K55" s="157">
        <f t="shared" si="1"/>
        <v>-60</v>
      </c>
      <c r="L55" s="157"/>
      <c r="M55" s="159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0"/>
      <c r="H56" s="154">
        <v>51</v>
      </c>
      <c r="I56" s="155" t="str">
        <f t="shared" si="4"/>
        <v/>
      </c>
      <c r="J56" s="154">
        <f t="shared" si="5"/>
        <v>-6</v>
      </c>
      <c r="K56" s="154">
        <f t="shared" si="1"/>
        <v>-60</v>
      </c>
      <c r="L56" s="154"/>
      <c r="M56" s="156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0"/>
      <c r="H57" s="157">
        <v>52</v>
      </c>
      <c r="I57" s="158" t="str">
        <f t="shared" si="4"/>
        <v/>
      </c>
      <c r="J57" s="157">
        <f t="shared" si="5"/>
        <v>-6</v>
      </c>
      <c r="K57" s="157">
        <f t="shared" si="1"/>
        <v>-60</v>
      </c>
      <c r="L57" s="157"/>
      <c r="M57" s="159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0"/>
      <c r="H58" s="154">
        <v>53</v>
      </c>
      <c r="I58" s="155" t="str">
        <f t="shared" si="4"/>
        <v/>
      </c>
      <c r="J58" s="154">
        <f t="shared" si="5"/>
        <v>-6</v>
      </c>
      <c r="K58" s="154">
        <f t="shared" si="1"/>
        <v>-60</v>
      </c>
      <c r="L58" s="154"/>
      <c r="M58" s="156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0"/>
      <c r="H59" s="157">
        <v>54</v>
      </c>
      <c r="I59" s="158" t="str">
        <f t="shared" si="4"/>
        <v/>
      </c>
      <c r="J59" s="157">
        <f t="shared" si="5"/>
        <v>-6</v>
      </c>
      <c r="K59" s="157">
        <f t="shared" si="1"/>
        <v>-60</v>
      </c>
      <c r="L59" s="157"/>
      <c r="M59" s="159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0"/>
      <c r="H60" s="154">
        <v>55</v>
      </c>
      <c r="I60" s="155" t="str">
        <f t="shared" si="4"/>
        <v/>
      </c>
      <c r="J60" s="154">
        <f t="shared" si="5"/>
        <v>-6</v>
      </c>
      <c r="K60" s="154">
        <f t="shared" si="1"/>
        <v>-60</v>
      </c>
      <c r="L60" s="154"/>
      <c r="M60" s="156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0"/>
      <c r="H61" s="157">
        <v>56</v>
      </c>
      <c r="I61" s="158" t="str">
        <f t="shared" si="4"/>
        <v/>
      </c>
      <c r="J61" s="157">
        <f t="shared" si="5"/>
        <v>-6</v>
      </c>
      <c r="K61" s="157">
        <f t="shared" si="1"/>
        <v>-60</v>
      </c>
      <c r="L61" s="157"/>
      <c r="M61" s="159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0"/>
      <c r="H62" s="154">
        <v>57</v>
      </c>
      <c r="I62" s="155" t="str">
        <f t="shared" si="4"/>
        <v/>
      </c>
      <c r="J62" s="154">
        <f t="shared" si="5"/>
        <v>-6</v>
      </c>
      <c r="K62" s="154">
        <f t="shared" si="1"/>
        <v>-60</v>
      </c>
      <c r="L62" s="154"/>
      <c r="M62" s="156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0"/>
      <c r="H63" s="157">
        <v>58</v>
      </c>
      <c r="I63" s="158" t="str">
        <f t="shared" si="4"/>
        <v/>
      </c>
      <c r="J63" s="157">
        <f t="shared" si="5"/>
        <v>-6</v>
      </c>
      <c r="K63" s="157">
        <f t="shared" si="1"/>
        <v>-60</v>
      </c>
      <c r="L63" s="157"/>
      <c r="M63" s="159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0"/>
      <c r="H64" s="154">
        <v>59</v>
      </c>
      <c r="I64" s="155" t="str">
        <f t="shared" si="4"/>
        <v/>
      </c>
      <c r="J64" s="154">
        <f t="shared" si="5"/>
        <v>-6</v>
      </c>
      <c r="K64" s="154">
        <f t="shared" si="1"/>
        <v>-60</v>
      </c>
      <c r="L64" s="154"/>
      <c r="M64" s="156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0"/>
      <c r="H65" s="157">
        <v>60</v>
      </c>
      <c r="I65" s="158" t="str">
        <f t="shared" si="4"/>
        <v/>
      </c>
      <c r="J65" s="157">
        <f t="shared" si="5"/>
        <v>-6</v>
      </c>
      <c r="K65" s="157">
        <f t="shared" si="1"/>
        <v>-60</v>
      </c>
      <c r="L65" s="157"/>
      <c r="M65" s="159">
        <f t="shared" si="2"/>
        <v>0</v>
      </c>
    </row>
    <row r="66" spans="1:13" x14ac:dyDescent="0.25">
      <c r="A66" s="170"/>
      <c r="B66" s="36"/>
      <c r="G66" s="140"/>
      <c r="H66" s="154">
        <v>61</v>
      </c>
      <c r="I66" s="155" t="str">
        <f t="shared" si="4"/>
        <v/>
      </c>
      <c r="J66" s="154">
        <f t="shared" si="5"/>
        <v>-6</v>
      </c>
      <c r="K66" s="154">
        <f t="shared" si="1"/>
        <v>-60</v>
      </c>
      <c r="L66" s="154"/>
      <c r="M66" s="156">
        <f t="shared" si="2"/>
        <v>0</v>
      </c>
    </row>
    <row r="67" spans="1:13" x14ac:dyDescent="0.25">
      <c r="A67" s="170"/>
      <c r="B67" s="42"/>
      <c r="G67" s="140"/>
      <c r="H67" s="154">
        <v>62</v>
      </c>
      <c r="I67" s="155" t="str">
        <f t="shared" si="4"/>
        <v/>
      </c>
      <c r="J67" s="154">
        <f t="shared" si="5"/>
        <v>-6</v>
      </c>
      <c r="K67" s="154">
        <f t="shared" si="1"/>
        <v>-60</v>
      </c>
      <c r="L67" s="154"/>
      <c r="M67" s="156">
        <f t="shared" si="2"/>
        <v>0</v>
      </c>
    </row>
    <row r="68" spans="1:13" x14ac:dyDescent="0.25">
      <c r="A68" s="170"/>
      <c r="B68" s="36"/>
      <c r="G68" s="140"/>
      <c r="H68" s="154">
        <v>63</v>
      </c>
      <c r="I68" s="155" t="str">
        <f t="shared" si="4"/>
        <v/>
      </c>
      <c r="J68" s="154">
        <f t="shared" si="5"/>
        <v>-6</v>
      </c>
      <c r="K68" s="154">
        <f t="shared" si="1"/>
        <v>-60</v>
      </c>
      <c r="L68" s="154"/>
      <c r="M68" s="156">
        <f t="shared" si="2"/>
        <v>0</v>
      </c>
    </row>
    <row r="69" spans="1:13" x14ac:dyDescent="0.25">
      <c r="A69" s="170"/>
      <c r="B69" s="42"/>
      <c r="G69" s="140"/>
      <c r="H69" s="154">
        <v>64</v>
      </c>
      <c r="I69" s="155" t="str">
        <f t="shared" si="4"/>
        <v/>
      </c>
      <c r="J69" s="154">
        <f t="shared" si="5"/>
        <v>-6</v>
      </c>
      <c r="K69" s="154">
        <f t="shared" si="1"/>
        <v>-60</v>
      </c>
      <c r="L69" s="154"/>
      <c r="M69" s="156">
        <f t="shared" si="2"/>
        <v>0</v>
      </c>
    </row>
    <row r="70" spans="1:13" x14ac:dyDescent="0.25">
      <c r="A70" s="170"/>
      <c r="G70" s="140"/>
      <c r="H70" s="154">
        <v>65</v>
      </c>
      <c r="I70" s="155" t="str">
        <f t="shared" si="4"/>
        <v/>
      </c>
      <c r="J70" s="154">
        <f t="shared" si="5"/>
        <v>-7</v>
      </c>
      <c r="K70" s="154">
        <f t="shared" ref="K70:K133" si="7">J70*$J$2</f>
        <v>-70</v>
      </c>
      <c r="L70" s="154"/>
      <c r="M70" s="156">
        <f t="shared" ref="M70:M133" si="8">IF(I70&lt;&gt;"",K70+I70+L70,0)</f>
        <v>0</v>
      </c>
    </row>
    <row r="71" spans="1:13" x14ac:dyDescent="0.25">
      <c r="A71" s="170"/>
      <c r="G71" s="140"/>
      <c r="H71" s="154">
        <v>66</v>
      </c>
      <c r="I71" s="155" t="str">
        <f t="shared" ref="I71:I134" si="9">IF(H71&lt;$H$2+1,($I$2-($I$2-1)*(LOG(H71)/LOG($H$2))),"")</f>
        <v/>
      </c>
      <c r="J71" s="154">
        <f t="shared" ref="J71:J134" si="10">INT(LOG($H$2,2))-ROUNDUP(LOG(H71,2),0)+IF(OR($H$2=1,$H$2=2,$H$2=4,$H$2=8,$H$2=16,$H$2=32,$H$2=64,$H$2=128,$H$2=256),0,1)</f>
        <v>-7</v>
      </c>
      <c r="K71" s="154">
        <f t="shared" si="7"/>
        <v>-70</v>
      </c>
      <c r="L71" s="154"/>
      <c r="M71" s="156">
        <f t="shared" si="8"/>
        <v>0</v>
      </c>
    </row>
    <row r="72" spans="1:13" x14ac:dyDescent="0.25">
      <c r="A72" s="170"/>
      <c r="G72" s="140"/>
      <c r="H72" s="154">
        <v>67</v>
      </c>
      <c r="I72" s="155" t="str">
        <f t="shared" si="9"/>
        <v/>
      </c>
      <c r="J72" s="154">
        <f t="shared" si="10"/>
        <v>-7</v>
      </c>
      <c r="K72" s="154">
        <f t="shared" si="7"/>
        <v>-70</v>
      </c>
      <c r="L72" s="154"/>
      <c r="M72" s="156">
        <f t="shared" si="8"/>
        <v>0</v>
      </c>
    </row>
    <row r="73" spans="1:13" x14ac:dyDescent="0.25">
      <c r="A73" s="170"/>
      <c r="G73" s="140"/>
      <c r="H73" s="154">
        <v>68</v>
      </c>
      <c r="I73" s="155" t="str">
        <f t="shared" si="9"/>
        <v/>
      </c>
      <c r="J73" s="154">
        <f t="shared" si="10"/>
        <v>-7</v>
      </c>
      <c r="K73" s="154">
        <f t="shared" si="7"/>
        <v>-70</v>
      </c>
      <c r="L73" s="154"/>
      <c r="M73" s="156">
        <f t="shared" si="8"/>
        <v>0</v>
      </c>
    </row>
    <row r="74" spans="1:13" x14ac:dyDescent="0.25">
      <c r="A74" s="170"/>
      <c r="G74" s="140"/>
      <c r="H74" s="154">
        <v>69</v>
      </c>
      <c r="I74" s="155" t="str">
        <f t="shared" si="9"/>
        <v/>
      </c>
      <c r="J74" s="154">
        <f t="shared" si="10"/>
        <v>-7</v>
      </c>
      <c r="K74" s="154">
        <f t="shared" si="7"/>
        <v>-70</v>
      </c>
      <c r="L74" s="154"/>
      <c r="M74" s="156">
        <f t="shared" si="8"/>
        <v>0</v>
      </c>
    </row>
    <row r="75" spans="1:13" x14ac:dyDescent="0.25">
      <c r="A75" s="170"/>
      <c r="G75" s="140"/>
      <c r="H75" s="154">
        <v>70</v>
      </c>
      <c r="I75" s="155" t="str">
        <f t="shared" si="9"/>
        <v/>
      </c>
      <c r="J75" s="154">
        <f t="shared" si="10"/>
        <v>-7</v>
      </c>
      <c r="K75" s="154">
        <f t="shared" si="7"/>
        <v>-70</v>
      </c>
      <c r="L75" s="154"/>
      <c r="M75" s="156">
        <f t="shared" si="8"/>
        <v>0</v>
      </c>
    </row>
    <row r="76" spans="1:13" x14ac:dyDescent="0.25">
      <c r="A76" s="170"/>
      <c r="G76" s="140"/>
      <c r="H76" s="154">
        <v>71</v>
      </c>
      <c r="I76" s="155" t="str">
        <f t="shared" si="9"/>
        <v/>
      </c>
      <c r="J76" s="154">
        <f t="shared" si="10"/>
        <v>-7</v>
      </c>
      <c r="K76" s="154">
        <f t="shared" si="7"/>
        <v>-70</v>
      </c>
      <c r="L76" s="154"/>
      <c r="M76" s="156">
        <f t="shared" si="8"/>
        <v>0</v>
      </c>
    </row>
    <row r="77" spans="1:13" x14ac:dyDescent="0.25">
      <c r="A77" s="170"/>
      <c r="G77" s="140"/>
      <c r="H77" s="154">
        <v>72</v>
      </c>
      <c r="I77" s="155" t="str">
        <f t="shared" si="9"/>
        <v/>
      </c>
      <c r="J77" s="154">
        <f t="shared" si="10"/>
        <v>-7</v>
      </c>
      <c r="K77" s="154">
        <f t="shared" si="7"/>
        <v>-70</v>
      </c>
      <c r="L77" s="154"/>
      <c r="M77" s="156">
        <f t="shared" si="8"/>
        <v>0</v>
      </c>
    </row>
    <row r="78" spans="1:13" x14ac:dyDescent="0.25">
      <c r="A78" s="170"/>
      <c r="G78" s="140"/>
      <c r="H78" s="154">
        <v>73</v>
      </c>
      <c r="I78" s="155" t="str">
        <f t="shared" si="9"/>
        <v/>
      </c>
      <c r="J78" s="154">
        <f t="shared" si="10"/>
        <v>-7</v>
      </c>
      <c r="K78" s="154">
        <f t="shared" si="7"/>
        <v>-70</v>
      </c>
      <c r="L78" s="154"/>
      <c r="M78" s="156">
        <f t="shared" si="8"/>
        <v>0</v>
      </c>
    </row>
    <row r="79" spans="1:13" x14ac:dyDescent="0.25">
      <c r="A79" s="170"/>
      <c r="G79" s="140"/>
      <c r="H79" s="154">
        <v>74</v>
      </c>
      <c r="I79" s="155" t="str">
        <f t="shared" si="9"/>
        <v/>
      </c>
      <c r="J79" s="154">
        <f t="shared" si="10"/>
        <v>-7</v>
      </c>
      <c r="K79" s="154">
        <f t="shared" si="7"/>
        <v>-70</v>
      </c>
      <c r="L79" s="154"/>
      <c r="M79" s="156">
        <f t="shared" si="8"/>
        <v>0</v>
      </c>
    </row>
    <row r="80" spans="1:13" x14ac:dyDescent="0.25">
      <c r="A80" s="170"/>
      <c r="G80" s="140"/>
      <c r="H80" s="154">
        <v>75</v>
      </c>
      <c r="I80" s="155" t="str">
        <f t="shared" si="9"/>
        <v/>
      </c>
      <c r="J80" s="154">
        <f t="shared" si="10"/>
        <v>-7</v>
      </c>
      <c r="K80" s="154">
        <f t="shared" si="7"/>
        <v>-70</v>
      </c>
      <c r="L80" s="154"/>
      <c r="M80" s="156">
        <f t="shared" si="8"/>
        <v>0</v>
      </c>
    </row>
    <row r="81" spans="1:13" x14ac:dyDescent="0.25">
      <c r="A81" s="170"/>
      <c r="G81" s="140"/>
      <c r="H81" s="154">
        <v>76</v>
      </c>
      <c r="I81" s="155" t="str">
        <f t="shared" si="9"/>
        <v/>
      </c>
      <c r="J81" s="154">
        <f t="shared" si="10"/>
        <v>-7</v>
      </c>
      <c r="K81" s="154">
        <f t="shared" si="7"/>
        <v>-70</v>
      </c>
      <c r="L81" s="154"/>
      <c r="M81" s="156">
        <f t="shared" si="8"/>
        <v>0</v>
      </c>
    </row>
    <row r="82" spans="1:13" x14ac:dyDescent="0.25">
      <c r="A82" s="170"/>
      <c r="G82" s="140"/>
      <c r="H82" s="154">
        <v>77</v>
      </c>
      <c r="I82" s="155" t="str">
        <f t="shared" si="9"/>
        <v/>
      </c>
      <c r="J82" s="154">
        <f t="shared" si="10"/>
        <v>-7</v>
      </c>
      <c r="K82" s="154">
        <f t="shared" si="7"/>
        <v>-70</v>
      </c>
      <c r="L82" s="154"/>
      <c r="M82" s="156">
        <f t="shared" si="8"/>
        <v>0</v>
      </c>
    </row>
    <row r="83" spans="1:13" x14ac:dyDescent="0.25">
      <c r="A83" s="170"/>
      <c r="G83" s="140"/>
      <c r="H83" s="154">
        <v>78</v>
      </c>
      <c r="I83" s="155" t="str">
        <f t="shared" si="9"/>
        <v/>
      </c>
      <c r="J83" s="154">
        <f t="shared" si="10"/>
        <v>-7</v>
      </c>
      <c r="K83" s="154">
        <f t="shared" si="7"/>
        <v>-70</v>
      </c>
      <c r="L83" s="154"/>
      <c r="M83" s="156">
        <f t="shared" si="8"/>
        <v>0</v>
      </c>
    </row>
    <row r="84" spans="1:13" x14ac:dyDescent="0.25">
      <c r="A84" s="170"/>
      <c r="G84" s="140"/>
      <c r="H84" s="154">
        <v>79</v>
      </c>
      <c r="I84" s="155" t="str">
        <f t="shared" si="9"/>
        <v/>
      </c>
      <c r="J84" s="154">
        <f t="shared" si="10"/>
        <v>-7</v>
      </c>
      <c r="K84" s="154">
        <f t="shared" si="7"/>
        <v>-70</v>
      </c>
      <c r="L84" s="154"/>
      <c r="M84" s="156">
        <f t="shared" si="8"/>
        <v>0</v>
      </c>
    </row>
    <row r="85" spans="1:13" x14ac:dyDescent="0.25">
      <c r="A85" s="170"/>
      <c r="G85" s="140"/>
      <c r="H85" s="154">
        <v>80</v>
      </c>
      <c r="I85" s="155" t="str">
        <f t="shared" si="9"/>
        <v/>
      </c>
      <c r="J85" s="154">
        <f t="shared" si="10"/>
        <v>-7</v>
      </c>
      <c r="K85" s="154">
        <f t="shared" si="7"/>
        <v>-70</v>
      </c>
      <c r="L85" s="154"/>
      <c r="M85" s="156">
        <f t="shared" si="8"/>
        <v>0</v>
      </c>
    </row>
    <row r="86" spans="1:13" x14ac:dyDescent="0.25">
      <c r="A86" s="170"/>
      <c r="G86" s="140"/>
      <c r="H86" s="154">
        <v>81</v>
      </c>
      <c r="I86" s="155" t="str">
        <f t="shared" si="9"/>
        <v/>
      </c>
      <c r="J86" s="154">
        <f t="shared" si="10"/>
        <v>-7</v>
      </c>
      <c r="K86" s="154">
        <f t="shared" si="7"/>
        <v>-70</v>
      </c>
      <c r="L86" s="154"/>
      <c r="M86" s="156">
        <f t="shared" si="8"/>
        <v>0</v>
      </c>
    </row>
    <row r="87" spans="1:13" x14ac:dyDescent="0.25">
      <c r="A87" s="170"/>
      <c r="G87" s="140"/>
      <c r="H87" s="154">
        <v>82</v>
      </c>
      <c r="I87" s="155" t="str">
        <f t="shared" si="9"/>
        <v/>
      </c>
      <c r="J87" s="154">
        <f t="shared" si="10"/>
        <v>-7</v>
      </c>
      <c r="K87" s="154">
        <f t="shared" si="7"/>
        <v>-70</v>
      </c>
      <c r="L87" s="154"/>
      <c r="M87" s="156">
        <f t="shared" si="8"/>
        <v>0</v>
      </c>
    </row>
    <row r="88" spans="1:13" x14ac:dyDescent="0.25">
      <c r="A88" s="170"/>
      <c r="G88" s="140"/>
      <c r="H88" s="154">
        <v>83</v>
      </c>
      <c r="I88" s="155" t="str">
        <f t="shared" si="9"/>
        <v/>
      </c>
      <c r="J88" s="154">
        <f t="shared" si="10"/>
        <v>-7</v>
      </c>
      <c r="K88" s="154">
        <f t="shared" si="7"/>
        <v>-70</v>
      </c>
      <c r="L88" s="154"/>
      <c r="M88" s="156">
        <f t="shared" si="8"/>
        <v>0</v>
      </c>
    </row>
    <row r="89" spans="1:13" x14ac:dyDescent="0.25">
      <c r="A89" s="170"/>
      <c r="G89" s="140"/>
      <c r="H89" s="154">
        <v>84</v>
      </c>
      <c r="I89" s="155" t="str">
        <f t="shared" si="9"/>
        <v/>
      </c>
      <c r="J89" s="154">
        <f t="shared" si="10"/>
        <v>-7</v>
      </c>
      <c r="K89" s="154">
        <f t="shared" si="7"/>
        <v>-70</v>
      </c>
      <c r="L89" s="154"/>
      <c r="M89" s="156">
        <f t="shared" si="8"/>
        <v>0</v>
      </c>
    </row>
    <row r="90" spans="1:13" x14ac:dyDescent="0.25">
      <c r="A90" s="170"/>
      <c r="G90" s="140"/>
      <c r="H90" s="154">
        <v>85</v>
      </c>
      <c r="I90" s="155" t="str">
        <f t="shared" si="9"/>
        <v/>
      </c>
      <c r="J90" s="154">
        <f t="shared" si="10"/>
        <v>-7</v>
      </c>
      <c r="K90" s="154">
        <f t="shared" si="7"/>
        <v>-70</v>
      </c>
      <c r="L90" s="154"/>
      <c r="M90" s="156">
        <f t="shared" si="8"/>
        <v>0</v>
      </c>
    </row>
    <row r="91" spans="1:13" x14ac:dyDescent="0.25">
      <c r="A91" s="170"/>
      <c r="G91" s="140"/>
      <c r="H91" s="154">
        <v>86</v>
      </c>
      <c r="I91" s="155" t="str">
        <f t="shared" si="9"/>
        <v/>
      </c>
      <c r="J91" s="154">
        <f t="shared" si="10"/>
        <v>-7</v>
      </c>
      <c r="K91" s="154">
        <f t="shared" si="7"/>
        <v>-70</v>
      </c>
      <c r="L91" s="154"/>
      <c r="M91" s="156">
        <f t="shared" si="8"/>
        <v>0</v>
      </c>
    </row>
    <row r="92" spans="1:13" x14ac:dyDescent="0.25">
      <c r="A92" s="170"/>
      <c r="G92" s="140"/>
      <c r="H92" s="154">
        <v>87</v>
      </c>
      <c r="I92" s="155" t="str">
        <f t="shared" si="9"/>
        <v/>
      </c>
      <c r="J92" s="154">
        <f t="shared" si="10"/>
        <v>-7</v>
      </c>
      <c r="K92" s="154">
        <f t="shared" si="7"/>
        <v>-70</v>
      </c>
      <c r="L92" s="154"/>
      <c r="M92" s="156">
        <f t="shared" si="8"/>
        <v>0</v>
      </c>
    </row>
    <row r="93" spans="1:13" x14ac:dyDescent="0.25">
      <c r="A93" s="170"/>
      <c r="G93" s="140"/>
      <c r="H93" s="154">
        <v>88</v>
      </c>
      <c r="I93" s="155" t="str">
        <f t="shared" si="9"/>
        <v/>
      </c>
      <c r="J93" s="154">
        <f t="shared" si="10"/>
        <v>-7</v>
      </c>
      <c r="K93" s="154">
        <f t="shared" si="7"/>
        <v>-70</v>
      </c>
      <c r="L93" s="154"/>
      <c r="M93" s="156">
        <f t="shared" si="8"/>
        <v>0</v>
      </c>
    </row>
    <row r="94" spans="1:13" x14ac:dyDescent="0.25">
      <c r="A94" s="170"/>
      <c r="G94" s="140"/>
      <c r="H94" s="154">
        <v>89</v>
      </c>
      <c r="I94" s="155" t="str">
        <f t="shared" si="9"/>
        <v/>
      </c>
      <c r="J94" s="154">
        <f t="shared" si="10"/>
        <v>-7</v>
      </c>
      <c r="K94" s="154">
        <f t="shared" si="7"/>
        <v>-70</v>
      </c>
      <c r="L94" s="154"/>
      <c r="M94" s="156">
        <f t="shared" si="8"/>
        <v>0</v>
      </c>
    </row>
    <row r="95" spans="1:13" x14ac:dyDescent="0.25">
      <c r="A95" s="170"/>
      <c r="G95" s="140"/>
      <c r="H95" s="154">
        <v>90</v>
      </c>
      <c r="I95" s="155" t="str">
        <f t="shared" si="9"/>
        <v/>
      </c>
      <c r="J95" s="154">
        <f t="shared" si="10"/>
        <v>-7</v>
      </c>
      <c r="K95" s="154">
        <f t="shared" si="7"/>
        <v>-70</v>
      </c>
      <c r="L95" s="154"/>
      <c r="M95" s="156">
        <f t="shared" si="8"/>
        <v>0</v>
      </c>
    </row>
    <row r="96" spans="1:13" x14ac:dyDescent="0.25">
      <c r="A96" s="170"/>
      <c r="G96" s="140"/>
      <c r="H96" s="154">
        <v>91</v>
      </c>
      <c r="I96" s="155" t="str">
        <f t="shared" si="9"/>
        <v/>
      </c>
      <c r="J96" s="154">
        <f t="shared" si="10"/>
        <v>-7</v>
      </c>
      <c r="K96" s="154">
        <f t="shared" si="7"/>
        <v>-70</v>
      </c>
      <c r="L96" s="154"/>
      <c r="M96" s="156">
        <f t="shared" si="8"/>
        <v>0</v>
      </c>
    </row>
    <row r="97" spans="1:13" x14ac:dyDescent="0.25">
      <c r="A97" s="170"/>
      <c r="G97" s="140"/>
      <c r="H97" s="154">
        <v>92</v>
      </c>
      <c r="I97" s="155" t="str">
        <f t="shared" si="9"/>
        <v/>
      </c>
      <c r="J97" s="154">
        <f t="shared" si="10"/>
        <v>-7</v>
      </c>
      <c r="K97" s="154">
        <f t="shared" si="7"/>
        <v>-70</v>
      </c>
      <c r="L97" s="154"/>
      <c r="M97" s="156">
        <f t="shared" si="8"/>
        <v>0</v>
      </c>
    </row>
    <row r="98" spans="1:13" x14ac:dyDescent="0.25">
      <c r="A98" s="170"/>
      <c r="G98" s="140"/>
      <c r="H98" s="154">
        <v>93</v>
      </c>
      <c r="I98" s="155" t="str">
        <f t="shared" si="9"/>
        <v/>
      </c>
      <c r="J98" s="154">
        <f t="shared" si="10"/>
        <v>-7</v>
      </c>
      <c r="K98" s="154">
        <f t="shared" si="7"/>
        <v>-70</v>
      </c>
      <c r="L98" s="154"/>
      <c r="M98" s="156">
        <f t="shared" si="8"/>
        <v>0</v>
      </c>
    </row>
    <row r="99" spans="1:13" x14ac:dyDescent="0.25">
      <c r="A99" s="170"/>
      <c r="G99" s="140"/>
      <c r="H99" s="154">
        <v>94</v>
      </c>
      <c r="I99" s="155" t="str">
        <f t="shared" si="9"/>
        <v/>
      </c>
      <c r="J99" s="154">
        <f t="shared" si="10"/>
        <v>-7</v>
      </c>
      <c r="K99" s="154">
        <f t="shared" si="7"/>
        <v>-70</v>
      </c>
      <c r="L99" s="154"/>
      <c r="M99" s="156">
        <f t="shared" si="8"/>
        <v>0</v>
      </c>
    </row>
    <row r="100" spans="1:13" x14ac:dyDescent="0.25">
      <c r="A100" s="170"/>
      <c r="G100" s="140"/>
      <c r="H100" s="154">
        <v>95</v>
      </c>
      <c r="I100" s="155" t="str">
        <f t="shared" si="9"/>
        <v/>
      </c>
      <c r="J100" s="154">
        <f t="shared" si="10"/>
        <v>-7</v>
      </c>
      <c r="K100" s="154">
        <f t="shared" si="7"/>
        <v>-70</v>
      </c>
      <c r="L100" s="154"/>
      <c r="M100" s="156">
        <f t="shared" si="8"/>
        <v>0</v>
      </c>
    </row>
    <row r="101" spans="1:13" x14ac:dyDescent="0.25">
      <c r="A101" s="170"/>
      <c r="G101" s="140"/>
      <c r="H101" s="154">
        <v>96</v>
      </c>
      <c r="I101" s="155" t="str">
        <f t="shared" si="9"/>
        <v/>
      </c>
      <c r="J101" s="154">
        <f t="shared" si="10"/>
        <v>-7</v>
      </c>
      <c r="K101" s="154">
        <f t="shared" si="7"/>
        <v>-70</v>
      </c>
      <c r="L101" s="154"/>
      <c r="M101" s="156">
        <f t="shared" si="8"/>
        <v>0</v>
      </c>
    </row>
    <row r="102" spans="1:13" x14ac:dyDescent="0.25">
      <c r="A102" s="170"/>
      <c r="G102" s="140"/>
      <c r="H102" s="154">
        <v>97</v>
      </c>
      <c r="I102" s="155" t="str">
        <f t="shared" si="9"/>
        <v/>
      </c>
      <c r="J102" s="154">
        <f t="shared" si="10"/>
        <v>-7</v>
      </c>
      <c r="K102" s="154">
        <f t="shared" si="7"/>
        <v>-70</v>
      </c>
      <c r="L102" s="154"/>
      <c r="M102" s="156">
        <f t="shared" si="8"/>
        <v>0</v>
      </c>
    </row>
    <row r="103" spans="1:13" x14ac:dyDescent="0.25">
      <c r="A103" s="170"/>
      <c r="G103" s="140"/>
      <c r="H103" s="154">
        <v>98</v>
      </c>
      <c r="I103" s="155" t="str">
        <f t="shared" si="9"/>
        <v/>
      </c>
      <c r="J103" s="154">
        <f t="shared" si="10"/>
        <v>-7</v>
      </c>
      <c r="K103" s="154">
        <f t="shared" si="7"/>
        <v>-70</v>
      </c>
      <c r="L103" s="154"/>
      <c r="M103" s="156">
        <f t="shared" si="8"/>
        <v>0</v>
      </c>
    </row>
    <row r="104" spans="1:13" x14ac:dyDescent="0.25">
      <c r="A104" s="170"/>
      <c r="G104" s="140"/>
      <c r="H104" s="154">
        <v>99</v>
      </c>
      <c r="I104" s="155" t="str">
        <f t="shared" si="9"/>
        <v/>
      </c>
      <c r="J104" s="154">
        <f t="shared" si="10"/>
        <v>-7</v>
      </c>
      <c r="K104" s="154">
        <f t="shared" si="7"/>
        <v>-70</v>
      </c>
      <c r="L104" s="154"/>
      <c r="M104" s="156">
        <f t="shared" si="8"/>
        <v>0</v>
      </c>
    </row>
    <row r="105" spans="1:13" x14ac:dyDescent="0.25">
      <c r="A105" s="170"/>
      <c r="G105" s="140"/>
      <c r="H105" s="154">
        <v>100</v>
      </c>
      <c r="I105" s="155" t="str">
        <f t="shared" si="9"/>
        <v/>
      </c>
      <c r="J105" s="154">
        <f t="shared" si="10"/>
        <v>-7</v>
      </c>
      <c r="K105" s="154">
        <f t="shared" si="7"/>
        <v>-70</v>
      </c>
      <c r="L105" s="154"/>
      <c r="M105" s="156">
        <f t="shared" si="8"/>
        <v>0</v>
      </c>
    </row>
    <row r="106" spans="1:13" x14ac:dyDescent="0.25">
      <c r="A106" s="170"/>
      <c r="G106" s="140"/>
      <c r="H106" s="154">
        <v>101</v>
      </c>
      <c r="I106" s="155" t="str">
        <f t="shared" si="9"/>
        <v/>
      </c>
      <c r="J106" s="154">
        <f t="shared" si="10"/>
        <v>-7</v>
      </c>
      <c r="K106" s="154">
        <f t="shared" si="7"/>
        <v>-70</v>
      </c>
      <c r="L106" s="154"/>
      <c r="M106" s="156">
        <f t="shared" si="8"/>
        <v>0</v>
      </c>
    </row>
    <row r="107" spans="1:13" x14ac:dyDescent="0.25">
      <c r="A107" s="170"/>
      <c r="G107" s="140"/>
      <c r="H107" s="154">
        <v>102</v>
      </c>
      <c r="I107" s="155" t="str">
        <f t="shared" si="9"/>
        <v/>
      </c>
      <c r="J107" s="154">
        <f t="shared" si="10"/>
        <v>-7</v>
      </c>
      <c r="K107" s="154">
        <f t="shared" si="7"/>
        <v>-70</v>
      </c>
      <c r="L107" s="154"/>
      <c r="M107" s="156">
        <f t="shared" si="8"/>
        <v>0</v>
      </c>
    </row>
    <row r="108" spans="1:13" x14ac:dyDescent="0.25">
      <c r="A108" s="170"/>
      <c r="G108" s="140"/>
      <c r="H108" s="154">
        <v>103</v>
      </c>
      <c r="I108" s="155" t="str">
        <f t="shared" si="9"/>
        <v/>
      </c>
      <c r="J108" s="154">
        <f t="shared" si="10"/>
        <v>-7</v>
      </c>
      <c r="K108" s="154">
        <f t="shared" si="7"/>
        <v>-70</v>
      </c>
      <c r="L108" s="154"/>
      <c r="M108" s="156">
        <f t="shared" si="8"/>
        <v>0</v>
      </c>
    </row>
    <row r="109" spans="1:13" x14ac:dyDescent="0.25">
      <c r="A109" s="170"/>
      <c r="G109" s="140"/>
      <c r="H109" s="154">
        <v>104</v>
      </c>
      <c r="I109" s="155" t="str">
        <f t="shared" si="9"/>
        <v/>
      </c>
      <c r="J109" s="154">
        <f t="shared" si="10"/>
        <v>-7</v>
      </c>
      <c r="K109" s="154">
        <f t="shared" si="7"/>
        <v>-70</v>
      </c>
      <c r="L109" s="154"/>
      <c r="M109" s="156">
        <f t="shared" si="8"/>
        <v>0</v>
      </c>
    </row>
    <row r="110" spans="1:13" x14ac:dyDescent="0.25">
      <c r="A110" s="170"/>
      <c r="G110" s="140"/>
      <c r="H110" s="154">
        <v>105</v>
      </c>
      <c r="I110" s="155" t="str">
        <f t="shared" si="9"/>
        <v/>
      </c>
      <c r="J110" s="154">
        <f t="shared" si="10"/>
        <v>-7</v>
      </c>
      <c r="K110" s="154">
        <f t="shared" si="7"/>
        <v>-70</v>
      </c>
      <c r="L110" s="154"/>
      <c r="M110" s="156">
        <f t="shared" si="8"/>
        <v>0</v>
      </c>
    </row>
    <row r="111" spans="1:13" x14ac:dyDescent="0.25">
      <c r="A111" s="170"/>
      <c r="G111" s="140"/>
      <c r="H111" s="154">
        <v>106</v>
      </c>
      <c r="I111" s="155" t="str">
        <f t="shared" si="9"/>
        <v/>
      </c>
      <c r="J111" s="154">
        <f t="shared" si="10"/>
        <v>-7</v>
      </c>
      <c r="K111" s="154">
        <f t="shared" si="7"/>
        <v>-70</v>
      </c>
      <c r="L111" s="154"/>
      <c r="M111" s="156">
        <f t="shared" si="8"/>
        <v>0</v>
      </c>
    </row>
    <row r="112" spans="1:13" x14ac:dyDescent="0.25">
      <c r="A112" s="170"/>
      <c r="G112" s="140"/>
      <c r="H112" s="154">
        <v>107</v>
      </c>
      <c r="I112" s="155" t="str">
        <f t="shared" si="9"/>
        <v/>
      </c>
      <c r="J112" s="154">
        <f t="shared" si="10"/>
        <v>-7</v>
      </c>
      <c r="K112" s="154">
        <f t="shared" si="7"/>
        <v>-70</v>
      </c>
      <c r="L112" s="154"/>
      <c r="M112" s="156">
        <f t="shared" si="8"/>
        <v>0</v>
      </c>
    </row>
    <row r="113" spans="1:13" x14ac:dyDescent="0.25">
      <c r="A113" s="170"/>
      <c r="G113" s="140"/>
      <c r="H113" s="154">
        <v>108</v>
      </c>
      <c r="I113" s="155" t="str">
        <f t="shared" si="9"/>
        <v/>
      </c>
      <c r="J113" s="154">
        <f t="shared" si="10"/>
        <v>-7</v>
      </c>
      <c r="K113" s="154">
        <f t="shared" si="7"/>
        <v>-70</v>
      </c>
      <c r="L113" s="154"/>
      <c r="M113" s="156">
        <f t="shared" si="8"/>
        <v>0</v>
      </c>
    </row>
    <row r="114" spans="1:13" x14ac:dyDescent="0.25">
      <c r="A114" s="170"/>
      <c r="G114" s="140"/>
      <c r="H114" s="154">
        <v>109</v>
      </c>
      <c r="I114" s="155" t="str">
        <f t="shared" si="9"/>
        <v/>
      </c>
      <c r="J114" s="154">
        <f t="shared" si="10"/>
        <v>-7</v>
      </c>
      <c r="K114" s="154">
        <f t="shared" si="7"/>
        <v>-70</v>
      </c>
      <c r="L114" s="154"/>
      <c r="M114" s="156">
        <f t="shared" si="8"/>
        <v>0</v>
      </c>
    </row>
    <row r="115" spans="1:13" x14ac:dyDescent="0.25">
      <c r="A115" s="170"/>
      <c r="G115" s="140"/>
      <c r="H115" s="154">
        <v>110</v>
      </c>
      <c r="I115" s="155" t="str">
        <f t="shared" si="9"/>
        <v/>
      </c>
      <c r="J115" s="154">
        <f t="shared" si="10"/>
        <v>-7</v>
      </c>
      <c r="K115" s="154">
        <f t="shared" si="7"/>
        <v>-70</v>
      </c>
      <c r="L115" s="154"/>
      <c r="M115" s="156">
        <f t="shared" si="8"/>
        <v>0</v>
      </c>
    </row>
    <row r="116" spans="1:13" x14ac:dyDescent="0.25">
      <c r="A116" s="170"/>
      <c r="G116" s="140"/>
      <c r="H116" s="154">
        <v>111</v>
      </c>
      <c r="I116" s="155" t="str">
        <f t="shared" si="9"/>
        <v/>
      </c>
      <c r="J116" s="154">
        <f t="shared" si="10"/>
        <v>-7</v>
      </c>
      <c r="K116" s="154">
        <f t="shared" si="7"/>
        <v>-70</v>
      </c>
      <c r="L116" s="154"/>
      <c r="M116" s="156">
        <f t="shared" si="8"/>
        <v>0</v>
      </c>
    </row>
    <row r="117" spans="1:13" x14ac:dyDescent="0.25">
      <c r="A117" s="170"/>
      <c r="G117" s="140"/>
      <c r="H117" s="154">
        <v>112</v>
      </c>
      <c r="I117" s="155" t="str">
        <f t="shared" si="9"/>
        <v/>
      </c>
      <c r="J117" s="154">
        <f t="shared" si="10"/>
        <v>-7</v>
      </c>
      <c r="K117" s="154">
        <f t="shared" si="7"/>
        <v>-70</v>
      </c>
      <c r="L117" s="154"/>
      <c r="M117" s="156">
        <f t="shared" si="8"/>
        <v>0</v>
      </c>
    </row>
    <row r="118" spans="1:13" x14ac:dyDescent="0.25">
      <c r="A118" s="170"/>
      <c r="G118" s="140"/>
      <c r="H118" s="154">
        <v>113</v>
      </c>
      <c r="I118" s="155" t="str">
        <f t="shared" si="9"/>
        <v/>
      </c>
      <c r="J118" s="154">
        <f t="shared" si="10"/>
        <v>-7</v>
      </c>
      <c r="K118" s="154">
        <f t="shared" si="7"/>
        <v>-70</v>
      </c>
      <c r="L118" s="154"/>
      <c r="M118" s="156">
        <f t="shared" si="8"/>
        <v>0</v>
      </c>
    </row>
    <row r="119" spans="1:13" x14ac:dyDescent="0.25">
      <c r="A119" s="170"/>
      <c r="G119" s="140"/>
      <c r="H119" s="154">
        <v>114</v>
      </c>
      <c r="I119" s="155" t="str">
        <f t="shared" si="9"/>
        <v/>
      </c>
      <c r="J119" s="154">
        <f t="shared" si="10"/>
        <v>-7</v>
      </c>
      <c r="K119" s="154">
        <f t="shared" si="7"/>
        <v>-70</v>
      </c>
      <c r="L119" s="154"/>
      <c r="M119" s="156">
        <f t="shared" si="8"/>
        <v>0</v>
      </c>
    </row>
    <row r="120" spans="1:13" x14ac:dyDescent="0.25">
      <c r="A120" s="170"/>
      <c r="G120" s="140"/>
      <c r="H120" s="154">
        <v>115</v>
      </c>
      <c r="I120" s="155" t="str">
        <f t="shared" si="9"/>
        <v/>
      </c>
      <c r="J120" s="154">
        <f t="shared" si="10"/>
        <v>-7</v>
      </c>
      <c r="K120" s="154">
        <f t="shared" si="7"/>
        <v>-70</v>
      </c>
      <c r="L120" s="154"/>
      <c r="M120" s="156">
        <f t="shared" si="8"/>
        <v>0</v>
      </c>
    </row>
    <row r="121" spans="1:13" x14ac:dyDescent="0.25">
      <c r="A121" s="170"/>
      <c r="G121" s="140"/>
      <c r="H121" s="154">
        <v>116</v>
      </c>
      <c r="I121" s="155" t="str">
        <f t="shared" si="9"/>
        <v/>
      </c>
      <c r="J121" s="154">
        <f t="shared" si="10"/>
        <v>-7</v>
      </c>
      <c r="K121" s="154">
        <f t="shared" si="7"/>
        <v>-70</v>
      </c>
      <c r="L121" s="154"/>
      <c r="M121" s="156">
        <f t="shared" si="8"/>
        <v>0</v>
      </c>
    </row>
    <row r="122" spans="1:13" x14ac:dyDescent="0.25">
      <c r="A122" s="170"/>
      <c r="G122" s="140"/>
      <c r="H122" s="154">
        <v>117</v>
      </c>
      <c r="I122" s="155" t="str">
        <f t="shared" si="9"/>
        <v/>
      </c>
      <c r="J122" s="154">
        <f t="shared" si="10"/>
        <v>-7</v>
      </c>
      <c r="K122" s="154">
        <f t="shared" si="7"/>
        <v>-70</v>
      </c>
      <c r="L122" s="154"/>
      <c r="M122" s="156">
        <f t="shared" si="8"/>
        <v>0</v>
      </c>
    </row>
    <row r="123" spans="1:13" x14ac:dyDescent="0.25">
      <c r="A123" s="170"/>
      <c r="G123" s="140"/>
      <c r="H123" s="154">
        <v>118</v>
      </c>
      <c r="I123" s="155" t="str">
        <f t="shared" si="9"/>
        <v/>
      </c>
      <c r="J123" s="154">
        <f t="shared" si="10"/>
        <v>-7</v>
      </c>
      <c r="K123" s="154">
        <f t="shared" si="7"/>
        <v>-70</v>
      </c>
      <c r="L123" s="154"/>
      <c r="M123" s="156">
        <f t="shared" si="8"/>
        <v>0</v>
      </c>
    </row>
    <row r="124" spans="1:13" x14ac:dyDescent="0.25">
      <c r="A124" s="170"/>
      <c r="G124" s="140"/>
      <c r="H124" s="154">
        <v>119</v>
      </c>
      <c r="I124" s="155" t="str">
        <f t="shared" si="9"/>
        <v/>
      </c>
      <c r="J124" s="154">
        <f t="shared" si="10"/>
        <v>-7</v>
      </c>
      <c r="K124" s="154">
        <f t="shared" si="7"/>
        <v>-70</v>
      </c>
      <c r="L124" s="154"/>
      <c r="M124" s="156">
        <f t="shared" si="8"/>
        <v>0</v>
      </c>
    </row>
    <row r="125" spans="1:13" x14ac:dyDescent="0.25">
      <c r="A125" s="170"/>
      <c r="G125" s="140"/>
      <c r="H125" s="154">
        <v>120</v>
      </c>
      <c r="I125" s="155" t="str">
        <f t="shared" si="9"/>
        <v/>
      </c>
      <c r="J125" s="154">
        <f t="shared" si="10"/>
        <v>-7</v>
      </c>
      <c r="K125" s="154">
        <f t="shared" si="7"/>
        <v>-70</v>
      </c>
      <c r="L125" s="154"/>
      <c r="M125" s="156">
        <f t="shared" si="8"/>
        <v>0</v>
      </c>
    </row>
    <row r="126" spans="1:13" x14ac:dyDescent="0.25">
      <c r="A126" s="170"/>
      <c r="G126" s="140"/>
      <c r="H126" s="154">
        <v>121</v>
      </c>
      <c r="I126" s="155" t="str">
        <f t="shared" si="9"/>
        <v/>
      </c>
      <c r="J126" s="154">
        <f t="shared" si="10"/>
        <v>-7</v>
      </c>
      <c r="K126" s="154">
        <f t="shared" si="7"/>
        <v>-70</v>
      </c>
      <c r="L126" s="154"/>
      <c r="M126" s="156">
        <f t="shared" si="8"/>
        <v>0</v>
      </c>
    </row>
    <row r="127" spans="1:13" x14ac:dyDescent="0.25">
      <c r="A127" s="170"/>
      <c r="G127" s="140"/>
      <c r="H127" s="154">
        <v>122</v>
      </c>
      <c r="I127" s="155" t="str">
        <f t="shared" si="9"/>
        <v/>
      </c>
      <c r="J127" s="154">
        <f t="shared" si="10"/>
        <v>-7</v>
      </c>
      <c r="K127" s="154">
        <f t="shared" si="7"/>
        <v>-70</v>
      </c>
      <c r="L127" s="154"/>
      <c r="M127" s="156">
        <f t="shared" si="8"/>
        <v>0</v>
      </c>
    </row>
    <row r="128" spans="1:13" x14ac:dyDescent="0.25">
      <c r="A128" s="170"/>
      <c r="G128" s="140"/>
      <c r="H128" s="154">
        <v>123</v>
      </c>
      <c r="I128" s="155" t="str">
        <f t="shared" si="9"/>
        <v/>
      </c>
      <c r="J128" s="154">
        <f t="shared" si="10"/>
        <v>-7</v>
      </c>
      <c r="K128" s="154">
        <f t="shared" si="7"/>
        <v>-70</v>
      </c>
      <c r="L128" s="154"/>
      <c r="M128" s="156">
        <f t="shared" si="8"/>
        <v>0</v>
      </c>
    </row>
    <row r="129" spans="1:13" x14ac:dyDescent="0.25">
      <c r="A129" s="170"/>
      <c r="G129" s="140"/>
      <c r="H129" s="154">
        <v>124</v>
      </c>
      <c r="I129" s="155" t="str">
        <f t="shared" si="9"/>
        <v/>
      </c>
      <c r="J129" s="154">
        <f t="shared" si="10"/>
        <v>-7</v>
      </c>
      <c r="K129" s="154">
        <f t="shared" si="7"/>
        <v>-70</v>
      </c>
      <c r="L129" s="154"/>
      <c r="M129" s="156">
        <f t="shared" si="8"/>
        <v>0</v>
      </c>
    </row>
    <row r="130" spans="1:13" x14ac:dyDescent="0.25">
      <c r="A130" s="170"/>
      <c r="G130" s="140"/>
      <c r="H130" s="154">
        <v>125</v>
      </c>
      <c r="I130" s="155" t="str">
        <f t="shared" si="9"/>
        <v/>
      </c>
      <c r="J130" s="154">
        <f t="shared" si="10"/>
        <v>-7</v>
      </c>
      <c r="K130" s="154">
        <f t="shared" si="7"/>
        <v>-70</v>
      </c>
      <c r="L130" s="154"/>
      <c r="M130" s="156">
        <f t="shared" si="8"/>
        <v>0</v>
      </c>
    </row>
    <row r="131" spans="1:13" x14ac:dyDescent="0.25">
      <c r="A131" s="170"/>
      <c r="G131" s="140"/>
      <c r="H131" s="154">
        <v>126</v>
      </c>
      <c r="I131" s="155" t="str">
        <f t="shared" si="9"/>
        <v/>
      </c>
      <c r="J131" s="154">
        <f t="shared" si="10"/>
        <v>-7</v>
      </c>
      <c r="K131" s="154">
        <f t="shared" si="7"/>
        <v>-70</v>
      </c>
      <c r="L131" s="154"/>
      <c r="M131" s="156">
        <f t="shared" si="8"/>
        <v>0</v>
      </c>
    </row>
    <row r="132" spans="1:13" x14ac:dyDescent="0.25">
      <c r="A132" s="170"/>
      <c r="G132" s="140"/>
      <c r="H132" s="154">
        <v>127</v>
      </c>
      <c r="I132" s="155" t="str">
        <f t="shared" si="9"/>
        <v/>
      </c>
      <c r="J132" s="154">
        <f t="shared" si="10"/>
        <v>-7</v>
      </c>
      <c r="K132" s="154">
        <f t="shared" si="7"/>
        <v>-70</v>
      </c>
      <c r="L132" s="154"/>
      <c r="M132" s="156">
        <f t="shared" si="8"/>
        <v>0</v>
      </c>
    </row>
    <row r="133" spans="1:13" x14ac:dyDescent="0.25">
      <c r="A133" s="170"/>
      <c r="G133" s="140"/>
      <c r="H133" s="154">
        <v>128</v>
      </c>
      <c r="I133" s="155" t="str">
        <f t="shared" si="9"/>
        <v/>
      </c>
      <c r="J133" s="154">
        <f t="shared" si="10"/>
        <v>-7</v>
      </c>
      <c r="K133" s="154">
        <f t="shared" si="7"/>
        <v>-70</v>
      </c>
      <c r="L133" s="154"/>
      <c r="M133" s="156">
        <f t="shared" si="8"/>
        <v>0</v>
      </c>
    </row>
    <row r="134" spans="1:13" x14ac:dyDescent="0.25">
      <c r="A134" s="170"/>
      <c r="G134" s="140"/>
      <c r="H134" s="154">
        <v>129</v>
      </c>
      <c r="I134" s="155" t="str">
        <f t="shared" si="9"/>
        <v/>
      </c>
      <c r="J134" s="154">
        <f t="shared" si="10"/>
        <v>-8</v>
      </c>
      <c r="K134" s="154">
        <f t="shared" ref="K134:K197" si="11">J134*$J$2</f>
        <v>-80</v>
      </c>
      <c r="L134" s="154"/>
      <c r="M134" s="156">
        <f t="shared" ref="M134:M197" si="12">IF(I134&lt;&gt;"",K134+I134+L134,0)</f>
        <v>0</v>
      </c>
    </row>
    <row r="135" spans="1:13" x14ac:dyDescent="0.25">
      <c r="A135" s="170"/>
      <c r="G135" s="140"/>
      <c r="H135" s="154">
        <v>130</v>
      </c>
      <c r="I135" s="155" t="str">
        <f t="shared" ref="I135:I198" si="13">IF(H135&lt;$H$2+1,($I$2-($I$2-1)*(LOG(H135)/LOG($H$2))),"")</f>
        <v/>
      </c>
      <c r="J135" s="154">
        <f t="shared" ref="J135:J198" si="14">INT(LOG($H$2,2))-ROUNDUP(LOG(H135,2),0)+IF(OR($H$2=1,$H$2=2,$H$2=4,$H$2=8,$H$2=16,$H$2=32,$H$2=64,$H$2=128,$H$2=256),0,1)</f>
        <v>-8</v>
      </c>
      <c r="K135" s="154">
        <f t="shared" si="11"/>
        <v>-80</v>
      </c>
      <c r="L135" s="154"/>
      <c r="M135" s="156">
        <f t="shared" si="12"/>
        <v>0</v>
      </c>
    </row>
    <row r="136" spans="1:13" x14ac:dyDescent="0.25">
      <c r="A136" s="170"/>
      <c r="G136" s="140"/>
      <c r="H136" s="154">
        <v>131</v>
      </c>
      <c r="I136" s="155" t="str">
        <f t="shared" si="13"/>
        <v/>
      </c>
      <c r="J136" s="154">
        <f t="shared" si="14"/>
        <v>-8</v>
      </c>
      <c r="K136" s="154">
        <f t="shared" si="11"/>
        <v>-80</v>
      </c>
      <c r="L136" s="154"/>
      <c r="M136" s="156">
        <f t="shared" si="12"/>
        <v>0</v>
      </c>
    </row>
    <row r="137" spans="1:13" x14ac:dyDescent="0.25">
      <c r="A137" s="170"/>
      <c r="G137" s="140"/>
      <c r="H137" s="154">
        <v>132</v>
      </c>
      <c r="I137" s="155" t="str">
        <f t="shared" si="13"/>
        <v/>
      </c>
      <c r="J137" s="154">
        <f t="shared" si="14"/>
        <v>-8</v>
      </c>
      <c r="K137" s="154">
        <f t="shared" si="11"/>
        <v>-80</v>
      </c>
      <c r="L137" s="154"/>
      <c r="M137" s="156">
        <f t="shared" si="12"/>
        <v>0</v>
      </c>
    </row>
    <row r="138" spans="1:13" x14ac:dyDescent="0.25">
      <c r="A138" s="170"/>
      <c r="G138" s="140"/>
      <c r="H138" s="154">
        <v>133</v>
      </c>
      <c r="I138" s="155" t="str">
        <f t="shared" si="13"/>
        <v/>
      </c>
      <c r="J138" s="154">
        <f t="shared" si="14"/>
        <v>-8</v>
      </c>
      <c r="K138" s="154">
        <f t="shared" si="11"/>
        <v>-80</v>
      </c>
      <c r="L138" s="154"/>
      <c r="M138" s="156">
        <f t="shared" si="12"/>
        <v>0</v>
      </c>
    </row>
    <row r="139" spans="1:13" x14ac:dyDescent="0.25">
      <c r="A139" s="170"/>
      <c r="G139" s="140"/>
      <c r="H139" s="154">
        <v>134</v>
      </c>
      <c r="I139" s="155" t="str">
        <f t="shared" si="13"/>
        <v/>
      </c>
      <c r="J139" s="154">
        <f t="shared" si="14"/>
        <v>-8</v>
      </c>
      <c r="K139" s="154">
        <f t="shared" si="11"/>
        <v>-80</v>
      </c>
      <c r="L139" s="154"/>
      <c r="M139" s="156">
        <f t="shared" si="12"/>
        <v>0</v>
      </c>
    </row>
    <row r="140" spans="1:13" x14ac:dyDescent="0.25">
      <c r="A140" s="170"/>
      <c r="G140" s="140"/>
      <c r="H140" s="154">
        <v>135</v>
      </c>
      <c r="I140" s="155" t="str">
        <f t="shared" si="13"/>
        <v/>
      </c>
      <c r="J140" s="154">
        <f t="shared" si="14"/>
        <v>-8</v>
      </c>
      <c r="K140" s="154">
        <f t="shared" si="11"/>
        <v>-80</v>
      </c>
      <c r="L140" s="154"/>
      <c r="M140" s="156">
        <f t="shared" si="12"/>
        <v>0</v>
      </c>
    </row>
    <row r="141" spans="1:13" x14ac:dyDescent="0.25">
      <c r="A141" s="170"/>
      <c r="G141" s="140"/>
      <c r="H141" s="154">
        <v>136</v>
      </c>
      <c r="I141" s="155" t="str">
        <f t="shared" si="13"/>
        <v/>
      </c>
      <c r="J141" s="154">
        <f t="shared" si="14"/>
        <v>-8</v>
      </c>
      <c r="K141" s="154">
        <f t="shared" si="11"/>
        <v>-80</v>
      </c>
      <c r="L141" s="154"/>
      <c r="M141" s="156">
        <f t="shared" si="12"/>
        <v>0</v>
      </c>
    </row>
    <row r="142" spans="1:13" x14ac:dyDescent="0.25">
      <c r="A142" s="170"/>
      <c r="G142" s="140"/>
      <c r="H142" s="154">
        <v>137</v>
      </c>
      <c r="I142" s="155" t="str">
        <f t="shared" si="13"/>
        <v/>
      </c>
      <c r="J142" s="154">
        <f t="shared" si="14"/>
        <v>-8</v>
      </c>
      <c r="K142" s="154">
        <f t="shared" si="11"/>
        <v>-80</v>
      </c>
      <c r="L142" s="154"/>
      <c r="M142" s="156">
        <f t="shared" si="12"/>
        <v>0</v>
      </c>
    </row>
    <row r="143" spans="1:13" x14ac:dyDescent="0.25">
      <c r="A143" s="170"/>
      <c r="G143" s="140"/>
      <c r="H143" s="154">
        <v>138</v>
      </c>
      <c r="I143" s="155" t="str">
        <f t="shared" si="13"/>
        <v/>
      </c>
      <c r="J143" s="154">
        <f t="shared" si="14"/>
        <v>-8</v>
      </c>
      <c r="K143" s="154">
        <f t="shared" si="11"/>
        <v>-80</v>
      </c>
      <c r="L143" s="154"/>
      <c r="M143" s="156">
        <f t="shared" si="12"/>
        <v>0</v>
      </c>
    </row>
    <row r="144" spans="1:13" x14ac:dyDescent="0.25">
      <c r="A144" s="170"/>
      <c r="G144" s="140"/>
      <c r="H144" s="154">
        <v>139</v>
      </c>
      <c r="I144" s="155" t="str">
        <f t="shared" si="13"/>
        <v/>
      </c>
      <c r="J144" s="154">
        <f t="shared" si="14"/>
        <v>-8</v>
      </c>
      <c r="K144" s="154">
        <f t="shared" si="11"/>
        <v>-80</v>
      </c>
      <c r="L144" s="154"/>
      <c r="M144" s="156">
        <f t="shared" si="12"/>
        <v>0</v>
      </c>
    </row>
    <row r="145" spans="1:13" x14ac:dyDescent="0.25">
      <c r="A145" s="170"/>
      <c r="G145" s="140"/>
      <c r="H145" s="154">
        <v>140</v>
      </c>
      <c r="I145" s="155" t="str">
        <f t="shared" si="13"/>
        <v/>
      </c>
      <c r="J145" s="154">
        <f t="shared" si="14"/>
        <v>-8</v>
      </c>
      <c r="K145" s="154">
        <f t="shared" si="11"/>
        <v>-80</v>
      </c>
      <c r="L145" s="154"/>
      <c r="M145" s="156">
        <f t="shared" si="12"/>
        <v>0</v>
      </c>
    </row>
    <row r="146" spans="1:13" x14ac:dyDescent="0.25">
      <c r="A146" s="170"/>
      <c r="G146" s="140"/>
      <c r="H146" s="154">
        <v>141</v>
      </c>
      <c r="I146" s="155" t="str">
        <f t="shared" si="13"/>
        <v/>
      </c>
      <c r="J146" s="154">
        <f t="shared" si="14"/>
        <v>-8</v>
      </c>
      <c r="K146" s="154">
        <f t="shared" si="11"/>
        <v>-80</v>
      </c>
      <c r="L146" s="154"/>
      <c r="M146" s="156">
        <f t="shared" si="12"/>
        <v>0</v>
      </c>
    </row>
    <row r="147" spans="1:13" x14ac:dyDescent="0.25">
      <c r="A147" s="170"/>
      <c r="G147" s="140"/>
      <c r="H147" s="154">
        <v>142</v>
      </c>
      <c r="I147" s="155" t="str">
        <f t="shared" si="13"/>
        <v/>
      </c>
      <c r="J147" s="154">
        <f t="shared" si="14"/>
        <v>-8</v>
      </c>
      <c r="K147" s="154">
        <f t="shared" si="11"/>
        <v>-80</v>
      </c>
      <c r="L147" s="154"/>
      <c r="M147" s="156">
        <f t="shared" si="12"/>
        <v>0</v>
      </c>
    </row>
    <row r="148" spans="1:13" x14ac:dyDescent="0.25">
      <c r="A148" s="170"/>
      <c r="G148" s="140"/>
      <c r="H148" s="154">
        <v>143</v>
      </c>
      <c r="I148" s="155" t="str">
        <f t="shared" si="13"/>
        <v/>
      </c>
      <c r="J148" s="154">
        <f t="shared" si="14"/>
        <v>-8</v>
      </c>
      <c r="K148" s="154">
        <f t="shared" si="11"/>
        <v>-80</v>
      </c>
      <c r="L148" s="154"/>
      <c r="M148" s="156">
        <f t="shared" si="12"/>
        <v>0</v>
      </c>
    </row>
    <row r="149" spans="1:13" x14ac:dyDescent="0.25">
      <c r="A149" s="170"/>
      <c r="G149" s="140"/>
      <c r="H149" s="154">
        <v>144</v>
      </c>
      <c r="I149" s="155" t="str">
        <f t="shared" si="13"/>
        <v/>
      </c>
      <c r="J149" s="154">
        <f t="shared" si="14"/>
        <v>-8</v>
      </c>
      <c r="K149" s="154">
        <f t="shared" si="11"/>
        <v>-80</v>
      </c>
      <c r="L149" s="154"/>
      <c r="M149" s="156">
        <f t="shared" si="12"/>
        <v>0</v>
      </c>
    </row>
    <row r="150" spans="1:13" x14ac:dyDescent="0.25">
      <c r="A150" s="170"/>
      <c r="G150" s="140"/>
      <c r="H150" s="154">
        <v>145</v>
      </c>
      <c r="I150" s="155" t="str">
        <f t="shared" si="13"/>
        <v/>
      </c>
      <c r="J150" s="154">
        <f t="shared" si="14"/>
        <v>-8</v>
      </c>
      <c r="K150" s="154">
        <f t="shared" si="11"/>
        <v>-80</v>
      </c>
      <c r="L150" s="154"/>
      <c r="M150" s="156">
        <f t="shared" si="12"/>
        <v>0</v>
      </c>
    </row>
    <row r="151" spans="1:13" x14ac:dyDescent="0.25">
      <c r="A151" s="170"/>
      <c r="G151" s="140"/>
      <c r="H151" s="154">
        <v>146</v>
      </c>
      <c r="I151" s="155" t="str">
        <f t="shared" si="13"/>
        <v/>
      </c>
      <c r="J151" s="154">
        <f t="shared" si="14"/>
        <v>-8</v>
      </c>
      <c r="K151" s="154">
        <f t="shared" si="11"/>
        <v>-80</v>
      </c>
      <c r="L151" s="154"/>
      <c r="M151" s="156">
        <f t="shared" si="12"/>
        <v>0</v>
      </c>
    </row>
    <row r="152" spans="1:13" x14ac:dyDescent="0.25">
      <c r="A152" s="170"/>
      <c r="G152" s="140"/>
      <c r="H152" s="154">
        <v>147</v>
      </c>
      <c r="I152" s="155" t="str">
        <f t="shared" si="13"/>
        <v/>
      </c>
      <c r="J152" s="154">
        <f t="shared" si="14"/>
        <v>-8</v>
      </c>
      <c r="K152" s="154">
        <f t="shared" si="11"/>
        <v>-80</v>
      </c>
      <c r="L152" s="154"/>
      <c r="M152" s="156">
        <f t="shared" si="12"/>
        <v>0</v>
      </c>
    </row>
    <row r="153" spans="1:13" x14ac:dyDescent="0.25">
      <c r="A153" s="170"/>
      <c r="G153" s="140"/>
      <c r="H153" s="154">
        <v>148</v>
      </c>
      <c r="I153" s="155" t="str">
        <f t="shared" si="13"/>
        <v/>
      </c>
      <c r="J153" s="154">
        <f t="shared" si="14"/>
        <v>-8</v>
      </c>
      <c r="K153" s="154">
        <f t="shared" si="11"/>
        <v>-80</v>
      </c>
      <c r="L153" s="154"/>
      <c r="M153" s="156">
        <f t="shared" si="12"/>
        <v>0</v>
      </c>
    </row>
    <row r="154" spans="1:13" x14ac:dyDescent="0.25">
      <c r="A154" s="170"/>
      <c r="G154" s="140"/>
      <c r="H154" s="154">
        <v>149</v>
      </c>
      <c r="I154" s="155" t="str">
        <f t="shared" si="13"/>
        <v/>
      </c>
      <c r="J154" s="154">
        <f t="shared" si="14"/>
        <v>-8</v>
      </c>
      <c r="K154" s="154">
        <f t="shared" si="11"/>
        <v>-80</v>
      </c>
      <c r="L154" s="154"/>
      <c r="M154" s="156">
        <f t="shared" si="12"/>
        <v>0</v>
      </c>
    </row>
    <row r="155" spans="1:13" x14ac:dyDescent="0.25">
      <c r="A155" s="170"/>
      <c r="G155" s="140"/>
      <c r="H155" s="154">
        <v>150</v>
      </c>
      <c r="I155" s="155" t="str">
        <f t="shared" si="13"/>
        <v/>
      </c>
      <c r="J155" s="154">
        <f t="shared" si="14"/>
        <v>-8</v>
      </c>
      <c r="K155" s="154">
        <f t="shared" si="11"/>
        <v>-80</v>
      </c>
      <c r="L155" s="154"/>
      <c r="M155" s="156">
        <f t="shared" si="12"/>
        <v>0</v>
      </c>
    </row>
    <row r="156" spans="1:13" x14ac:dyDescent="0.25">
      <c r="A156" s="170"/>
      <c r="G156" s="140"/>
      <c r="H156" s="154">
        <v>151</v>
      </c>
      <c r="I156" s="155" t="str">
        <f t="shared" si="13"/>
        <v/>
      </c>
      <c r="J156" s="154">
        <f t="shared" si="14"/>
        <v>-8</v>
      </c>
      <c r="K156" s="154">
        <f t="shared" si="11"/>
        <v>-80</v>
      </c>
      <c r="L156" s="154"/>
      <c r="M156" s="156">
        <f t="shared" si="12"/>
        <v>0</v>
      </c>
    </row>
    <row r="157" spans="1:13" x14ac:dyDescent="0.25">
      <c r="A157" s="170"/>
      <c r="G157" s="140"/>
      <c r="H157" s="154">
        <v>152</v>
      </c>
      <c r="I157" s="155" t="str">
        <f t="shared" si="13"/>
        <v/>
      </c>
      <c r="J157" s="154">
        <f t="shared" si="14"/>
        <v>-8</v>
      </c>
      <c r="K157" s="154">
        <f t="shared" si="11"/>
        <v>-80</v>
      </c>
      <c r="L157" s="154"/>
      <c r="M157" s="156">
        <f t="shared" si="12"/>
        <v>0</v>
      </c>
    </row>
    <row r="158" spans="1:13" x14ac:dyDescent="0.25">
      <c r="A158" s="170"/>
      <c r="G158" s="140"/>
      <c r="H158" s="154">
        <v>153</v>
      </c>
      <c r="I158" s="155" t="str">
        <f t="shared" si="13"/>
        <v/>
      </c>
      <c r="J158" s="154">
        <f t="shared" si="14"/>
        <v>-8</v>
      </c>
      <c r="K158" s="154">
        <f t="shared" si="11"/>
        <v>-80</v>
      </c>
      <c r="L158" s="154"/>
      <c r="M158" s="156">
        <f t="shared" si="12"/>
        <v>0</v>
      </c>
    </row>
    <row r="159" spans="1:13" x14ac:dyDescent="0.25">
      <c r="A159" s="170"/>
      <c r="G159" s="140"/>
      <c r="H159" s="154">
        <v>154</v>
      </c>
      <c r="I159" s="155" t="str">
        <f t="shared" si="13"/>
        <v/>
      </c>
      <c r="J159" s="154">
        <f t="shared" si="14"/>
        <v>-8</v>
      </c>
      <c r="K159" s="154">
        <f t="shared" si="11"/>
        <v>-80</v>
      </c>
      <c r="L159" s="154"/>
      <c r="M159" s="156">
        <f t="shared" si="12"/>
        <v>0</v>
      </c>
    </row>
    <row r="160" spans="1:13" x14ac:dyDescent="0.25">
      <c r="A160" s="170"/>
      <c r="G160" s="140"/>
      <c r="H160" s="154">
        <v>155</v>
      </c>
      <c r="I160" s="155" t="str">
        <f t="shared" si="13"/>
        <v/>
      </c>
      <c r="J160" s="154">
        <f t="shared" si="14"/>
        <v>-8</v>
      </c>
      <c r="K160" s="154">
        <f t="shared" si="11"/>
        <v>-80</v>
      </c>
      <c r="L160" s="154"/>
      <c r="M160" s="156">
        <f t="shared" si="12"/>
        <v>0</v>
      </c>
    </row>
    <row r="161" spans="1:13" x14ac:dyDescent="0.25">
      <c r="A161" s="170"/>
      <c r="G161" s="140"/>
      <c r="H161" s="154">
        <v>156</v>
      </c>
      <c r="I161" s="155" t="str">
        <f t="shared" si="13"/>
        <v/>
      </c>
      <c r="J161" s="154">
        <f t="shared" si="14"/>
        <v>-8</v>
      </c>
      <c r="K161" s="154">
        <f t="shared" si="11"/>
        <v>-80</v>
      </c>
      <c r="L161" s="154"/>
      <c r="M161" s="156">
        <f t="shared" si="12"/>
        <v>0</v>
      </c>
    </row>
    <row r="162" spans="1:13" x14ac:dyDescent="0.25">
      <c r="A162" s="170"/>
      <c r="G162" s="140"/>
      <c r="H162" s="154">
        <v>157</v>
      </c>
      <c r="I162" s="155" t="str">
        <f t="shared" si="13"/>
        <v/>
      </c>
      <c r="J162" s="154">
        <f t="shared" si="14"/>
        <v>-8</v>
      </c>
      <c r="K162" s="154">
        <f t="shared" si="11"/>
        <v>-80</v>
      </c>
      <c r="L162" s="154"/>
      <c r="M162" s="156">
        <f t="shared" si="12"/>
        <v>0</v>
      </c>
    </row>
    <row r="163" spans="1:13" x14ac:dyDescent="0.25">
      <c r="A163" s="170"/>
      <c r="G163" s="140"/>
      <c r="H163" s="154">
        <v>158</v>
      </c>
      <c r="I163" s="155" t="str">
        <f t="shared" si="13"/>
        <v/>
      </c>
      <c r="J163" s="154">
        <f t="shared" si="14"/>
        <v>-8</v>
      </c>
      <c r="K163" s="154">
        <f t="shared" si="11"/>
        <v>-80</v>
      </c>
      <c r="L163" s="154"/>
      <c r="M163" s="156">
        <f t="shared" si="12"/>
        <v>0</v>
      </c>
    </row>
    <row r="164" spans="1:13" x14ac:dyDescent="0.25">
      <c r="A164" s="170"/>
      <c r="G164" s="140"/>
      <c r="H164" s="154">
        <v>159</v>
      </c>
      <c r="I164" s="155" t="str">
        <f t="shared" si="13"/>
        <v/>
      </c>
      <c r="J164" s="154">
        <f t="shared" si="14"/>
        <v>-8</v>
      </c>
      <c r="K164" s="154">
        <f t="shared" si="11"/>
        <v>-80</v>
      </c>
      <c r="L164" s="154"/>
      <c r="M164" s="156">
        <f t="shared" si="12"/>
        <v>0</v>
      </c>
    </row>
    <row r="165" spans="1:13" x14ac:dyDescent="0.25">
      <c r="A165" s="170"/>
      <c r="G165" s="140"/>
      <c r="H165" s="154">
        <v>160</v>
      </c>
      <c r="I165" s="155" t="str">
        <f t="shared" si="13"/>
        <v/>
      </c>
      <c r="J165" s="154">
        <f t="shared" si="14"/>
        <v>-8</v>
      </c>
      <c r="K165" s="154">
        <f t="shared" si="11"/>
        <v>-80</v>
      </c>
      <c r="L165" s="154"/>
      <c r="M165" s="156">
        <f t="shared" si="12"/>
        <v>0</v>
      </c>
    </row>
    <row r="166" spans="1:13" x14ac:dyDescent="0.25">
      <c r="A166" s="170"/>
      <c r="G166" s="140"/>
      <c r="H166" s="154">
        <v>161</v>
      </c>
      <c r="I166" s="155" t="str">
        <f t="shared" si="13"/>
        <v/>
      </c>
      <c r="J166" s="154">
        <f t="shared" si="14"/>
        <v>-8</v>
      </c>
      <c r="K166" s="154">
        <f t="shared" si="11"/>
        <v>-80</v>
      </c>
      <c r="L166" s="154"/>
      <c r="M166" s="156">
        <f t="shared" si="12"/>
        <v>0</v>
      </c>
    </row>
    <row r="167" spans="1:13" x14ac:dyDescent="0.25">
      <c r="A167" s="170"/>
      <c r="G167" s="140"/>
      <c r="H167" s="154">
        <v>162</v>
      </c>
      <c r="I167" s="155" t="str">
        <f t="shared" si="13"/>
        <v/>
      </c>
      <c r="J167" s="154">
        <f t="shared" si="14"/>
        <v>-8</v>
      </c>
      <c r="K167" s="154">
        <f t="shared" si="11"/>
        <v>-80</v>
      </c>
      <c r="L167" s="154"/>
      <c r="M167" s="156">
        <f t="shared" si="12"/>
        <v>0</v>
      </c>
    </row>
    <row r="168" spans="1:13" x14ac:dyDescent="0.25">
      <c r="A168" s="170"/>
      <c r="G168" s="140"/>
      <c r="H168" s="154">
        <v>163</v>
      </c>
      <c r="I168" s="155" t="str">
        <f t="shared" si="13"/>
        <v/>
      </c>
      <c r="J168" s="154">
        <f t="shared" si="14"/>
        <v>-8</v>
      </c>
      <c r="K168" s="154">
        <f t="shared" si="11"/>
        <v>-80</v>
      </c>
      <c r="L168" s="154"/>
      <c r="M168" s="156">
        <f t="shared" si="12"/>
        <v>0</v>
      </c>
    </row>
    <row r="169" spans="1:13" x14ac:dyDescent="0.25">
      <c r="A169" s="170"/>
      <c r="G169" s="140"/>
      <c r="H169" s="154">
        <v>164</v>
      </c>
      <c r="I169" s="155" t="str">
        <f t="shared" si="13"/>
        <v/>
      </c>
      <c r="J169" s="154">
        <f t="shared" si="14"/>
        <v>-8</v>
      </c>
      <c r="K169" s="154">
        <f t="shared" si="11"/>
        <v>-80</v>
      </c>
      <c r="L169" s="154"/>
      <c r="M169" s="156">
        <f t="shared" si="12"/>
        <v>0</v>
      </c>
    </row>
    <row r="170" spans="1:13" x14ac:dyDescent="0.25">
      <c r="A170" s="170"/>
      <c r="G170" s="140"/>
      <c r="H170" s="154">
        <v>165</v>
      </c>
      <c r="I170" s="155" t="str">
        <f t="shared" si="13"/>
        <v/>
      </c>
      <c r="J170" s="154">
        <f t="shared" si="14"/>
        <v>-8</v>
      </c>
      <c r="K170" s="154">
        <f t="shared" si="11"/>
        <v>-80</v>
      </c>
      <c r="L170" s="154"/>
      <c r="M170" s="156">
        <f t="shared" si="12"/>
        <v>0</v>
      </c>
    </row>
    <row r="171" spans="1:13" x14ac:dyDescent="0.25">
      <c r="A171" s="170"/>
      <c r="G171" s="140"/>
      <c r="H171" s="154">
        <v>166</v>
      </c>
      <c r="I171" s="155" t="str">
        <f t="shared" si="13"/>
        <v/>
      </c>
      <c r="J171" s="154">
        <f t="shared" si="14"/>
        <v>-8</v>
      </c>
      <c r="K171" s="154">
        <f t="shared" si="11"/>
        <v>-80</v>
      </c>
      <c r="L171" s="154"/>
      <c r="M171" s="156">
        <f t="shared" si="12"/>
        <v>0</v>
      </c>
    </row>
    <row r="172" spans="1:13" x14ac:dyDescent="0.25">
      <c r="A172" s="170"/>
      <c r="G172" s="140"/>
      <c r="H172" s="154">
        <v>167</v>
      </c>
      <c r="I172" s="155" t="str">
        <f t="shared" si="13"/>
        <v/>
      </c>
      <c r="J172" s="154">
        <f t="shared" si="14"/>
        <v>-8</v>
      </c>
      <c r="K172" s="154">
        <f t="shared" si="11"/>
        <v>-80</v>
      </c>
      <c r="L172" s="154"/>
      <c r="M172" s="156">
        <f t="shared" si="12"/>
        <v>0</v>
      </c>
    </row>
    <row r="173" spans="1:13" x14ac:dyDescent="0.25">
      <c r="A173" s="170"/>
      <c r="G173" s="140"/>
      <c r="H173" s="154">
        <v>168</v>
      </c>
      <c r="I173" s="155" t="str">
        <f t="shared" si="13"/>
        <v/>
      </c>
      <c r="J173" s="154">
        <f t="shared" si="14"/>
        <v>-8</v>
      </c>
      <c r="K173" s="154">
        <f t="shared" si="11"/>
        <v>-80</v>
      </c>
      <c r="L173" s="154"/>
      <c r="M173" s="156">
        <f t="shared" si="12"/>
        <v>0</v>
      </c>
    </row>
    <row r="174" spans="1:13" x14ac:dyDescent="0.25">
      <c r="A174" s="170"/>
      <c r="G174" s="140"/>
      <c r="H174" s="154">
        <v>169</v>
      </c>
      <c r="I174" s="155" t="str">
        <f t="shared" si="13"/>
        <v/>
      </c>
      <c r="J174" s="154">
        <f t="shared" si="14"/>
        <v>-8</v>
      </c>
      <c r="K174" s="154">
        <f t="shared" si="11"/>
        <v>-80</v>
      </c>
      <c r="L174" s="154"/>
      <c r="M174" s="156">
        <f t="shared" si="12"/>
        <v>0</v>
      </c>
    </row>
    <row r="175" spans="1:13" x14ac:dyDescent="0.25">
      <c r="A175" s="170"/>
      <c r="G175" s="140"/>
      <c r="H175" s="154">
        <v>170</v>
      </c>
      <c r="I175" s="155" t="str">
        <f t="shared" si="13"/>
        <v/>
      </c>
      <c r="J175" s="154">
        <f t="shared" si="14"/>
        <v>-8</v>
      </c>
      <c r="K175" s="154">
        <f t="shared" si="11"/>
        <v>-80</v>
      </c>
      <c r="L175" s="154"/>
      <c r="M175" s="156">
        <f t="shared" si="12"/>
        <v>0</v>
      </c>
    </row>
    <row r="176" spans="1:13" x14ac:dyDescent="0.25">
      <c r="A176" s="170"/>
      <c r="G176" s="140"/>
      <c r="H176" s="154">
        <v>171</v>
      </c>
      <c r="I176" s="155" t="str">
        <f t="shared" si="13"/>
        <v/>
      </c>
      <c r="J176" s="154">
        <f t="shared" si="14"/>
        <v>-8</v>
      </c>
      <c r="K176" s="154">
        <f t="shared" si="11"/>
        <v>-80</v>
      </c>
      <c r="L176" s="154"/>
      <c r="M176" s="156">
        <f t="shared" si="12"/>
        <v>0</v>
      </c>
    </row>
    <row r="177" spans="1:13" x14ac:dyDescent="0.25">
      <c r="A177" s="170"/>
      <c r="G177" s="140"/>
      <c r="H177" s="154">
        <v>172</v>
      </c>
      <c r="I177" s="155" t="str">
        <f t="shared" si="13"/>
        <v/>
      </c>
      <c r="J177" s="154">
        <f t="shared" si="14"/>
        <v>-8</v>
      </c>
      <c r="K177" s="154">
        <f t="shared" si="11"/>
        <v>-80</v>
      </c>
      <c r="L177" s="154"/>
      <c r="M177" s="156">
        <f t="shared" si="12"/>
        <v>0</v>
      </c>
    </row>
    <row r="178" spans="1:13" x14ac:dyDescent="0.25">
      <c r="A178" s="170"/>
      <c r="G178" s="140"/>
      <c r="H178" s="154">
        <v>173</v>
      </c>
      <c r="I178" s="155" t="str">
        <f t="shared" si="13"/>
        <v/>
      </c>
      <c r="J178" s="154">
        <f t="shared" si="14"/>
        <v>-8</v>
      </c>
      <c r="K178" s="154">
        <f t="shared" si="11"/>
        <v>-80</v>
      </c>
      <c r="L178" s="154"/>
      <c r="M178" s="156">
        <f t="shared" si="12"/>
        <v>0</v>
      </c>
    </row>
    <row r="179" spans="1:13" x14ac:dyDescent="0.25">
      <c r="A179" s="170"/>
      <c r="G179" s="140"/>
      <c r="H179" s="154">
        <v>174</v>
      </c>
      <c r="I179" s="155" t="str">
        <f t="shared" si="13"/>
        <v/>
      </c>
      <c r="J179" s="154">
        <f t="shared" si="14"/>
        <v>-8</v>
      </c>
      <c r="K179" s="154">
        <f t="shared" si="11"/>
        <v>-80</v>
      </c>
      <c r="L179" s="154"/>
      <c r="M179" s="156">
        <f t="shared" si="12"/>
        <v>0</v>
      </c>
    </row>
    <row r="180" spans="1:13" x14ac:dyDescent="0.25">
      <c r="A180" s="170"/>
      <c r="G180" s="140"/>
      <c r="H180" s="154">
        <v>175</v>
      </c>
      <c r="I180" s="155" t="str">
        <f t="shared" si="13"/>
        <v/>
      </c>
      <c r="J180" s="154">
        <f t="shared" si="14"/>
        <v>-8</v>
      </c>
      <c r="K180" s="154">
        <f t="shared" si="11"/>
        <v>-80</v>
      </c>
      <c r="L180" s="154"/>
      <c r="M180" s="156">
        <f t="shared" si="12"/>
        <v>0</v>
      </c>
    </row>
    <row r="181" spans="1:13" x14ac:dyDescent="0.25">
      <c r="A181" s="170"/>
      <c r="G181" s="140"/>
      <c r="H181" s="154">
        <v>176</v>
      </c>
      <c r="I181" s="155" t="str">
        <f t="shared" si="13"/>
        <v/>
      </c>
      <c r="J181" s="154">
        <f t="shared" si="14"/>
        <v>-8</v>
      </c>
      <c r="K181" s="154">
        <f t="shared" si="11"/>
        <v>-80</v>
      </c>
      <c r="L181" s="154"/>
      <c r="M181" s="156">
        <f t="shared" si="12"/>
        <v>0</v>
      </c>
    </row>
    <row r="182" spans="1:13" x14ac:dyDescent="0.25">
      <c r="A182" s="170"/>
      <c r="G182" s="140"/>
      <c r="H182" s="154">
        <v>177</v>
      </c>
      <c r="I182" s="155" t="str">
        <f t="shared" si="13"/>
        <v/>
      </c>
      <c r="J182" s="154">
        <f t="shared" si="14"/>
        <v>-8</v>
      </c>
      <c r="K182" s="154">
        <f t="shared" si="11"/>
        <v>-80</v>
      </c>
      <c r="L182" s="154"/>
      <c r="M182" s="156">
        <f t="shared" si="12"/>
        <v>0</v>
      </c>
    </row>
    <row r="183" spans="1:13" x14ac:dyDescent="0.25">
      <c r="A183" s="170"/>
      <c r="G183" s="140"/>
      <c r="H183" s="154">
        <v>178</v>
      </c>
      <c r="I183" s="155" t="str">
        <f t="shared" si="13"/>
        <v/>
      </c>
      <c r="J183" s="154">
        <f t="shared" si="14"/>
        <v>-8</v>
      </c>
      <c r="K183" s="154">
        <f t="shared" si="11"/>
        <v>-80</v>
      </c>
      <c r="L183" s="154"/>
      <c r="M183" s="156">
        <f t="shared" si="12"/>
        <v>0</v>
      </c>
    </row>
    <row r="184" spans="1:13" x14ac:dyDescent="0.25">
      <c r="A184" s="170"/>
      <c r="G184" s="140"/>
      <c r="H184" s="154">
        <v>179</v>
      </c>
      <c r="I184" s="155" t="str">
        <f t="shared" si="13"/>
        <v/>
      </c>
      <c r="J184" s="154">
        <f t="shared" si="14"/>
        <v>-8</v>
      </c>
      <c r="K184" s="154">
        <f t="shared" si="11"/>
        <v>-80</v>
      </c>
      <c r="L184" s="154"/>
      <c r="M184" s="156">
        <f t="shared" si="12"/>
        <v>0</v>
      </c>
    </row>
    <row r="185" spans="1:13" x14ac:dyDescent="0.25">
      <c r="A185" s="170"/>
      <c r="G185" s="140"/>
      <c r="H185" s="154">
        <v>180</v>
      </c>
      <c r="I185" s="155" t="str">
        <f t="shared" si="13"/>
        <v/>
      </c>
      <c r="J185" s="154">
        <f t="shared" si="14"/>
        <v>-8</v>
      </c>
      <c r="K185" s="154">
        <f t="shared" si="11"/>
        <v>-80</v>
      </c>
      <c r="L185" s="154"/>
      <c r="M185" s="156">
        <f t="shared" si="12"/>
        <v>0</v>
      </c>
    </row>
    <row r="186" spans="1:13" x14ac:dyDescent="0.25">
      <c r="A186" s="170"/>
      <c r="G186" s="140"/>
      <c r="H186" s="154">
        <v>181</v>
      </c>
      <c r="I186" s="155" t="str">
        <f t="shared" si="13"/>
        <v/>
      </c>
      <c r="J186" s="154">
        <f t="shared" si="14"/>
        <v>-8</v>
      </c>
      <c r="K186" s="154">
        <f t="shared" si="11"/>
        <v>-80</v>
      </c>
      <c r="L186" s="154"/>
      <c r="M186" s="156">
        <f t="shared" si="12"/>
        <v>0</v>
      </c>
    </row>
    <row r="187" spans="1:13" x14ac:dyDescent="0.25">
      <c r="A187" s="170"/>
      <c r="G187" s="140"/>
      <c r="H187" s="154">
        <v>182</v>
      </c>
      <c r="I187" s="155" t="str">
        <f t="shared" si="13"/>
        <v/>
      </c>
      <c r="J187" s="154">
        <f t="shared" si="14"/>
        <v>-8</v>
      </c>
      <c r="K187" s="154">
        <f t="shared" si="11"/>
        <v>-80</v>
      </c>
      <c r="L187" s="154"/>
      <c r="M187" s="156">
        <f t="shared" si="12"/>
        <v>0</v>
      </c>
    </row>
    <row r="188" spans="1:13" x14ac:dyDescent="0.25">
      <c r="A188" s="170"/>
      <c r="G188" s="140"/>
      <c r="H188" s="154">
        <v>183</v>
      </c>
      <c r="I188" s="155" t="str">
        <f t="shared" si="13"/>
        <v/>
      </c>
      <c r="J188" s="154">
        <f t="shared" si="14"/>
        <v>-8</v>
      </c>
      <c r="K188" s="154">
        <f t="shared" si="11"/>
        <v>-80</v>
      </c>
      <c r="L188" s="154"/>
      <c r="M188" s="156">
        <f t="shared" si="12"/>
        <v>0</v>
      </c>
    </row>
    <row r="189" spans="1:13" x14ac:dyDescent="0.25">
      <c r="A189" s="170"/>
      <c r="G189" s="140"/>
      <c r="H189" s="154">
        <v>184</v>
      </c>
      <c r="I189" s="155" t="str">
        <f t="shared" si="13"/>
        <v/>
      </c>
      <c r="J189" s="154">
        <f t="shared" si="14"/>
        <v>-8</v>
      </c>
      <c r="K189" s="154">
        <f t="shared" si="11"/>
        <v>-80</v>
      </c>
      <c r="L189" s="154"/>
      <c r="M189" s="156">
        <f t="shared" si="12"/>
        <v>0</v>
      </c>
    </row>
    <row r="190" spans="1:13" x14ac:dyDescent="0.25">
      <c r="A190" s="170"/>
      <c r="G190" s="140"/>
      <c r="H190" s="154">
        <v>185</v>
      </c>
      <c r="I190" s="155" t="str">
        <f t="shared" si="13"/>
        <v/>
      </c>
      <c r="J190" s="154">
        <f t="shared" si="14"/>
        <v>-8</v>
      </c>
      <c r="K190" s="154">
        <f t="shared" si="11"/>
        <v>-80</v>
      </c>
      <c r="L190" s="154"/>
      <c r="M190" s="156">
        <f t="shared" si="12"/>
        <v>0</v>
      </c>
    </row>
    <row r="191" spans="1:13" x14ac:dyDescent="0.25">
      <c r="A191" s="170"/>
      <c r="G191" s="140"/>
      <c r="H191" s="154">
        <v>186</v>
      </c>
      <c r="I191" s="155" t="str">
        <f t="shared" si="13"/>
        <v/>
      </c>
      <c r="J191" s="154">
        <f t="shared" si="14"/>
        <v>-8</v>
      </c>
      <c r="K191" s="154">
        <f t="shared" si="11"/>
        <v>-80</v>
      </c>
      <c r="L191" s="154"/>
      <c r="M191" s="156">
        <f t="shared" si="12"/>
        <v>0</v>
      </c>
    </row>
    <row r="192" spans="1:13" x14ac:dyDescent="0.25">
      <c r="A192" s="170"/>
      <c r="G192" s="140"/>
      <c r="H192" s="154">
        <v>187</v>
      </c>
      <c r="I192" s="155" t="str">
        <f t="shared" si="13"/>
        <v/>
      </c>
      <c r="J192" s="154">
        <f t="shared" si="14"/>
        <v>-8</v>
      </c>
      <c r="K192" s="154">
        <f t="shared" si="11"/>
        <v>-80</v>
      </c>
      <c r="L192" s="154"/>
      <c r="M192" s="156">
        <f t="shared" si="12"/>
        <v>0</v>
      </c>
    </row>
    <row r="193" spans="1:13" x14ac:dyDescent="0.25">
      <c r="A193" s="170"/>
      <c r="G193" s="140"/>
      <c r="H193" s="154">
        <v>188</v>
      </c>
      <c r="I193" s="155" t="str">
        <f t="shared" si="13"/>
        <v/>
      </c>
      <c r="J193" s="154">
        <f t="shared" si="14"/>
        <v>-8</v>
      </c>
      <c r="K193" s="154">
        <f t="shared" si="11"/>
        <v>-80</v>
      </c>
      <c r="L193" s="154"/>
      <c r="M193" s="156">
        <f t="shared" si="12"/>
        <v>0</v>
      </c>
    </row>
    <row r="194" spans="1:13" x14ac:dyDescent="0.25">
      <c r="A194" s="170"/>
      <c r="G194" s="140"/>
      <c r="H194" s="154">
        <v>189</v>
      </c>
      <c r="I194" s="155" t="str">
        <f t="shared" si="13"/>
        <v/>
      </c>
      <c r="J194" s="154">
        <f t="shared" si="14"/>
        <v>-8</v>
      </c>
      <c r="K194" s="154">
        <f t="shared" si="11"/>
        <v>-80</v>
      </c>
      <c r="L194" s="154"/>
      <c r="M194" s="156">
        <f t="shared" si="12"/>
        <v>0</v>
      </c>
    </row>
    <row r="195" spans="1:13" x14ac:dyDescent="0.25">
      <c r="A195" s="170"/>
      <c r="G195" s="140"/>
      <c r="H195" s="154">
        <v>190</v>
      </c>
      <c r="I195" s="155" t="str">
        <f t="shared" si="13"/>
        <v/>
      </c>
      <c r="J195" s="154">
        <f t="shared" si="14"/>
        <v>-8</v>
      </c>
      <c r="K195" s="154">
        <f t="shared" si="11"/>
        <v>-80</v>
      </c>
      <c r="L195" s="154"/>
      <c r="M195" s="156">
        <f t="shared" si="12"/>
        <v>0</v>
      </c>
    </row>
    <row r="196" spans="1:13" x14ac:dyDescent="0.25">
      <c r="A196" s="170"/>
      <c r="G196" s="140"/>
      <c r="H196" s="154">
        <v>191</v>
      </c>
      <c r="I196" s="155" t="str">
        <f t="shared" si="13"/>
        <v/>
      </c>
      <c r="J196" s="154">
        <f t="shared" si="14"/>
        <v>-8</v>
      </c>
      <c r="K196" s="154">
        <f t="shared" si="11"/>
        <v>-80</v>
      </c>
      <c r="L196" s="154"/>
      <c r="M196" s="156">
        <f t="shared" si="12"/>
        <v>0</v>
      </c>
    </row>
    <row r="197" spans="1:13" x14ac:dyDescent="0.25">
      <c r="A197" s="170"/>
      <c r="G197" s="140"/>
      <c r="H197" s="154">
        <v>192</v>
      </c>
      <c r="I197" s="155" t="str">
        <f t="shared" si="13"/>
        <v/>
      </c>
      <c r="J197" s="154">
        <f t="shared" si="14"/>
        <v>-8</v>
      </c>
      <c r="K197" s="154">
        <f t="shared" si="11"/>
        <v>-80</v>
      </c>
      <c r="L197" s="154"/>
      <c r="M197" s="156">
        <f t="shared" si="12"/>
        <v>0</v>
      </c>
    </row>
    <row r="198" spans="1:13" x14ac:dyDescent="0.25">
      <c r="A198" s="170"/>
      <c r="G198" s="140"/>
      <c r="H198" s="154">
        <v>193</v>
      </c>
      <c r="I198" s="155" t="str">
        <f t="shared" si="13"/>
        <v/>
      </c>
      <c r="J198" s="154">
        <f t="shared" si="14"/>
        <v>-8</v>
      </c>
      <c r="K198" s="154">
        <f t="shared" ref="K198:K261" si="15">J198*$J$2</f>
        <v>-80</v>
      </c>
      <c r="L198" s="154"/>
      <c r="M198" s="156">
        <f t="shared" ref="M198:M261" si="16">IF(I198&lt;&gt;"",K198+I198+L198,0)</f>
        <v>0</v>
      </c>
    </row>
    <row r="199" spans="1:13" x14ac:dyDescent="0.25">
      <c r="A199" s="170"/>
      <c r="G199" s="140"/>
      <c r="H199" s="154">
        <v>194</v>
      </c>
      <c r="I199" s="155" t="str">
        <f t="shared" ref="I199:I262" si="17">IF(H199&lt;$H$2+1,($I$2-($I$2-1)*(LOG(H199)/LOG($H$2))),"")</f>
        <v/>
      </c>
      <c r="J199" s="154">
        <f t="shared" ref="J199:J262" si="18">INT(LOG($H$2,2))-ROUNDUP(LOG(H199,2),0)+IF(OR($H$2=1,$H$2=2,$H$2=4,$H$2=8,$H$2=16,$H$2=32,$H$2=64,$H$2=128,$H$2=256),0,1)</f>
        <v>-8</v>
      </c>
      <c r="K199" s="154">
        <f t="shared" si="15"/>
        <v>-80</v>
      </c>
      <c r="L199" s="154"/>
      <c r="M199" s="156">
        <f t="shared" si="16"/>
        <v>0</v>
      </c>
    </row>
    <row r="200" spans="1:13" x14ac:dyDescent="0.25">
      <c r="A200" s="170"/>
      <c r="G200" s="140"/>
      <c r="H200" s="154">
        <v>195</v>
      </c>
      <c r="I200" s="155" t="str">
        <f t="shared" si="17"/>
        <v/>
      </c>
      <c r="J200" s="154">
        <f t="shared" si="18"/>
        <v>-8</v>
      </c>
      <c r="K200" s="154">
        <f t="shared" si="15"/>
        <v>-80</v>
      </c>
      <c r="L200" s="154"/>
      <c r="M200" s="156">
        <f t="shared" si="16"/>
        <v>0</v>
      </c>
    </row>
    <row r="201" spans="1:13" x14ac:dyDescent="0.25">
      <c r="A201" s="170"/>
      <c r="G201" s="140"/>
      <c r="H201" s="154">
        <v>196</v>
      </c>
      <c r="I201" s="155" t="str">
        <f t="shared" si="17"/>
        <v/>
      </c>
      <c r="J201" s="154">
        <f t="shared" si="18"/>
        <v>-8</v>
      </c>
      <c r="K201" s="154">
        <f t="shared" si="15"/>
        <v>-80</v>
      </c>
      <c r="L201" s="154"/>
      <c r="M201" s="156">
        <f t="shared" si="16"/>
        <v>0</v>
      </c>
    </row>
    <row r="202" spans="1:13" x14ac:dyDescent="0.25">
      <c r="A202" s="170"/>
      <c r="G202" s="140"/>
      <c r="H202" s="154">
        <v>197</v>
      </c>
      <c r="I202" s="155" t="str">
        <f t="shared" si="17"/>
        <v/>
      </c>
      <c r="J202" s="154">
        <f t="shared" si="18"/>
        <v>-8</v>
      </c>
      <c r="K202" s="154">
        <f t="shared" si="15"/>
        <v>-80</v>
      </c>
      <c r="L202" s="154"/>
      <c r="M202" s="156">
        <f t="shared" si="16"/>
        <v>0</v>
      </c>
    </row>
    <row r="203" spans="1:13" x14ac:dyDescent="0.25">
      <c r="A203" s="170"/>
      <c r="G203" s="140"/>
      <c r="H203" s="154">
        <v>198</v>
      </c>
      <c r="I203" s="155" t="str">
        <f t="shared" si="17"/>
        <v/>
      </c>
      <c r="J203" s="154">
        <f t="shared" si="18"/>
        <v>-8</v>
      </c>
      <c r="K203" s="154">
        <f t="shared" si="15"/>
        <v>-80</v>
      </c>
      <c r="L203" s="154"/>
      <c r="M203" s="156">
        <f t="shared" si="16"/>
        <v>0</v>
      </c>
    </row>
    <row r="204" spans="1:13" x14ac:dyDescent="0.25">
      <c r="A204" s="170"/>
      <c r="G204" s="140"/>
      <c r="H204" s="154">
        <v>199</v>
      </c>
      <c r="I204" s="155" t="str">
        <f t="shared" si="17"/>
        <v/>
      </c>
      <c r="J204" s="154">
        <f t="shared" si="18"/>
        <v>-8</v>
      </c>
      <c r="K204" s="154">
        <f t="shared" si="15"/>
        <v>-80</v>
      </c>
      <c r="L204" s="154"/>
      <c r="M204" s="156">
        <f t="shared" si="16"/>
        <v>0</v>
      </c>
    </row>
    <row r="205" spans="1:13" x14ac:dyDescent="0.25">
      <c r="A205" s="170"/>
      <c r="G205" s="140"/>
      <c r="H205" s="154">
        <v>200</v>
      </c>
      <c r="I205" s="155" t="str">
        <f t="shared" si="17"/>
        <v/>
      </c>
      <c r="J205" s="154">
        <f t="shared" si="18"/>
        <v>-8</v>
      </c>
      <c r="K205" s="154">
        <f t="shared" si="15"/>
        <v>-80</v>
      </c>
      <c r="L205" s="154"/>
      <c r="M205" s="156">
        <f t="shared" si="16"/>
        <v>0</v>
      </c>
    </row>
    <row r="206" spans="1:13" x14ac:dyDescent="0.25">
      <c r="A206" s="170"/>
      <c r="G206" s="140"/>
      <c r="H206" s="154">
        <v>201</v>
      </c>
      <c r="I206" s="155" t="str">
        <f t="shared" si="17"/>
        <v/>
      </c>
      <c r="J206" s="154">
        <f t="shared" si="18"/>
        <v>-8</v>
      </c>
      <c r="K206" s="154">
        <f t="shared" si="15"/>
        <v>-80</v>
      </c>
      <c r="L206" s="154"/>
      <c r="M206" s="156">
        <f t="shared" si="16"/>
        <v>0</v>
      </c>
    </row>
    <row r="207" spans="1:13" x14ac:dyDescent="0.25">
      <c r="A207" s="170"/>
      <c r="G207" s="140"/>
      <c r="H207" s="154">
        <v>202</v>
      </c>
      <c r="I207" s="155" t="str">
        <f t="shared" si="17"/>
        <v/>
      </c>
      <c r="J207" s="154">
        <f t="shared" si="18"/>
        <v>-8</v>
      </c>
      <c r="K207" s="154">
        <f t="shared" si="15"/>
        <v>-80</v>
      </c>
      <c r="L207" s="154"/>
      <c r="M207" s="156">
        <f t="shared" si="16"/>
        <v>0</v>
      </c>
    </row>
    <row r="208" spans="1:13" x14ac:dyDescent="0.25">
      <c r="A208" s="170"/>
      <c r="G208" s="140"/>
      <c r="H208" s="154">
        <v>203</v>
      </c>
      <c r="I208" s="155" t="str">
        <f t="shared" si="17"/>
        <v/>
      </c>
      <c r="J208" s="154">
        <f t="shared" si="18"/>
        <v>-8</v>
      </c>
      <c r="K208" s="154">
        <f t="shared" si="15"/>
        <v>-80</v>
      </c>
      <c r="L208" s="154"/>
      <c r="M208" s="156">
        <f t="shared" si="16"/>
        <v>0</v>
      </c>
    </row>
    <row r="209" spans="1:13" x14ac:dyDescent="0.25">
      <c r="A209" s="170"/>
      <c r="G209" s="140"/>
      <c r="H209" s="154">
        <v>204</v>
      </c>
      <c r="I209" s="155" t="str">
        <f t="shared" si="17"/>
        <v/>
      </c>
      <c r="J209" s="154">
        <f t="shared" si="18"/>
        <v>-8</v>
      </c>
      <c r="K209" s="154">
        <f t="shared" si="15"/>
        <v>-80</v>
      </c>
      <c r="L209" s="154"/>
      <c r="M209" s="156">
        <f t="shared" si="16"/>
        <v>0</v>
      </c>
    </row>
    <row r="210" spans="1:13" x14ac:dyDescent="0.25">
      <c r="A210" s="170"/>
      <c r="G210" s="140"/>
      <c r="H210" s="154">
        <v>205</v>
      </c>
      <c r="I210" s="155" t="str">
        <f t="shared" si="17"/>
        <v/>
      </c>
      <c r="J210" s="154">
        <f t="shared" si="18"/>
        <v>-8</v>
      </c>
      <c r="K210" s="154">
        <f t="shared" si="15"/>
        <v>-80</v>
      </c>
      <c r="L210" s="154"/>
      <c r="M210" s="156">
        <f t="shared" si="16"/>
        <v>0</v>
      </c>
    </row>
    <row r="211" spans="1:13" x14ac:dyDescent="0.25">
      <c r="A211" s="170"/>
      <c r="G211" s="140"/>
      <c r="H211" s="154">
        <v>206</v>
      </c>
      <c r="I211" s="155" t="str">
        <f t="shared" si="17"/>
        <v/>
      </c>
      <c r="J211" s="154">
        <f t="shared" si="18"/>
        <v>-8</v>
      </c>
      <c r="K211" s="154">
        <f t="shared" si="15"/>
        <v>-80</v>
      </c>
      <c r="L211" s="154"/>
      <c r="M211" s="156">
        <f t="shared" si="16"/>
        <v>0</v>
      </c>
    </row>
    <row r="212" spans="1:13" x14ac:dyDescent="0.25">
      <c r="A212" s="170"/>
      <c r="G212" s="140"/>
      <c r="H212" s="154">
        <v>207</v>
      </c>
      <c r="I212" s="155" t="str">
        <f t="shared" si="17"/>
        <v/>
      </c>
      <c r="J212" s="154">
        <f t="shared" si="18"/>
        <v>-8</v>
      </c>
      <c r="K212" s="154">
        <f t="shared" si="15"/>
        <v>-80</v>
      </c>
      <c r="L212" s="154"/>
      <c r="M212" s="156">
        <f t="shared" si="16"/>
        <v>0</v>
      </c>
    </row>
    <row r="213" spans="1:13" x14ac:dyDescent="0.25">
      <c r="A213" s="170"/>
      <c r="G213" s="140"/>
      <c r="H213" s="154">
        <v>208</v>
      </c>
      <c r="I213" s="155" t="str">
        <f t="shared" si="17"/>
        <v/>
      </c>
      <c r="J213" s="154">
        <f t="shared" si="18"/>
        <v>-8</v>
      </c>
      <c r="K213" s="154">
        <f t="shared" si="15"/>
        <v>-80</v>
      </c>
      <c r="L213" s="154"/>
      <c r="M213" s="156">
        <f t="shared" si="16"/>
        <v>0</v>
      </c>
    </row>
    <row r="214" spans="1:13" x14ac:dyDescent="0.25">
      <c r="A214" s="170"/>
      <c r="G214" s="140"/>
      <c r="H214" s="154">
        <v>209</v>
      </c>
      <c r="I214" s="155" t="str">
        <f t="shared" si="17"/>
        <v/>
      </c>
      <c r="J214" s="154">
        <f t="shared" si="18"/>
        <v>-8</v>
      </c>
      <c r="K214" s="154">
        <f t="shared" si="15"/>
        <v>-80</v>
      </c>
      <c r="L214" s="154"/>
      <c r="M214" s="156">
        <f t="shared" si="16"/>
        <v>0</v>
      </c>
    </row>
    <row r="215" spans="1:13" x14ac:dyDescent="0.25">
      <c r="A215" s="170"/>
      <c r="G215" s="140"/>
      <c r="H215" s="154">
        <v>210</v>
      </c>
      <c r="I215" s="155" t="str">
        <f t="shared" si="17"/>
        <v/>
      </c>
      <c r="J215" s="154">
        <f t="shared" si="18"/>
        <v>-8</v>
      </c>
      <c r="K215" s="154">
        <f t="shared" si="15"/>
        <v>-80</v>
      </c>
      <c r="L215" s="154"/>
      <c r="M215" s="156">
        <f t="shared" si="16"/>
        <v>0</v>
      </c>
    </row>
    <row r="216" spans="1:13" x14ac:dyDescent="0.25">
      <c r="A216" s="170"/>
      <c r="G216" s="140"/>
      <c r="H216" s="154">
        <v>211</v>
      </c>
      <c r="I216" s="155" t="str">
        <f t="shared" si="17"/>
        <v/>
      </c>
      <c r="J216" s="154">
        <f t="shared" si="18"/>
        <v>-8</v>
      </c>
      <c r="K216" s="154">
        <f t="shared" si="15"/>
        <v>-80</v>
      </c>
      <c r="L216" s="154"/>
      <c r="M216" s="156">
        <f t="shared" si="16"/>
        <v>0</v>
      </c>
    </row>
    <row r="217" spans="1:13" x14ac:dyDescent="0.25">
      <c r="A217" s="170"/>
      <c r="G217" s="140"/>
      <c r="H217" s="154">
        <v>212</v>
      </c>
      <c r="I217" s="155" t="str">
        <f t="shared" si="17"/>
        <v/>
      </c>
      <c r="J217" s="154">
        <f t="shared" si="18"/>
        <v>-8</v>
      </c>
      <c r="K217" s="154">
        <f t="shared" si="15"/>
        <v>-80</v>
      </c>
      <c r="L217" s="154"/>
      <c r="M217" s="156">
        <f t="shared" si="16"/>
        <v>0</v>
      </c>
    </row>
    <row r="218" spans="1:13" x14ac:dyDescent="0.25">
      <c r="A218" s="170"/>
      <c r="G218" s="140"/>
      <c r="H218" s="154">
        <v>213</v>
      </c>
      <c r="I218" s="155" t="str">
        <f t="shared" si="17"/>
        <v/>
      </c>
      <c r="J218" s="154">
        <f t="shared" si="18"/>
        <v>-8</v>
      </c>
      <c r="K218" s="154">
        <f t="shared" si="15"/>
        <v>-80</v>
      </c>
      <c r="L218" s="154"/>
      <c r="M218" s="156">
        <f t="shared" si="16"/>
        <v>0</v>
      </c>
    </row>
    <row r="219" spans="1:13" x14ac:dyDescent="0.25">
      <c r="A219" s="170"/>
      <c r="G219" s="140"/>
      <c r="H219" s="154">
        <v>214</v>
      </c>
      <c r="I219" s="155" t="str">
        <f t="shared" si="17"/>
        <v/>
      </c>
      <c r="J219" s="154">
        <f t="shared" si="18"/>
        <v>-8</v>
      </c>
      <c r="K219" s="154">
        <f t="shared" si="15"/>
        <v>-80</v>
      </c>
      <c r="L219" s="154"/>
      <c r="M219" s="156">
        <f t="shared" si="16"/>
        <v>0</v>
      </c>
    </row>
    <row r="220" spans="1:13" x14ac:dyDescent="0.25">
      <c r="A220" s="170"/>
      <c r="G220" s="140"/>
      <c r="H220" s="154">
        <v>215</v>
      </c>
      <c r="I220" s="155" t="str">
        <f t="shared" si="17"/>
        <v/>
      </c>
      <c r="J220" s="154">
        <f t="shared" si="18"/>
        <v>-8</v>
      </c>
      <c r="K220" s="154">
        <f t="shared" si="15"/>
        <v>-80</v>
      </c>
      <c r="L220" s="154"/>
      <c r="M220" s="156">
        <f t="shared" si="16"/>
        <v>0</v>
      </c>
    </row>
    <row r="221" spans="1:13" x14ac:dyDescent="0.25">
      <c r="A221" s="170"/>
      <c r="G221" s="140"/>
      <c r="H221" s="154">
        <v>216</v>
      </c>
      <c r="I221" s="155" t="str">
        <f t="shared" si="17"/>
        <v/>
      </c>
      <c r="J221" s="154">
        <f t="shared" si="18"/>
        <v>-8</v>
      </c>
      <c r="K221" s="154">
        <f t="shared" si="15"/>
        <v>-80</v>
      </c>
      <c r="L221" s="154"/>
      <c r="M221" s="156">
        <f t="shared" si="16"/>
        <v>0</v>
      </c>
    </row>
    <row r="222" spans="1:13" x14ac:dyDescent="0.25">
      <c r="A222" s="170"/>
      <c r="G222" s="140"/>
      <c r="H222" s="154">
        <v>217</v>
      </c>
      <c r="I222" s="155" t="str">
        <f t="shared" si="17"/>
        <v/>
      </c>
      <c r="J222" s="154">
        <f t="shared" si="18"/>
        <v>-8</v>
      </c>
      <c r="K222" s="154">
        <f t="shared" si="15"/>
        <v>-80</v>
      </c>
      <c r="L222" s="154"/>
      <c r="M222" s="156">
        <f t="shared" si="16"/>
        <v>0</v>
      </c>
    </row>
    <row r="223" spans="1:13" x14ac:dyDescent="0.25">
      <c r="A223" s="170"/>
      <c r="G223" s="140"/>
      <c r="H223" s="154">
        <v>218</v>
      </c>
      <c r="I223" s="155" t="str">
        <f t="shared" si="17"/>
        <v/>
      </c>
      <c r="J223" s="154">
        <f t="shared" si="18"/>
        <v>-8</v>
      </c>
      <c r="K223" s="154">
        <f t="shared" si="15"/>
        <v>-80</v>
      </c>
      <c r="L223" s="154"/>
      <c r="M223" s="156">
        <f t="shared" si="16"/>
        <v>0</v>
      </c>
    </row>
    <row r="224" spans="1:13" x14ac:dyDescent="0.25">
      <c r="A224" s="170"/>
      <c r="G224" s="140"/>
      <c r="H224" s="154">
        <v>219</v>
      </c>
      <c r="I224" s="155" t="str">
        <f t="shared" si="17"/>
        <v/>
      </c>
      <c r="J224" s="154">
        <f t="shared" si="18"/>
        <v>-8</v>
      </c>
      <c r="K224" s="154">
        <f t="shared" si="15"/>
        <v>-80</v>
      </c>
      <c r="L224" s="154"/>
      <c r="M224" s="156">
        <f t="shared" si="16"/>
        <v>0</v>
      </c>
    </row>
    <row r="225" spans="1:13" x14ac:dyDescent="0.25">
      <c r="A225" s="170"/>
      <c r="G225" s="140"/>
      <c r="H225" s="154">
        <v>220</v>
      </c>
      <c r="I225" s="155" t="str">
        <f t="shared" si="17"/>
        <v/>
      </c>
      <c r="J225" s="154">
        <f t="shared" si="18"/>
        <v>-8</v>
      </c>
      <c r="K225" s="154">
        <f t="shared" si="15"/>
        <v>-80</v>
      </c>
      <c r="L225" s="154"/>
      <c r="M225" s="156">
        <f t="shared" si="16"/>
        <v>0</v>
      </c>
    </row>
    <row r="226" spans="1:13" x14ac:dyDescent="0.25">
      <c r="A226" s="170"/>
      <c r="G226" s="140"/>
      <c r="H226" s="154">
        <v>221</v>
      </c>
      <c r="I226" s="155" t="str">
        <f t="shared" si="17"/>
        <v/>
      </c>
      <c r="J226" s="154">
        <f t="shared" si="18"/>
        <v>-8</v>
      </c>
      <c r="K226" s="154">
        <f t="shared" si="15"/>
        <v>-80</v>
      </c>
      <c r="L226" s="154"/>
      <c r="M226" s="156">
        <f t="shared" si="16"/>
        <v>0</v>
      </c>
    </row>
    <row r="227" spans="1:13" x14ac:dyDescent="0.25">
      <c r="A227" s="170"/>
      <c r="G227" s="140"/>
      <c r="H227" s="154">
        <v>222</v>
      </c>
      <c r="I227" s="155" t="str">
        <f t="shared" si="17"/>
        <v/>
      </c>
      <c r="J227" s="154">
        <f t="shared" si="18"/>
        <v>-8</v>
      </c>
      <c r="K227" s="154">
        <f t="shared" si="15"/>
        <v>-80</v>
      </c>
      <c r="L227" s="154"/>
      <c r="M227" s="156">
        <f t="shared" si="16"/>
        <v>0</v>
      </c>
    </row>
    <row r="228" spans="1:13" x14ac:dyDescent="0.25">
      <c r="A228" s="170"/>
      <c r="G228" s="140"/>
      <c r="H228" s="154">
        <v>223</v>
      </c>
      <c r="I228" s="155" t="str">
        <f t="shared" si="17"/>
        <v/>
      </c>
      <c r="J228" s="154">
        <f t="shared" si="18"/>
        <v>-8</v>
      </c>
      <c r="K228" s="154">
        <f t="shared" si="15"/>
        <v>-80</v>
      </c>
      <c r="L228" s="154"/>
      <c r="M228" s="156">
        <f t="shared" si="16"/>
        <v>0</v>
      </c>
    </row>
    <row r="229" spans="1:13" x14ac:dyDescent="0.25">
      <c r="A229" s="170"/>
      <c r="G229" s="140"/>
      <c r="H229" s="154">
        <v>224</v>
      </c>
      <c r="I229" s="155" t="str">
        <f t="shared" si="17"/>
        <v/>
      </c>
      <c r="J229" s="154">
        <f t="shared" si="18"/>
        <v>-8</v>
      </c>
      <c r="K229" s="154">
        <f t="shared" si="15"/>
        <v>-80</v>
      </c>
      <c r="L229" s="154"/>
      <c r="M229" s="156">
        <f t="shared" si="16"/>
        <v>0</v>
      </c>
    </row>
    <row r="230" spans="1:13" x14ac:dyDescent="0.25">
      <c r="A230" s="170"/>
      <c r="G230" s="140"/>
      <c r="H230" s="154">
        <v>225</v>
      </c>
      <c r="I230" s="155" t="str">
        <f t="shared" si="17"/>
        <v/>
      </c>
      <c r="J230" s="154">
        <f t="shared" si="18"/>
        <v>-8</v>
      </c>
      <c r="K230" s="154">
        <f t="shared" si="15"/>
        <v>-80</v>
      </c>
      <c r="L230" s="154"/>
      <c r="M230" s="156">
        <f t="shared" si="16"/>
        <v>0</v>
      </c>
    </row>
    <row r="231" spans="1:13" x14ac:dyDescent="0.25">
      <c r="A231" s="170"/>
      <c r="G231" s="140"/>
      <c r="H231" s="154">
        <v>226</v>
      </c>
      <c r="I231" s="155" t="str">
        <f t="shared" si="17"/>
        <v/>
      </c>
      <c r="J231" s="154">
        <f t="shared" si="18"/>
        <v>-8</v>
      </c>
      <c r="K231" s="154">
        <f t="shared" si="15"/>
        <v>-80</v>
      </c>
      <c r="L231" s="154"/>
      <c r="M231" s="156">
        <f t="shared" si="16"/>
        <v>0</v>
      </c>
    </row>
    <row r="232" spans="1:13" x14ac:dyDescent="0.25">
      <c r="A232" s="170"/>
      <c r="G232" s="140"/>
      <c r="H232" s="154">
        <v>227</v>
      </c>
      <c r="I232" s="155" t="str">
        <f t="shared" si="17"/>
        <v/>
      </c>
      <c r="J232" s="154">
        <f t="shared" si="18"/>
        <v>-8</v>
      </c>
      <c r="K232" s="154">
        <f t="shared" si="15"/>
        <v>-80</v>
      </c>
      <c r="L232" s="154"/>
      <c r="M232" s="156">
        <f t="shared" si="16"/>
        <v>0</v>
      </c>
    </row>
    <row r="233" spans="1:13" x14ac:dyDescent="0.25">
      <c r="A233" s="170"/>
      <c r="G233" s="140"/>
      <c r="H233" s="154">
        <v>228</v>
      </c>
      <c r="I233" s="155" t="str">
        <f t="shared" si="17"/>
        <v/>
      </c>
      <c r="J233" s="154">
        <f t="shared" si="18"/>
        <v>-8</v>
      </c>
      <c r="K233" s="154">
        <f t="shared" si="15"/>
        <v>-80</v>
      </c>
      <c r="L233" s="154"/>
      <c r="M233" s="156">
        <f t="shared" si="16"/>
        <v>0</v>
      </c>
    </row>
    <row r="234" spans="1:13" x14ac:dyDescent="0.25">
      <c r="A234" s="170"/>
      <c r="G234" s="140"/>
      <c r="H234" s="154">
        <v>229</v>
      </c>
      <c r="I234" s="155" t="str">
        <f t="shared" si="17"/>
        <v/>
      </c>
      <c r="J234" s="154">
        <f t="shared" si="18"/>
        <v>-8</v>
      </c>
      <c r="K234" s="154">
        <f t="shared" si="15"/>
        <v>-80</v>
      </c>
      <c r="L234" s="154"/>
      <c r="M234" s="156">
        <f t="shared" si="16"/>
        <v>0</v>
      </c>
    </row>
    <row r="235" spans="1:13" x14ac:dyDescent="0.25">
      <c r="A235" s="170"/>
      <c r="G235" s="140"/>
      <c r="H235" s="154">
        <v>230</v>
      </c>
      <c r="I235" s="155" t="str">
        <f t="shared" si="17"/>
        <v/>
      </c>
      <c r="J235" s="154">
        <f t="shared" si="18"/>
        <v>-8</v>
      </c>
      <c r="K235" s="154">
        <f t="shared" si="15"/>
        <v>-80</v>
      </c>
      <c r="L235" s="154"/>
      <c r="M235" s="156">
        <f t="shared" si="16"/>
        <v>0</v>
      </c>
    </row>
    <row r="236" spans="1:13" x14ac:dyDescent="0.25">
      <c r="A236" s="170"/>
      <c r="G236" s="140"/>
      <c r="H236" s="154">
        <v>231</v>
      </c>
      <c r="I236" s="155" t="str">
        <f t="shared" si="17"/>
        <v/>
      </c>
      <c r="J236" s="154">
        <f t="shared" si="18"/>
        <v>-8</v>
      </c>
      <c r="K236" s="154">
        <f t="shared" si="15"/>
        <v>-80</v>
      </c>
      <c r="L236" s="154"/>
      <c r="M236" s="156">
        <f t="shared" si="16"/>
        <v>0</v>
      </c>
    </row>
    <row r="237" spans="1:13" x14ac:dyDescent="0.25">
      <c r="A237" s="170"/>
      <c r="G237" s="140"/>
      <c r="H237" s="154">
        <v>232</v>
      </c>
      <c r="I237" s="155" t="str">
        <f t="shared" si="17"/>
        <v/>
      </c>
      <c r="J237" s="154">
        <f t="shared" si="18"/>
        <v>-8</v>
      </c>
      <c r="K237" s="154">
        <f t="shared" si="15"/>
        <v>-80</v>
      </c>
      <c r="L237" s="154"/>
      <c r="M237" s="156">
        <f t="shared" si="16"/>
        <v>0</v>
      </c>
    </row>
    <row r="238" spans="1:13" x14ac:dyDescent="0.25">
      <c r="A238" s="170"/>
      <c r="G238" s="140"/>
      <c r="H238" s="154">
        <v>233</v>
      </c>
      <c r="I238" s="155" t="str">
        <f t="shared" si="17"/>
        <v/>
      </c>
      <c r="J238" s="154">
        <f t="shared" si="18"/>
        <v>-8</v>
      </c>
      <c r="K238" s="154">
        <f t="shared" si="15"/>
        <v>-80</v>
      </c>
      <c r="L238" s="154"/>
      <c r="M238" s="156">
        <f t="shared" si="16"/>
        <v>0</v>
      </c>
    </row>
    <row r="239" spans="1:13" x14ac:dyDescent="0.25">
      <c r="A239" s="170"/>
      <c r="G239" s="140"/>
      <c r="H239" s="154">
        <v>234</v>
      </c>
      <c r="I239" s="155" t="str">
        <f t="shared" si="17"/>
        <v/>
      </c>
      <c r="J239" s="154">
        <f t="shared" si="18"/>
        <v>-8</v>
      </c>
      <c r="K239" s="154">
        <f t="shared" si="15"/>
        <v>-80</v>
      </c>
      <c r="L239" s="154"/>
      <c r="M239" s="156">
        <f t="shared" si="16"/>
        <v>0</v>
      </c>
    </row>
    <row r="240" spans="1:13" x14ac:dyDescent="0.25">
      <c r="A240" s="170"/>
      <c r="G240" s="140"/>
      <c r="H240" s="154">
        <v>235</v>
      </c>
      <c r="I240" s="155" t="str">
        <f t="shared" si="17"/>
        <v/>
      </c>
      <c r="J240" s="154">
        <f t="shared" si="18"/>
        <v>-8</v>
      </c>
      <c r="K240" s="154">
        <f t="shared" si="15"/>
        <v>-80</v>
      </c>
      <c r="L240" s="154"/>
      <c r="M240" s="156">
        <f t="shared" si="16"/>
        <v>0</v>
      </c>
    </row>
    <row r="241" spans="1:13" x14ac:dyDescent="0.25">
      <c r="A241" s="170"/>
      <c r="G241" s="140"/>
      <c r="H241" s="154">
        <v>236</v>
      </c>
      <c r="I241" s="155" t="str">
        <f t="shared" si="17"/>
        <v/>
      </c>
      <c r="J241" s="154">
        <f t="shared" si="18"/>
        <v>-8</v>
      </c>
      <c r="K241" s="154">
        <f t="shared" si="15"/>
        <v>-80</v>
      </c>
      <c r="L241" s="154"/>
      <c r="M241" s="156">
        <f t="shared" si="16"/>
        <v>0</v>
      </c>
    </row>
    <row r="242" spans="1:13" x14ac:dyDescent="0.25">
      <c r="A242" s="170"/>
      <c r="G242" s="140"/>
      <c r="H242" s="154">
        <v>237</v>
      </c>
      <c r="I242" s="155" t="str">
        <f t="shared" si="17"/>
        <v/>
      </c>
      <c r="J242" s="154">
        <f t="shared" si="18"/>
        <v>-8</v>
      </c>
      <c r="K242" s="154">
        <f t="shared" si="15"/>
        <v>-80</v>
      </c>
      <c r="L242" s="154"/>
      <c r="M242" s="156">
        <f t="shared" si="16"/>
        <v>0</v>
      </c>
    </row>
    <row r="243" spans="1:13" x14ac:dyDescent="0.25">
      <c r="A243" s="170"/>
      <c r="G243" s="140"/>
      <c r="H243" s="154">
        <v>238</v>
      </c>
      <c r="I243" s="155" t="str">
        <f t="shared" si="17"/>
        <v/>
      </c>
      <c r="J243" s="154">
        <f t="shared" si="18"/>
        <v>-8</v>
      </c>
      <c r="K243" s="154">
        <f t="shared" si="15"/>
        <v>-80</v>
      </c>
      <c r="L243" s="154"/>
      <c r="M243" s="156">
        <f t="shared" si="16"/>
        <v>0</v>
      </c>
    </row>
    <row r="244" spans="1:13" x14ac:dyDescent="0.25">
      <c r="A244" s="170"/>
      <c r="G244" s="140"/>
      <c r="H244" s="154">
        <v>239</v>
      </c>
      <c r="I244" s="155" t="str">
        <f t="shared" si="17"/>
        <v/>
      </c>
      <c r="J244" s="154">
        <f t="shared" si="18"/>
        <v>-8</v>
      </c>
      <c r="K244" s="154">
        <f t="shared" si="15"/>
        <v>-80</v>
      </c>
      <c r="L244" s="154"/>
      <c r="M244" s="156">
        <f t="shared" si="16"/>
        <v>0</v>
      </c>
    </row>
    <row r="245" spans="1:13" x14ac:dyDescent="0.25">
      <c r="A245" s="170"/>
      <c r="G245" s="140"/>
      <c r="H245" s="154">
        <v>240</v>
      </c>
      <c r="I245" s="155" t="str">
        <f t="shared" si="17"/>
        <v/>
      </c>
      <c r="J245" s="154">
        <f t="shared" si="18"/>
        <v>-8</v>
      </c>
      <c r="K245" s="154">
        <f t="shared" si="15"/>
        <v>-80</v>
      </c>
      <c r="L245" s="154"/>
      <c r="M245" s="156">
        <f t="shared" si="16"/>
        <v>0</v>
      </c>
    </row>
    <row r="246" spans="1:13" x14ac:dyDescent="0.25">
      <c r="A246" s="170"/>
      <c r="G246" s="140"/>
      <c r="H246" s="154">
        <v>241</v>
      </c>
      <c r="I246" s="155" t="str">
        <f t="shared" si="17"/>
        <v/>
      </c>
      <c r="J246" s="154">
        <f t="shared" si="18"/>
        <v>-8</v>
      </c>
      <c r="K246" s="154">
        <f t="shared" si="15"/>
        <v>-80</v>
      </c>
      <c r="L246" s="154"/>
      <c r="M246" s="156">
        <f t="shared" si="16"/>
        <v>0</v>
      </c>
    </row>
    <row r="247" spans="1:13" x14ac:dyDescent="0.25">
      <c r="A247" s="170"/>
      <c r="G247" s="140"/>
      <c r="H247" s="154">
        <v>242</v>
      </c>
      <c r="I247" s="155" t="str">
        <f t="shared" si="17"/>
        <v/>
      </c>
      <c r="J247" s="154">
        <f t="shared" si="18"/>
        <v>-8</v>
      </c>
      <c r="K247" s="154">
        <f t="shared" si="15"/>
        <v>-80</v>
      </c>
      <c r="L247" s="154"/>
      <c r="M247" s="156">
        <f t="shared" si="16"/>
        <v>0</v>
      </c>
    </row>
    <row r="248" spans="1:13" x14ac:dyDescent="0.25">
      <c r="A248" s="170"/>
      <c r="G248" s="140"/>
      <c r="H248" s="154">
        <v>243</v>
      </c>
      <c r="I248" s="155" t="str">
        <f t="shared" si="17"/>
        <v/>
      </c>
      <c r="J248" s="154">
        <f t="shared" si="18"/>
        <v>-8</v>
      </c>
      <c r="K248" s="154">
        <f t="shared" si="15"/>
        <v>-80</v>
      </c>
      <c r="L248" s="154"/>
      <c r="M248" s="156">
        <f t="shared" si="16"/>
        <v>0</v>
      </c>
    </row>
    <row r="249" spans="1:13" x14ac:dyDescent="0.25">
      <c r="A249" s="170"/>
      <c r="G249" s="140"/>
      <c r="H249" s="154">
        <v>244</v>
      </c>
      <c r="I249" s="155" t="str">
        <f t="shared" si="17"/>
        <v/>
      </c>
      <c r="J249" s="154">
        <f t="shared" si="18"/>
        <v>-8</v>
      </c>
      <c r="K249" s="154">
        <f t="shared" si="15"/>
        <v>-80</v>
      </c>
      <c r="L249" s="154"/>
      <c r="M249" s="156">
        <f t="shared" si="16"/>
        <v>0</v>
      </c>
    </row>
    <row r="250" spans="1:13" x14ac:dyDescent="0.25">
      <c r="A250" s="170"/>
      <c r="G250" s="140"/>
      <c r="H250" s="154">
        <v>245</v>
      </c>
      <c r="I250" s="155" t="str">
        <f t="shared" si="17"/>
        <v/>
      </c>
      <c r="J250" s="154">
        <f t="shared" si="18"/>
        <v>-8</v>
      </c>
      <c r="K250" s="154">
        <f t="shared" si="15"/>
        <v>-80</v>
      </c>
      <c r="L250" s="154"/>
      <c r="M250" s="156">
        <f t="shared" si="16"/>
        <v>0</v>
      </c>
    </row>
    <row r="251" spans="1:13" x14ac:dyDescent="0.25">
      <c r="A251" s="170"/>
      <c r="G251" s="140"/>
      <c r="H251" s="154">
        <v>246</v>
      </c>
      <c r="I251" s="155" t="str">
        <f t="shared" si="17"/>
        <v/>
      </c>
      <c r="J251" s="154">
        <f t="shared" si="18"/>
        <v>-8</v>
      </c>
      <c r="K251" s="154">
        <f t="shared" si="15"/>
        <v>-80</v>
      </c>
      <c r="L251" s="154"/>
      <c r="M251" s="156">
        <f t="shared" si="16"/>
        <v>0</v>
      </c>
    </row>
    <row r="252" spans="1:13" x14ac:dyDescent="0.25">
      <c r="A252" s="170"/>
      <c r="G252" s="140"/>
      <c r="H252" s="154">
        <v>247</v>
      </c>
      <c r="I252" s="155" t="str">
        <f t="shared" si="17"/>
        <v/>
      </c>
      <c r="J252" s="154">
        <f t="shared" si="18"/>
        <v>-8</v>
      </c>
      <c r="K252" s="154">
        <f t="shared" si="15"/>
        <v>-80</v>
      </c>
      <c r="L252" s="154"/>
      <c r="M252" s="156">
        <f t="shared" si="16"/>
        <v>0</v>
      </c>
    </row>
    <row r="253" spans="1:13" x14ac:dyDescent="0.25">
      <c r="A253" s="170"/>
      <c r="G253" s="140"/>
      <c r="H253" s="154">
        <v>248</v>
      </c>
      <c r="I253" s="155" t="str">
        <f t="shared" si="17"/>
        <v/>
      </c>
      <c r="J253" s="154">
        <f t="shared" si="18"/>
        <v>-8</v>
      </c>
      <c r="K253" s="154">
        <f t="shared" si="15"/>
        <v>-80</v>
      </c>
      <c r="L253" s="154"/>
      <c r="M253" s="156">
        <f t="shared" si="16"/>
        <v>0</v>
      </c>
    </row>
    <row r="254" spans="1:13" x14ac:dyDescent="0.25">
      <c r="A254" s="170"/>
      <c r="G254" s="140"/>
      <c r="H254" s="154">
        <v>249</v>
      </c>
      <c r="I254" s="155" t="str">
        <f t="shared" si="17"/>
        <v/>
      </c>
      <c r="J254" s="154">
        <f t="shared" si="18"/>
        <v>-8</v>
      </c>
      <c r="K254" s="154">
        <f t="shared" si="15"/>
        <v>-80</v>
      </c>
      <c r="L254" s="154"/>
      <c r="M254" s="156">
        <f t="shared" si="16"/>
        <v>0</v>
      </c>
    </row>
    <row r="255" spans="1:13" x14ac:dyDescent="0.25">
      <c r="A255" s="170"/>
      <c r="G255" s="140"/>
      <c r="H255" s="154">
        <v>250</v>
      </c>
      <c r="I255" s="155" t="str">
        <f t="shared" si="17"/>
        <v/>
      </c>
      <c r="J255" s="154">
        <f t="shared" si="18"/>
        <v>-8</v>
      </c>
      <c r="K255" s="154">
        <f t="shared" si="15"/>
        <v>-80</v>
      </c>
      <c r="L255" s="154"/>
      <c r="M255" s="156">
        <f t="shared" si="16"/>
        <v>0</v>
      </c>
    </row>
    <row r="256" spans="1:13" x14ac:dyDescent="0.25">
      <c r="A256" s="170"/>
      <c r="G256" s="140"/>
      <c r="H256" s="154">
        <v>251</v>
      </c>
      <c r="I256" s="155" t="str">
        <f t="shared" si="17"/>
        <v/>
      </c>
      <c r="J256" s="154">
        <f t="shared" si="18"/>
        <v>-8</v>
      </c>
      <c r="K256" s="154">
        <f t="shared" si="15"/>
        <v>-80</v>
      </c>
      <c r="L256" s="154"/>
      <c r="M256" s="156">
        <f t="shared" si="16"/>
        <v>0</v>
      </c>
    </row>
    <row r="257" spans="1:13" x14ac:dyDescent="0.25">
      <c r="A257" s="170"/>
      <c r="G257" s="140"/>
      <c r="H257" s="154">
        <v>252</v>
      </c>
      <c r="I257" s="155" t="str">
        <f t="shared" si="17"/>
        <v/>
      </c>
      <c r="J257" s="154">
        <f t="shared" si="18"/>
        <v>-8</v>
      </c>
      <c r="K257" s="154">
        <f t="shared" si="15"/>
        <v>-80</v>
      </c>
      <c r="L257" s="154"/>
      <c r="M257" s="156">
        <f t="shared" si="16"/>
        <v>0</v>
      </c>
    </row>
    <row r="258" spans="1:13" x14ac:dyDescent="0.25">
      <c r="A258" s="170"/>
      <c r="G258" s="140"/>
      <c r="H258" s="154">
        <v>253</v>
      </c>
      <c r="I258" s="155" t="str">
        <f t="shared" si="17"/>
        <v/>
      </c>
      <c r="J258" s="154">
        <f t="shared" si="18"/>
        <v>-8</v>
      </c>
      <c r="K258" s="154">
        <f t="shared" si="15"/>
        <v>-80</v>
      </c>
      <c r="L258" s="154"/>
      <c r="M258" s="156">
        <f t="shared" si="16"/>
        <v>0</v>
      </c>
    </row>
    <row r="259" spans="1:13" x14ac:dyDescent="0.25">
      <c r="A259" s="170"/>
      <c r="G259" s="140"/>
      <c r="H259" s="154">
        <v>254</v>
      </c>
      <c r="I259" s="155" t="str">
        <f t="shared" si="17"/>
        <v/>
      </c>
      <c r="J259" s="154">
        <f t="shared" si="18"/>
        <v>-8</v>
      </c>
      <c r="K259" s="154">
        <f t="shared" si="15"/>
        <v>-80</v>
      </c>
      <c r="L259" s="154"/>
      <c r="M259" s="156">
        <f t="shared" si="16"/>
        <v>0</v>
      </c>
    </row>
    <row r="260" spans="1:13" x14ac:dyDescent="0.25">
      <c r="A260" s="170"/>
      <c r="G260" s="140"/>
      <c r="H260" s="154">
        <v>255</v>
      </c>
      <c r="I260" s="155" t="str">
        <f t="shared" si="17"/>
        <v/>
      </c>
      <c r="J260" s="154">
        <f t="shared" si="18"/>
        <v>-8</v>
      </c>
      <c r="K260" s="154">
        <f t="shared" si="15"/>
        <v>-80</v>
      </c>
      <c r="L260" s="154"/>
      <c r="M260" s="156">
        <f t="shared" si="16"/>
        <v>0</v>
      </c>
    </row>
    <row r="261" spans="1:13" x14ac:dyDescent="0.25">
      <c r="A261" s="170"/>
      <c r="G261" s="140"/>
      <c r="H261" s="154">
        <v>256</v>
      </c>
      <c r="I261" s="155" t="str">
        <f t="shared" si="17"/>
        <v/>
      </c>
      <c r="J261" s="154">
        <f t="shared" si="18"/>
        <v>-8</v>
      </c>
      <c r="K261" s="154">
        <f t="shared" si="15"/>
        <v>-80</v>
      </c>
      <c r="L261" s="154"/>
      <c r="M261" s="156">
        <f t="shared" si="16"/>
        <v>0</v>
      </c>
    </row>
    <row r="262" spans="1:13" x14ac:dyDescent="0.25">
      <c r="A262" s="170"/>
      <c r="G262" s="140"/>
      <c r="H262" s="154">
        <v>257</v>
      </c>
      <c r="I262" s="155" t="str">
        <f t="shared" si="17"/>
        <v/>
      </c>
      <c r="J262" s="154">
        <f t="shared" si="18"/>
        <v>-9</v>
      </c>
      <c r="K262" s="154">
        <f t="shared" ref="K262:K305" si="19">J262*$J$2</f>
        <v>-90</v>
      </c>
      <c r="L262" s="154"/>
      <c r="M262" s="156">
        <f t="shared" ref="M262:M305" si="20">IF(I262&lt;&gt;"",K262+I262+L262,0)</f>
        <v>0</v>
      </c>
    </row>
    <row r="263" spans="1:13" x14ac:dyDescent="0.25">
      <c r="A263" s="170"/>
      <c r="G263" s="140"/>
      <c r="H263" s="154">
        <v>258</v>
      </c>
      <c r="I263" s="155" t="str">
        <f t="shared" ref="I263:I305" si="21">IF(H263&lt;$H$2+1,($I$2-($I$2-1)*(LOG(H263)/LOG($H$2))),"")</f>
        <v/>
      </c>
      <c r="J263" s="154">
        <f t="shared" ref="J263:J305" si="22">INT(LOG($H$2,2))-ROUNDUP(LOG(H263,2),0)+IF(OR($H$2=1,$H$2=2,$H$2=4,$H$2=8,$H$2=16,$H$2=32,$H$2=64,$H$2=128,$H$2=256),0,1)</f>
        <v>-9</v>
      </c>
      <c r="K263" s="154">
        <f t="shared" si="19"/>
        <v>-90</v>
      </c>
      <c r="L263" s="154"/>
      <c r="M263" s="156">
        <f t="shared" si="20"/>
        <v>0</v>
      </c>
    </row>
    <row r="264" spans="1:13" x14ac:dyDescent="0.25">
      <c r="A264" s="170"/>
      <c r="G264" s="140"/>
      <c r="H264" s="154">
        <v>259</v>
      </c>
      <c r="I264" s="155" t="str">
        <f t="shared" si="21"/>
        <v/>
      </c>
      <c r="J264" s="154">
        <f t="shared" si="22"/>
        <v>-9</v>
      </c>
      <c r="K264" s="154">
        <f t="shared" si="19"/>
        <v>-90</v>
      </c>
      <c r="L264" s="154"/>
      <c r="M264" s="156">
        <f t="shared" si="20"/>
        <v>0</v>
      </c>
    </row>
    <row r="265" spans="1:13" x14ac:dyDescent="0.25">
      <c r="A265" s="170"/>
      <c r="G265" s="140"/>
      <c r="H265" s="154">
        <v>260</v>
      </c>
      <c r="I265" s="155" t="str">
        <f t="shared" si="21"/>
        <v/>
      </c>
      <c r="J265" s="154">
        <f t="shared" si="22"/>
        <v>-9</v>
      </c>
      <c r="K265" s="154">
        <f t="shared" si="19"/>
        <v>-90</v>
      </c>
      <c r="L265" s="154"/>
      <c r="M265" s="156">
        <f t="shared" si="20"/>
        <v>0</v>
      </c>
    </row>
    <row r="266" spans="1:13" x14ac:dyDescent="0.25">
      <c r="A266" s="170"/>
      <c r="G266" s="140"/>
      <c r="H266" s="154">
        <v>261</v>
      </c>
      <c r="I266" s="155" t="str">
        <f t="shared" si="21"/>
        <v/>
      </c>
      <c r="J266" s="154">
        <f t="shared" si="22"/>
        <v>-9</v>
      </c>
      <c r="K266" s="154">
        <f t="shared" si="19"/>
        <v>-90</v>
      </c>
      <c r="L266" s="154"/>
      <c r="M266" s="156">
        <f t="shared" si="20"/>
        <v>0</v>
      </c>
    </row>
    <row r="267" spans="1:13" x14ac:dyDescent="0.25">
      <c r="A267" s="170"/>
      <c r="G267" s="140"/>
      <c r="H267" s="154">
        <v>262</v>
      </c>
      <c r="I267" s="155" t="str">
        <f t="shared" si="21"/>
        <v/>
      </c>
      <c r="J267" s="154">
        <f t="shared" si="22"/>
        <v>-9</v>
      </c>
      <c r="K267" s="154">
        <f t="shared" si="19"/>
        <v>-90</v>
      </c>
      <c r="L267" s="154"/>
      <c r="M267" s="156">
        <f t="shared" si="20"/>
        <v>0</v>
      </c>
    </row>
    <row r="268" spans="1:13" x14ac:dyDescent="0.25">
      <c r="A268" s="170"/>
      <c r="G268" s="140"/>
      <c r="H268" s="154">
        <v>263</v>
      </c>
      <c r="I268" s="155" t="str">
        <f t="shared" si="21"/>
        <v/>
      </c>
      <c r="J268" s="154">
        <f t="shared" si="22"/>
        <v>-9</v>
      </c>
      <c r="K268" s="154">
        <f t="shared" si="19"/>
        <v>-90</v>
      </c>
      <c r="L268" s="154"/>
      <c r="M268" s="156">
        <f t="shared" si="20"/>
        <v>0</v>
      </c>
    </row>
    <row r="269" spans="1:13" x14ac:dyDescent="0.25">
      <c r="A269" s="170"/>
      <c r="G269" s="140"/>
      <c r="H269" s="154">
        <v>264</v>
      </c>
      <c r="I269" s="155" t="str">
        <f t="shared" si="21"/>
        <v/>
      </c>
      <c r="J269" s="154">
        <f t="shared" si="22"/>
        <v>-9</v>
      </c>
      <c r="K269" s="154">
        <f t="shared" si="19"/>
        <v>-90</v>
      </c>
      <c r="L269" s="154"/>
      <c r="M269" s="156">
        <f t="shared" si="20"/>
        <v>0</v>
      </c>
    </row>
    <row r="270" spans="1:13" x14ac:dyDescent="0.25">
      <c r="A270" s="170"/>
      <c r="G270" s="140"/>
      <c r="H270" s="154">
        <v>265</v>
      </c>
      <c r="I270" s="155" t="str">
        <f t="shared" si="21"/>
        <v/>
      </c>
      <c r="J270" s="154">
        <f t="shared" si="22"/>
        <v>-9</v>
      </c>
      <c r="K270" s="154">
        <f t="shared" si="19"/>
        <v>-90</v>
      </c>
      <c r="L270" s="154"/>
      <c r="M270" s="156">
        <f t="shared" si="20"/>
        <v>0</v>
      </c>
    </row>
    <row r="271" spans="1:13" x14ac:dyDescent="0.25">
      <c r="A271" s="170"/>
      <c r="G271" s="140"/>
      <c r="H271" s="154">
        <v>266</v>
      </c>
      <c r="I271" s="155" t="str">
        <f t="shared" si="21"/>
        <v/>
      </c>
      <c r="J271" s="154">
        <f t="shared" si="22"/>
        <v>-9</v>
      </c>
      <c r="K271" s="154">
        <f t="shared" si="19"/>
        <v>-90</v>
      </c>
      <c r="L271" s="154"/>
      <c r="M271" s="156">
        <f t="shared" si="20"/>
        <v>0</v>
      </c>
    </row>
    <row r="272" spans="1:13" x14ac:dyDescent="0.25">
      <c r="A272" s="170"/>
      <c r="G272" s="140"/>
      <c r="H272" s="154">
        <v>267</v>
      </c>
      <c r="I272" s="155" t="str">
        <f t="shared" si="21"/>
        <v/>
      </c>
      <c r="J272" s="154">
        <f t="shared" si="22"/>
        <v>-9</v>
      </c>
      <c r="K272" s="154">
        <f t="shared" si="19"/>
        <v>-90</v>
      </c>
      <c r="L272" s="154"/>
      <c r="M272" s="156">
        <f t="shared" si="20"/>
        <v>0</v>
      </c>
    </row>
    <row r="273" spans="1:13" x14ac:dyDescent="0.25">
      <c r="A273" s="170"/>
      <c r="G273" s="140"/>
      <c r="H273" s="154">
        <v>268</v>
      </c>
      <c r="I273" s="155" t="str">
        <f t="shared" si="21"/>
        <v/>
      </c>
      <c r="J273" s="154">
        <f t="shared" si="22"/>
        <v>-9</v>
      </c>
      <c r="K273" s="154">
        <f t="shared" si="19"/>
        <v>-90</v>
      </c>
      <c r="L273" s="154"/>
      <c r="M273" s="156">
        <f t="shared" si="20"/>
        <v>0</v>
      </c>
    </row>
    <row r="274" spans="1:13" x14ac:dyDescent="0.25">
      <c r="A274" s="170"/>
      <c r="G274" s="140"/>
      <c r="H274" s="154">
        <v>269</v>
      </c>
      <c r="I274" s="155" t="str">
        <f t="shared" si="21"/>
        <v/>
      </c>
      <c r="J274" s="154">
        <f t="shared" si="22"/>
        <v>-9</v>
      </c>
      <c r="K274" s="154">
        <f t="shared" si="19"/>
        <v>-90</v>
      </c>
      <c r="L274" s="154"/>
      <c r="M274" s="156">
        <f t="shared" si="20"/>
        <v>0</v>
      </c>
    </row>
    <row r="275" spans="1:13" x14ac:dyDescent="0.25">
      <c r="A275" s="170"/>
      <c r="G275" s="140"/>
      <c r="H275" s="154">
        <v>270</v>
      </c>
      <c r="I275" s="155" t="str">
        <f t="shared" si="21"/>
        <v/>
      </c>
      <c r="J275" s="154">
        <f t="shared" si="22"/>
        <v>-9</v>
      </c>
      <c r="K275" s="154">
        <f t="shared" si="19"/>
        <v>-90</v>
      </c>
      <c r="L275" s="154"/>
      <c r="M275" s="156">
        <f t="shared" si="20"/>
        <v>0</v>
      </c>
    </row>
    <row r="276" spans="1:13" x14ac:dyDescent="0.25">
      <c r="A276" s="170"/>
      <c r="G276" s="140"/>
      <c r="H276" s="154">
        <v>271</v>
      </c>
      <c r="I276" s="155" t="str">
        <f t="shared" si="21"/>
        <v/>
      </c>
      <c r="J276" s="154">
        <f t="shared" si="22"/>
        <v>-9</v>
      </c>
      <c r="K276" s="154">
        <f t="shared" si="19"/>
        <v>-90</v>
      </c>
      <c r="L276" s="154"/>
      <c r="M276" s="156">
        <f t="shared" si="20"/>
        <v>0</v>
      </c>
    </row>
    <row r="277" spans="1:13" x14ac:dyDescent="0.25">
      <c r="A277" s="170"/>
      <c r="G277" s="140"/>
      <c r="H277" s="154">
        <v>272</v>
      </c>
      <c r="I277" s="155" t="str">
        <f t="shared" si="21"/>
        <v/>
      </c>
      <c r="J277" s="154">
        <f t="shared" si="22"/>
        <v>-9</v>
      </c>
      <c r="K277" s="154">
        <f t="shared" si="19"/>
        <v>-90</v>
      </c>
      <c r="L277" s="154"/>
      <c r="M277" s="156">
        <f t="shared" si="20"/>
        <v>0</v>
      </c>
    </row>
    <row r="278" spans="1:13" x14ac:dyDescent="0.25">
      <c r="A278" s="170"/>
      <c r="G278" s="140"/>
      <c r="H278" s="154">
        <v>273</v>
      </c>
      <c r="I278" s="155" t="str">
        <f t="shared" si="21"/>
        <v/>
      </c>
      <c r="J278" s="154">
        <f t="shared" si="22"/>
        <v>-9</v>
      </c>
      <c r="K278" s="154">
        <f t="shared" si="19"/>
        <v>-90</v>
      </c>
      <c r="L278" s="154"/>
      <c r="M278" s="156">
        <f t="shared" si="20"/>
        <v>0</v>
      </c>
    </row>
    <row r="279" spans="1:13" x14ac:dyDescent="0.25">
      <c r="A279" s="170"/>
      <c r="G279" s="140"/>
      <c r="H279" s="154">
        <v>274</v>
      </c>
      <c r="I279" s="155" t="str">
        <f t="shared" si="21"/>
        <v/>
      </c>
      <c r="J279" s="154">
        <f t="shared" si="22"/>
        <v>-9</v>
      </c>
      <c r="K279" s="154">
        <f t="shared" si="19"/>
        <v>-90</v>
      </c>
      <c r="L279" s="154"/>
      <c r="M279" s="156">
        <f t="shared" si="20"/>
        <v>0</v>
      </c>
    </row>
    <row r="280" spans="1:13" x14ac:dyDescent="0.25">
      <c r="A280" s="170"/>
      <c r="G280" s="140"/>
      <c r="H280" s="154">
        <v>275</v>
      </c>
      <c r="I280" s="155" t="str">
        <f t="shared" si="21"/>
        <v/>
      </c>
      <c r="J280" s="154">
        <f t="shared" si="22"/>
        <v>-9</v>
      </c>
      <c r="K280" s="154">
        <f t="shared" si="19"/>
        <v>-90</v>
      </c>
      <c r="L280" s="154"/>
      <c r="M280" s="156">
        <f t="shared" si="20"/>
        <v>0</v>
      </c>
    </row>
    <row r="281" spans="1:13" x14ac:dyDescent="0.25">
      <c r="A281" s="170"/>
      <c r="G281" s="140"/>
      <c r="H281" s="154">
        <v>276</v>
      </c>
      <c r="I281" s="155" t="str">
        <f t="shared" si="21"/>
        <v/>
      </c>
      <c r="J281" s="154">
        <f t="shared" si="22"/>
        <v>-9</v>
      </c>
      <c r="K281" s="154">
        <f t="shared" si="19"/>
        <v>-90</v>
      </c>
      <c r="L281" s="154"/>
      <c r="M281" s="156">
        <f t="shared" si="20"/>
        <v>0</v>
      </c>
    </row>
    <row r="282" spans="1:13" x14ac:dyDescent="0.25">
      <c r="A282" s="170"/>
      <c r="G282" s="140"/>
      <c r="H282" s="154">
        <v>277</v>
      </c>
      <c r="I282" s="155" t="str">
        <f t="shared" si="21"/>
        <v/>
      </c>
      <c r="J282" s="154">
        <f t="shared" si="22"/>
        <v>-9</v>
      </c>
      <c r="K282" s="154">
        <f t="shared" si="19"/>
        <v>-90</v>
      </c>
      <c r="L282" s="154"/>
      <c r="M282" s="156">
        <f t="shared" si="20"/>
        <v>0</v>
      </c>
    </row>
    <row r="283" spans="1:13" x14ac:dyDescent="0.25">
      <c r="A283" s="170"/>
      <c r="G283" s="140"/>
      <c r="H283" s="154">
        <v>278</v>
      </c>
      <c r="I283" s="155" t="str">
        <f t="shared" si="21"/>
        <v/>
      </c>
      <c r="J283" s="154">
        <f t="shared" si="22"/>
        <v>-9</v>
      </c>
      <c r="K283" s="154">
        <f t="shared" si="19"/>
        <v>-90</v>
      </c>
      <c r="L283" s="154"/>
      <c r="M283" s="156">
        <f t="shared" si="20"/>
        <v>0</v>
      </c>
    </row>
    <row r="284" spans="1:13" x14ac:dyDescent="0.25">
      <c r="A284" s="170"/>
      <c r="G284" s="140"/>
      <c r="H284" s="154">
        <v>279</v>
      </c>
      <c r="I284" s="155" t="str">
        <f t="shared" si="21"/>
        <v/>
      </c>
      <c r="J284" s="154">
        <f t="shared" si="22"/>
        <v>-9</v>
      </c>
      <c r="K284" s="154">
        <f t="shared" si="19"/>
        <v>-90</v>
      </c>
      <c r="L284" s="154"/>
      <c r="M284" s="156">
        <f t="shared" si="20"/>
        <v>0</v>
      </c>
    </row>
    <row r="285" spans="1:13" x14ac:dyDescent="0.25">
      <c r="A285" s="170"/>
      <c r="G285" s="140"/>
      <c r="H285" s="154">
        <v>280</v>
      </c>
      <c r="I285" s="155" t="str">
        <f t="shared" si="21"/>
        <v/>
      </c>
      <c r="J285" s="154">
        <f t="shared" si="22"/>
        <v>-9</v>
      </c>
      <c r="K285" s="154">
        <f t="shared" si="19"/>
        <v>-90</v>
      </c>
      <c r="L285" s="154"/>
      <c r="M285" s="156">
        <f t="shared" si="20"/>
        <v>0</v>
      </c>
    </row>
    <row r="286" spans="1:13" x14ac:dyDescent="0.25">
      <c r="A286" s="170"/>
      <c r="G286" s="140"/>
      <c r="H286" s="154">
        <v>281</v>
      </c>
      <c r="I286" s="155" t="str">
        <f t="shared" si="21"/>
        <v/>
      </c>
      <c r="J286" s="154">
        <f t="shared" si="22"/>
        <v>-9</v>
      </c>
      <c r="K286" s="154">
        <f t="shared" si="19"/>
        <v>-90</v>
      </c>
      <c r="L286" s="154"/>
      <c r="M286" s="156">
        <f t="shared" si="20"/>
        <v>0</v>
      </c>
    </row>
    <row r="287" spans="1:13" x14ac:dyDescent="0.25">
      <c r="A287" s="170"/>
      <c r="G287" s="140"/>
      <c r="H287" s="154">
        <v>282</v>
      </c>
      <c r="I287" s="155" t="str">
        <f t="shared" si="21"/>
        <v/>
      </c>
      <c r="J287" s="154">
        <f t="shared" si="22"/>
        <v>-9</v>
      </c>
      <c r="K287" s="154">
        <f t="shared" si="19"/>
        <v>-90</v>
      </c>
      <c r="L287" s="154"/>
      <c r="M287" s="156">
        <f t="shared" si="20"/>
        <v>0</v>
      </c>
    </row>
    <row r="288" spans="1:13" x14ac:dyDescent="0.25">
      <c r="A288" s="170"/>
      <c r="G288" s="140"/>
      <c r="H288" s="154">
        <v>283</v>
      </c>
      <c r="I288" s="155" t="str">
        <f t="shared" si="21"/>
        <v/>
      </c>
      <c r="J288" s="154">
        <f t="shared" si="22"/>
        <v>-9</v>
      </c>
      <c r="K288" s="154">
        <f t="shared" si="19"/>
        <v>-90</v>
      </c>
      <c r="L288" s="154"/>
      <c r="M288" s="156">
        <f t="shared" si="20"/>
        <v>0</v>
      </c>
    </row>
    <row r="289" spans="1:13" x14ac:dyDescent="0.25">
      <c r="A289" s="170"/>
      <c r="G289" s="140"/>
      <c r="H289" s="154">
        <v>284</v>
      </c>
      <c r="I289" s="155" t="str">
        <f t="shared" si="21"/>
        <v/>
      </c>
      <c r="J289" s="154">
        <f t="shared" si="22"/>
        <v>-9</v>
      </c>
      <c r="K289" s="154">
        <f t="shared" si="19"/>
        <v>-90</v>
      </c>
      <c r="L289" s="154"/>
      <c r="M289" s="156">
        <f t="shared" si="20"/>
        <v>0</v>
      </c>
    </row>
    <row r="290" spans="1:13" x14ac:dyDescent="0.25">
      <c r="A290" s="170"/>
      <c r="G290" s="140"/>
      <c r="H290" s="154">
        <v>285</v>
      </c>
      <c r="I290" s="155" t="str">
        <f t="shared" si="21"/>
        <v/>
      </c>
      <c r="J290" s="154">
        <f t="shared" si="22"/>
        <v>-9</v>
      </c>
      <c r="K290" s="154">
        <f t="shared" si="19"/>
        <v>-90</v>
      </c>
      <c r="L290" s="154"/>
      <c r="M290" s="156">
        <f t="shared" si="20"/>
        <v>0</v>
      </c>
    </row>
    <row r="291" spans="1:13" x14ac:dyDescent="0.25">
      <c r="A291" s="170"/>
      <c r="G291" s="140"/>
      <c r="H291" s="154">
        <v>286</v>
      </c>
      <c r="I291" s="155" t="str">
        <f t="shared" si="21"/>
        <v/>
      </c>
      <c r="J291" s="154">
        <f t="shared" si="22"/>
        <v>-9</v>
      </c>
      <c r="K291" s="154">
        <f t="shared" si="19"/>
        <v>-90</v>
      </c>
      <c r="L291" s="154"/>
      <c r="M291" s="156">
        <f t="shared" si="20"/>
        <v>0</v>
      </c>
    </row>
    <row r="292" spans="1:13" x14ac:dyDescent="0.25">
      <c r="A292" s="170"/>
      <c r="G292" s="140"/>
      <c r="H292" s="154">
        <v>287</v>
      </c>
      <c r="I292" s="155" t="str">
        <f t="shared" si="21"/>
        <v/>
      </c>
      <c r="J292" s="154">
        <f t="shared" si="22"/>
        <v>-9</v>
      </c>
      <c r="K292" s="154">
        <f t="shared" si="19"/>
        <v>-90</v>
      </c>
      <c r="L292" s="154"/>
      <c r="M292" s="156">
        <f t="shared" si="20"/>
        <v>0</v>
      </c>
    </row>
    <row r="293" spans="1:13" x14ac:dyDescent="0.25">
      <c r="A293" s="170"/>
      <c r="G293" s="140"/>
      <c r="H293" s="154">
        <v>288</v>
      </c>
      <c r="I293" s="155" t="str">
        <f t="shared" si="21"/>
        <v/>
      </c>
      <c r="J293" s="154">
        <f t="shared" si="22"/>
        <v>-9</v>
      </c>
      <c r="K293" s="154">
        <f t="shared" si="19"/>
        <v>-90</v>
      </c>
      <c r="L293" s="154"/>
      <c r="M293" s="156">
        <f t="shared" si="20"/>
        <v>0</v>
      </c>
    </row>
    <row r="294" spans="1:13" x14ac:dyDescent="0.25">
      <c r="A294" s="170"/>
      <c r="G294" s="140"/>
      <c r="H294" s="154">
        <v>289</v>
      </c>
      <c r="I294" s="155" t="str">
        <f t="shared" si="21"/>
        <v/>
      </c>
      <c r="J294" s="154">
        <f t="shared" si="22"/>
        <v>-9</v>
      </c>
      <c r="K294" s="154">
        <f t="shared" si="19"/>
        <v>-90</v>
      </c>
      <c r="L294" s="154"/>
      <c r="M294" s="156">
        <f t="shared" si="20"/>
        <v>0</v>
      </c>
    </row>
    <row r="295" spans="1:13" x14ac:dyDescent="0.25">
      <c r="A295" s="170"/>
      <c r="G295" s="140"/>
      <c r="H295" s="154">
        <v>290</v>
      </c>
      <c r="I295" s="155" t="str">
        <f t="shared" si="21"/>
        <v/>
      </c>
      <c r="J295" s="154">
        <f t="shared" si="22"/>
        <v>-9</v>
      </c>
      <c r="K295" s="154">
        <f t="shared" si="19"/>
        <v>-90</v>
      </c>
      <c r="L295" s="154"/>
      <c r="M295" s="156">
        <f t="shared" si="20"/>
        <v>0</v>
      </c>
    </row>
    <row r="296" spans="1:13" x14ac:dyDescent="0.25">
      <c r="A296" s="170"/>
      <c r="G296" s="140"/>
      <c r="H296" s="154">
        <v>291</v>
      </c>
      <c r="I296" s="155" t="str">
        <f t="shared" si="21"/>
        <v/>
      </c>
      <c r="J296" s="154">
        <f t="shared" si="22"/>
        <v>-9</v>
      </c>
      <c r="K296" s="154">
        <f t="shared" si="19"/>
        <v>-90</v>
      </c>
      <c r="L296" s="154"/>
      <c r="M296" s="156">
        <f t="shared" si="20"/>
        <v>0</v>
      </c>
    </row>
    <row r="297" spans="1:13" x14ac:dyDescent="0.25">
      <c r="A297" s="170"/>
      <c r="G297" s="140"/>
      <c r="H297" s="154">
        <v>292</v>
      </c>
      <c r="I297" s="155" t="str">
        <f t="shared" si="21"/>
        <v/>
      </c>
      <c r="J297" s="154">
        <f t="shared" si="22"/>
        <v>-9</v>
      </c>
      <c r="K297" s="154">
        <f t="shared" si="19"/>
        <v>-90</v>
      </c>
      <c r="L297" s="154"/>
      <c r="M297" s="156">
        <f t="shared" si="20"/>
        <v>0</v>
      </c>
    </row>
    <row r="298" spans="1:13" x14ac:dyDescent="0.25">
      <c r="A298" s="170"/>
      <c r="G298" s="140"/>
      <c r="H298" s="154">
        <v>293</v>
      </c>
      <c r="I298" s="155" t="str">
        <f t="shared" si="21"/>
        <v/>
      </c>
      <c r="J298" s="154">
        <f t="shared" si="22"/>
        <v>-9</v>
      </c>
      <c r="K298" s="154">
        <f t="shared" si="19"/>
        <v>-90</v>
      </c>
      <c r="L298" s="154"/>
      <c r="M298" s="156">
        <f t="shared" si="20"/>
        <v>0</v>
      </c>
    </row>
    <row r="299" spans="1:13" x14ac:dyDescent="0.25">
      <c r="A299" s="170"/>
      <c r="G299" s="140"/>
      <c r="H299" s="154">
        <v>294</v>
      </c>
      <c r="I299" s="155" t="str">
        <f t="shared" si="21"/>
        <v/>
      </c>
      <c r="J299" s="154">
        <f t="shared" si="22"/>
        <v>-9</v>
      </c>
      <c r="K299" s="154">
        <f t="shared" si="19"/>
        <v>-90</v>
      </c>
      <c r="L299" s="154"/>
      <c r="M299" s="156">
        <f t="shared" si="20"/>
        <v>0</v>
      </c>
    </row>
    <row r="300" spans="1:13" x14ac:dyDescent="0.25">
      <c r="A300" s="170"/>
      <c r="G300" s="140"/>
      <c r="H300" s="154">
        <v>295</v>
      </c>
      <c r="I300" s="155" t="str">
        <f t="shared" si="21"/>
        <v/>
      </c>
      <c r="J300" s="154">
        <f t="shared" si="22"/>
        <v>-9</v>
      </c>
      <c r="K300" s="154">
        <f t="shared" si="19"/>
        <v>-90</v>
      </c>
      <c r="L300" s="154"/>
      <c r="M300" s="156">
        <f t="shared" si="20"/>
        <v>0</v>
      </c>
    </row>
    <row r="301" spans="1:13" x14ac:dyDescent="0.25">
      <c r="A301" s="170"/>
      <c r="G301" s="140"/>
      <c r="H301" s="154">
        <v>296</v>
      </c>
      <c r="I301" s="155" t="str">
        <f t="shared" si="21"/>
        <v/>
      </c>
      <c r="J301" s="154">
        <f t="shared" si="22"/>
        <v>-9</v>
      </c>
      <c r="K301" s="154">
        <f t="shared" si="19"/>
        <v>-90</v>
      </c>
      <c r="L301" s="154"/>
      <c r="M301" s="156">
        <f t="shared" si="20"/>
        <v>0</v>
      </c>
    </row>
    <row r="302" spans="1:13" x14ac:dyDescent="0.25">
      <c r="A302" s="170"/>
      <c r="G302" s="140"/>
      <c r="H302" s="154">
        <v>297</v>
      </c>
      <c r="I302" s="155" t="str">
        <f t="shared" si="21"/>
        <v/>
      </c>
      <c r="J302" s="154">
        <f t="shared" si="22"/>
        <v>-9</v>
      </c>
      <c r="K302" s="154">
        <f t="shared" si="19"/>
        <v>-90</v>
      </c>
      <c r="L302" s="154"/>
      <c r="M302" s="156">
        <f t="shared" si="20"/>
        <v>0</v>
      </c>
    </row>
    <row r="303" spans="1:13" x14ac:dyDescent="0.25">
      <c r="A303" s="170"/>
      <c r="G303" s="140"/>
      <c r="H303" s="154">
        <v>298</v>
      </c>
      <c r="I303" s="155" t="str">
        <f t="shared" si="21"/>
        <v/>
      </c>
      <c r="J303" s="154">
        <f t="shared" si="22"/>
        <v>-9</v>
      </c>
      <c r="K303" s="154">
        <f t="shared" si="19"/>
        <v>-90</v>
      </c>
      <c r="L303" s="154"/>
      <c r="M303" s="156">
        <f t="shared" si="20"/>
        <v>0</v>
      </c>
    </row>
    <row r="304" spans="1:13" x14ac:dyDescent="0.25">
      <c r="A304" s="170"/>
      <c r="G304" s="140"/>
      <c r="H304" s="154">
        <v>299</v>
      </c>
      <c r="I304" s="155" t="str">
        <f t="shared" si="21"/>
        <v/>
      </c>
      <c r="J304" s="154">
        <f t="shared" si="22"/>
        <v>-9</v>
      </c>
      <c r="K304" s="154">
        <f t="shared" si="19"/>
        <v>-90</v>
      </c>
      <c r="L304" s="154"/>
      <c r="M304" s="156">
        <f t="shared" si="20"/>
        <v>0</v>
      </c>
    </row>
    <row r="305" spans="1:16" x14ac:dyDescent="0.25">
      <c r="A305" s="170"/>
      <c r="G305" s="140"/>
      <c r="H305" s="154">
        <v>300</v>
      </c>
      <c r="I305" s="155" t="str">
        <f t="shared" si="21"/>
        <v/>
      </c>
      <c r="J305" s="154">
        <f t="shared" si="22"/>
        <v>-9</v>
      </c>
      <c r="K305" s="154">
        <f t="shared" si="19"/>
        <v>-90</v>
      </c>
      <c r="L305" s="154"/>
      <c r="M305" s="156">
        <f t="shared" si="20"/>
        <v>0</v>
      </c>
    </row>
    <row r="306" spans="1:16" x14ac:dyDescent="0.25">
      <c r="A306" s="172"/>
    </row>
    <row r="314" spans="1:16" x14ac:dyDescent="0.25">
      <c r="L314" s="175"/>
      <c r="P314" s="165"/>
    </row>
    <row r="315" spans="1:16" x14ac:dyDescent="0.25">
      <c r="L315" s="175"/>
      <c r="P315" s="165"/>
    </row>
    <row r="316" spans="1:16" x14ac:dyDescent="0.25">
      <c r="L316" s="175"/>
      <c r="P316" s="165"/>
    </row>
    <row r="317" spans="1:16" x14ac:dyDescent="0.25">
      <c r="L317" s="175"/>
      <c r="P317" s="165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8DA51BBD-AD84-4831-B279-740F7F01AEC9}">
      <formula1>#REF!</formula1>
    </dataValidation>
  </dataValidations>
  <hyperlinks>
    <hyperlink ref="C2:D2" r:id="rId1" display="KRAKÓW" xr:uid="{CF2BE4D3-7B24-4128-97A3-A46DCAD1A00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148F-BFB8-447A-B035-BA881A2A7D7D}">
  <sheetPr>
    <tabColor rgb="FF92D050"/>
  </sheetPr>
  <dimension ref="A1:AL317"/>
  <sheetViews>
    <sheetView workbookViewId="0">
      <selection activeCell="D24" sqref="D24"/>
    </sheetView>
  </sheetViews>
  <sheetFormatPr defaultColWidth="8.875" defaultRowHeight="14.3" x14ac:dyDescent="0.25"/>
  <cols>
    <col min="1" max="1" width="8" style="171" customWidth="1"/>
    <col min="2" max="2" width="8.25" style="171" customWidth="1"/>
    <col min="3" max="3" width="34.75" style="171" customWidth="1"/>
    <col min="4" max="4" width="11.25" style="171" customWidth="1"/>
    <col min="5" max="6" width="8.875" style="171"/>
    <col min="7" max="7" width="0.875" style="171" customWidth="1"/>
    <col min="8" max="8" width="8.875" style="173"/>
    <col min="9" max="9" width="11" style="173" customWidth="1"/>
    <col min="10" max="10" width="15.25" style="173" customWidth="1"/>
    <col min="11" max="11" width="8.75" style="173" customWidth="1"/>
    <col min="12" max="12" width="11" style="173" customWidth="1"/>
    <col min="13" max="13" width="11.75" style="174" customWidth="1"/>
    <col min="14" max="15" width="13.875" style="140" customWidth="1"/>
    <col min="16" max="16" width="3.875" style="144" customWidth="1"/>
    <col min="17" max="17" width="20.75" style="140" bestFit="1" customWidth="1"/>
    <col min="18" max="18" width="8.875" style="140"/>
    <col min="19" max="20" width="8.875" style="145"/>
    <col min="21" max="21" width="12.125" style="145" customWidth="1"/>
    <col min="22" max="22" width="27.375" style="145" customWidth="1"/>
    <col min="23" max="38" width="8.875" style="145"/>
    <col min="39" max="16384" width="8.875" style="171"/>
  </cols>
  <sheetData>
    <row r="1" spans="1:36" x14ac:dyDescent="0.25">
      <c r="A1" s="140"/>
      <c r="B1" s="140"/>
      <c r="C1" s="140"/>
      <c r="D1" s="140"/>
      <c r="E1" s="140"/>
      <c r="F1" s="140"/>
      <c r="G1" s="140"/>
      <c r="H1" s="141" t="s">
        <v>26</v>
      </c>
      <c r="I1" s="142" t="s">
        <v>27</v>
      </c>
      <c r="J1" s="142" t="s">
        <v>28</v>
      </c>
      <c r="K1" s="143" t="s">
        <v>29</v>
      </c>
      <c r="L1" s="144"/>
      <c r="M1" s="144"/>
    </row>
    <row r="2" spans="1:36" ht="14.45" customHeight="1" x14ac:dyDescent="0.25">
      <c r="A2" s="140"/>
      <c r="B2" s="22" t="s">
        <v>30</v>
      </c>
      <c r="C2" s="289" t="s">
        <v>92</v>
      </c>
      <c r="D2" s="289"/>
      <c r="E2" s="23"/>
      <c r="F2" s="23"/>
      <c r="G2" s="23"/>
      <c r="H2" s="146">
        <v>2</v>
      </c>
      <c r="I2" s="147">
        <v>50</v>
      </c>
      <c r="J2" s="147">
        <v>10</v>
      </c>
      <c r="K2" s="148">
        <f>3*H2^(1/3)</f>
        <v>3.7797631496846193</v>
      </c>
      <c r="L2" s="144"/>
      <c r="M2" s="144"/>
    </row>
    <row r="3" spans="1:36" ht="14.45" customHeight="1" x14ac:dyDescent="0.25">
      <c r="A3" s="140"/>
      <c r="B3" s="149" t="s">
        <v>32</v>
      </c>
      <c r="C3" s="290" t="s">
        <v>93</v>
      </c>
      <c r="D3" s="290"/>
      <c r="E3" s="28"/>
      <c r="F3" s="28"/>
      <c r="G3" s="28"/>
      <c r="H3" s="144"/>
      <c r="I3" s="144"/>
      <c r="J3" s="150"/>
      <c r="K3" s="144"/>
      <c r="L3" s="144"/>
      <c r="M3" s="14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44"/>
      <c r="I4" s="144"/>
      <c r="J4" s="150"/>
      <c r="K4" s="144"/>
      <c r="L4" s="144"/>
      <c r="M4" s="144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51" t="s">
        <v>40</v>
      </c>
      <c r="I5" s="152" t="s">
        <v>41</v>
      </c>
      <c r="J5" s="153" t="s">
        <v>42</v>
      </c>
      <c r="K5" s="152" t="s">
        <v>43</v>
      </c>
      <c r="L5" s="152" t="s">
        <v>44</v>
      </c>
      <c r="M5" s="151" t="s">
        <v>45</v>
      </c>
      <c r="O5" s="266" t="s">
        <v>7</v>
      </c>
      <c r="P5" s="267"/>
      <c r="Q5" s="266" t="s">
        <v>94</v>
      </c>
      <c r="R5" s="266" t="s">
        <v>95</v>
      </c>
    </row>
    <row r="6" spans="1:36" ht="14.45" customHeight="1" x14ac:dyDescent="0.25">
      <c r="A6" s="35">
        <f>M6</f>
        <v>81.339289449053865</v>
      </c>
      <c r="B6" s="36">
        <f t="shared" ref="B6:B13" si="0">IF(H6&gt;$H$2,"",(ROW()-5))</f>
        <v>1</v>
      </c>
      <c r="C6" s="37" t="s">
        <v>19</v>
      </c>
      <c r="D6" s="37" t="s">
        <v>46</v>
      </c>
      <c r="E6" s="37"/>
      <c r="F6" s="37"/>
      <c r="G6" s="30"/>
      <c r="H6" s="154">
        <v>1</v>
      </c>
      <c r="I6" s="155">
        <f>IF(H2=1,50,IF(H6&lt;$H$2+1,($I$2-($I$2-1)*(LOG(H6)/LOG($H$2))),""))</f>
        <v>50</v>
      </c>
      <c r="J6" s="268">
        <v>2</v>
      </c>
      <c r="K6" s="154">
        <f t="shared" ref="K6:K69" si="1">J6*$J$2</f>
        <v>20</v>
      </c>
      <c r="L6" s="156">
        <f>3*K2</f>
        <v>11.339289449053858</v>
      </c>
      <c r="M6" s="156">
        <f t="shared" ref="M6:M69" si="2">IF(I6&lt;&gt;"",K6+I6+L6,0)</f>
        <v>81.339289449053865</v>
      </c>
      <c r="O6" s="266">
        <v>84.286609467713788</v>
      </c>
      <c r="P6" s="267">
        <v>1</v>
      </c>
      <c r="Q6" s="266" t="s">
        <v>90</v>
      </c>
      <c r="R6" s="266">
        <v>20</v>
      </c>
    </row>
    <row r="7" spans="1:36" ht="14.45" customHeight="1" x14ac:dyDescent="0.25">
      <c r="A7" s="41">
        <f t="shared" ref="A7:A37" si="3">M7</f>
        <v>18.559526299369239</v>
      </c>
      <c r="B7" s="42">
        <f t="shared" si="0"/>
        <v>2</v>
      </c>
      <c r="C7" s="43" t="s">
        <v>20</v>
      </c>
      <c r="D7" s="43" t="s">
        <v>96</v>
      </c>
      <c r="E7" s="43"/>
      <c r="F7" s="43"/>
      <c r="G7" s="30"/>
      <c r="H7" s="157">
        <v>2</v>
      </c>
      <c r="I7" s="158">
        <f t="shared" ref="I7:I70" si="4">IF(H7&lt;$H$2+1,($I$2-($I$2-1)*(LOG(H7)/LOG($H$2))),"")</f>
        <v>1</v>
      </c>
      <c r="J7" s="269">
        <v>1</v>
      </c>
      <c r="K7" s="157">
        <f t="shared" si="1"/>
        <v>10</v>
      </c>
      <c r="L7" s="159">
        <f>2*K2</f>
        <v>7.5595262993692387</v>
      </c>
      <c r="M7" s="159">
        <f t="shared" si="2"/>
        <v>18.559526299369239</v>
      </c>
      <c r="O7" s="266">
        <v>45.024406311809194</v>
      </c>
      <c r="P7" s="267">
        <v>2</v>
      </c>
      <c r="Q7" s="266" t="s">
        <v>97</v>
      </c>
      <c r="R7" s="266">
        <v>10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154">
        <v>3</v>
      </c>
      <c r="I8" s="155" t="str">
        <f t="shared" si="4"/>
        <v/>
      </c>
      <c r="J8" s="154">
        <f t="shared" ref="J8:J70" si="5">INT(LOG($H$2,2))-ROUNDUP(LOG(H8,2),0)+IF(OR($H$2=1,$H$2=2,$H$2=4,$H$2=8,$H$2=16,$H$2=32,$H$2=64,$H$2=128,$H$2=256),0,1)</f>
        <v>-1</v>
      </c>
      <c r="K8" s="154">
        <f t="shared" si="1"/>
        <v>-10</v>
      </c>
      <c r="L8" s="156">
        <f>K2</f>
        <v>3.7797631496846193</v>
      </c>
      <c r="M8" s="156">
        <f t="shared" si="2"/>
        <v>0</v>
      </c>
      <c r="O8" s="266">
        <v>15.930621888236271</v>
      </c>
      <c r="P8" s="267">
        <v>3</v>
      </c>
      <c r="Q8" s="266" t="s">
        <v>91</v>
      </c>
      <c r="R8" s="266"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7">
        <v>4</v>
      </c>
      <c r="I9" s="158" t="str">
        <f t="shared" si="4"/>
        <v/>
      </c>
      <c r="J9" s="157">
        <f t="shared" si="5"/>
        <v>-1</v>
      </c>
      <c r="K9" s="157">
        <f t="shared" si="1"/>
        <v>-10</v>
      </c>
      <c r="L9" s="159"/>
      <c r="M9" s="159">
        <f t="shared" si="2"/>
        <v>0</v>
      </c>
      <c r="O9" s="266">
        <v>1</v>
      </c>
      <c r="P9" s="267">
        <v>4</v>
      </c>
      <c r="Q9" s="266" t="s">
        <v>98</v>
      </c>
      <c r="R9" s="266">
        <v>0</v>
      </c>
      <c r="V9" s="160"/>
      <c r="Z9" s="161"/>
      <c r="AA9" s="161"/>
      <c r="AG9" s="162"/>
      <c r="AH9" s="145" t="s">
        <v>53</v>
      </c>
      <c r="AI9" s="145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54">
        <v>5</v>
      </c>
      <c r="I10" s="155" t="str">
        <f t="shared" si="4"/>
        <v/>
      </c>
      <c r="J10" s="154">
        <f t="shared" si="5"/>
        <v>-2</v>
      </c>
      <c r="K10" s="154">
        <f t="shared" si="1"/>
        <v>-20</v>
      </c>
      <c r="L10" s="154"/>
      <c r="M10" s="156">
        <f t="shared" si="2"/>
        <v>0</v>
      </c>
      <c r="O10" s="266"/>
      <c r="P10" s="267"/>
      <c r="Q10" s="266"/>
      <c r="R10" s="266"/>
      <c r="V10" s="160"/>
      <c r="Z10" s="161"/>
      <c r="AA10" s="161"/>
      <c r="AG10" s="162"/>
      <c r="AH10" s="145" t="s">
        <v>55</v>
      </c>
      <c r="AI10" s="145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7">
        <v>6</v>
      </c>
      <c r="I11" s="158" t="str">
        <f t="shared" si="4"/>
        <v/>
      </c>
      <c r="J11" s="157">
        <f t="shared" si="5"/>
        <v>-2</v>
      </c>
      <c r="K11" s="157">
        <f t="shared" si="1"/>
        <v>-20</v>
      </c>
      <c r="L11" s="157"/>
      <c r="M11" s="159">
        <f t="shared" si="2"/>
        <v>0</v>
      </c>
      <c r="V11" s="163"/>
      <c r="Z11" s="161"/>
      <c r="AA11" s="161"/>
      <c r="AG11" s="162"/>
      <c r="AH11" s="145" t="s">
        <v>57</v>
      </c>
      <c r="AI11" s="145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54">
        <v>7</v>
      </c>
      <c r="I12" s="155" t="str">
        <f t="shared" si="4"/>
        <v/>
      </c>
      <c r="J12" s="154">
        <f t="shared" si="5"/>
        <v>-2</v>
      </c>
      <c r="K12" s="154">
        <f t="shared" si="1"/>
        <v>-20</v>
      </c>
      <c r="L12" s="154"/>
      <c r="M12" s="156">
        <f t="shared" si="2"/>
        <v>0</v>
      </c>
      <c r="Z12" s="161"/>
      <c r="AA12" s="161"/>
      <c r="AG12" s="162"/>
      <c r="AH12" s="145" t="s">
        <v>58</v>
      </c>
      <c r="AI12" s="145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7">
        <v>8</v>
      </c>
      <c r="I13" s="158" t="str">
        <f t="shared" si="4"/>
        <v/>
      </c>
      <c r="J13" s="157">
        <f t="shared" si="5"/>
        <v>-2</v>
      </c>
      <c r="K13" s="157">
        <f t="shared" si="1"/>
        <v>-20</v>
      </c>
      <c r="L13" s="157"/>
      <c r="M13" s="159">
        <f t="shared" si="2"/>
        <v>0</v>
      </c>
      <c r="X13" s="160"/>
      <c r="AG13" s="162"/>
      <c r="AH13" s="145" t="s">
        <v>59</v>
      </c>
      <c r="AI13" s="145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54">
        <v>9</v>
      </c>
      <c r="I14" s="155" t="str">
        <f t="shared" si="4"/>
        <v/>
      </c>
      <c r="J14" s="154">
        <f t="shared" si="5"/>
        <v>-3</v>
      </c>
      <c r="K14" s="154">
        <f t="shared" si="1"/>
        <v>-30</v>
      </c>
      <c r="L14" s="154"/>
      <c r="M14" s="156">
        <f t="shared" si="2"/>
        <v>0</v>
      </c>
      <c r="X14" s="164"/>
      <c r="Z14" s="161"/>
      <c r="AA14" s="161"/>
      <c r="AG14" s="162"/>
      <c r="AH14" s="145" t="s">
        <v>65</v>
      </c>
      <c r="AI14" s="145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7">
        <v>10</v>
      </c>
      <c r="I15" s="158" t="str">
        <f t="shared" si="4"/>
        <v/>
      </c>
      <c r="J15" s="157">
        <f t="shared" si="5"/>
        <v>-3</v>
      </c>
      <c r="K15" s="157">
        <f t="shared" si="1"/>
        <v>-30</v>
      </c>
      <c r="L15" s="157"/>
      <c r="M15" s="159">
        <f t="shared" si="2"/>
        <v>0</v>
      </c>
      <c r="X15" s="160"/>
      <c r="Z15" s="161"/>
      <c r="AA15" s="161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54">
        <v>11</v>
      </c>
      <c r="I16" s="155" t="str">
        <f t="shared" si="4"/>
        <v/>
      </c>
      <c r="J16" s="154">
        <f t="shared" si="5"/>
        <v>-3</v>
      </c>
      <c r="K16" s="154">
        <f t="shared" si="1"/>
        <v>-30</v>
      </c>
      <c r="L16" s="154"/>
      <c r="M16" s="156">
        <f t="shared" si="2"/>
        <v>0</v>
      </c>
      <c r="R16" s="165"/>
      <c r="Z16" s="161"/>
      <c r="AA16" s="161"/>
      <c r="AH16" s="166" t="s">
        <v>61</v>
      </c>
      <c r="AI16" s="145">
        <f>AI11-AI12*AI13/AI14</f>
        <v>9.6393909380186855</v>
      </c>
      <c r="AJ16" s="145" t="s">
        <v>62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7">
        <v>12</v>
      </c>
      <c r="I17" s="158" t="str">
        <f t="shared" si="4"/>
        <v/>
      </c>
      <c r="J17" s="157">
        <f t="shared" si="5"/>
        <v>-3</v>
      </c>
      <c r="K17" s="157">
        <f t="shared" si="1"/>
        <v>-30</v>
      </c>
      <c r="L17" s="157"/>
      <c r="M17" s="159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54">
        <v>13</v>
      </c>
      <c r="I18" s="155" t="str">
        <f t="shared" si="4"/>
        <v/>
      </c>
      <c r="J18" s="154">
        <f t="shared" si="5"/>
        <v>-3</v>
      </c>
      <c r="K18" s="154">
        <f t="shared" si="1"/>
        <v>-30</v>
      </c>
      <c r="L18" s="154"/>
      <c r="M18" s="156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7">
        <v>14</v>
      </c>
      <c r="I19" s="158" t="str">
        <f t="shared" si="4"/>
        <v/>
      </c>
      <c r="J19" s="157">
        <f t="shared" si="5"/>
        <v>-3</v>
      </c>
      <c r="K19" s="157">
        <f t="shared" si="1"/>
        <v>-30</v>
      </c>
      <c r="L19" s="157"/>
      <c r="M19" s="159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54">
        <v>15</v>
      </c>
      <c r="I20" s="155" t="str">
        <f t="shared" si="4"/>
        <v/>
      </c>
      <c r="J20" s="154">
        <f t="shared" si="5"/>
        <v>-3</v>
      </c>
      <c r="K20" s="154">
        <f t="shared" si="1"/>
        <v>-30</v>
      </c>
      <c r="L20" s="154"/>
      <c r="M20" s="156">
        <f t="shared" si="2"/>
        <v>0</v>
      </c>
      <c r="R20" s="167"/>
      <c r="S20" s="168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7">
        <v>16</v>
      </c>
      <c r="I21" s="158" t="str">
        <f t="shared" si="4"/>
        <v/>
      </c>
      <c r="J21" s="157">
        <f t="shared" si="5"/>
        <v>-3</v>
      </c>
      <c r="K21" s="157">
        <f t="shared" si="1"/>
        <v>-30</v>
      </c>
      <c r="L21" s="157"/>
      <c r="M21" s="159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54">
        <v>17</v>
      </c>
      <c r="I22" s="155" t="str">
        <f t="shared" si="4"/>
        <v/>
      </c>
      <c r="J22" s="154">
        <f t="shared" si="5"/>
        <v>-4</v>
      </c>
      <c r="K22" s="154">
        <f t="shared" si="1"/>
        <v>-40</v>
      </c>
      <c r="L22" s="154"/>
      <c r="M22" s="156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7">
        <v>18</v>
      </c>
      <c r="I23" s="158" t="str">
        <f t="shared" si="4"/>
        <v/>
      </c>
      <c r="J23" s="157">
        <f t="shared" si="5"/>
        <v>-4</v>
      </c>
      <c r="K23" s="157">
        <f t="shared" si="1"/>
        <v>-40</v>
      </c>
      <c r="L23" s="157"/>
      <c r="M23" s="159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54">
        <v>19</v>
      </c>
      <c r="I24" s="155" t="str">
        <f t="shared" si="4"/>
        <v/>
      </c>
      <c r="J24" s="154">
        <f t="shared" si="5"/>
        <v>-4</v>
      </c>
      <c r="K24" s="154">
        <f t="shared" si="1"/>
        <v>-40</v>
      </c>
      <c r="L24" s="154"/>
      <c r="M24" s="156">
        <f t="shared" si="2"/>
        <v>0</v>
      </c>
      <c r="R24" s="167"/>
      <c r="S24" s="168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7">
        <v>20</v>
      </c>
      <c r="I25" s="158" t="str">
        <f t="shared" si="4"/>
        <v/>
      </c>
      <c r="J25" s="157">
        <f t="shared" si="5"/>
        <v>-4</v>
      </c>
      <c r="K25" s="157">
        <f t="shared" si="1"/>
        <v>-40</v>
      </c>
      <c r="L25" s="157"/>
      <c r="M25" s="159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54">
        <v>21</v>
      </c>
      <c r="I26" s="155" t="str">
        <f t="shared" si="4"/>
        <v/>
      </c>
      <c r="J26" s="154">
        <f t="shared" si="5"/>
        <v>-4</v>
      </c>
      <c r="K26" s="154">
        <f t="shared" si="1"/>
        <v>-40</v>
      </c>
      <c r="L26" s="154"/>
      <c r="M26" s="156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7">
        <v>22</v>
      </c>
      <c r="I27" s="158" t="str">
        <f t="shared" si="4"/>
        <v/>
      </c>
      <c r="J27" s="157">
        <f t="shared" si="5"/>
        <v>-4</v>
      </c>
      <c r="K27" s="157">
        <f t="shared" si="1"/>
        <v>-40</v>
      </c>
      <c r="L27" s="157"/>
      <c r="M27" s="159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54">
        <v>23</v>
      </c>
      <c r="I28" s="155" t="str">
        <f t="shared" si="4"/>
        <v/>
      </c>
      <c r="J28" s="154">
        <f t="shared" si="5"/>
        <v>-4</v>
      </c>
      <c r="K28" s="154">
        <f t="shared" si="1"/>
        <v>-40</v>
      </c>
      <c r="L28" s="154"/>
      <c r="M28" s="156">
        <f t="shared" si="2"/>
        <v>0</v>
      </c>
      <c r="R28" s="167"/>
      <c r="S28" s="168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0"/>
      <c r="H29" s="157">
        <v>24</v>
      </c>
      <c r="I29" s="158" t="str">
        <f t="shared" si="4"/>
        <v/>
      </c>
      <c r="J29" s="157">
        <f t="shared" si="5"/>
        <v>-4</v>
      </c>
      <c r="K29" s="157">
        <f t="shared" si="1"/>
        <v>-40</v>
      </c>
      <c r="L29" s="157"/>
      <c r="M29" s="159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0"/>
      <c r="H30" s="154">
        <v>25</v>
      </c>
      <c r="I30" s="155" t="str">
        <f t="shared" si="4"/>
        <v/>
      </c>
      <c r="J30" s="154">
        <f t="shared" si="5"/>
        <v>-4</v>
      </c>
      <c r="K30" s="154">
        <f t="shared" si="1"/>
        <v>-40</v>
      </c>
      <c r="L30" s="154"/>
      <c r="M30" s="156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0"/>
      <c r="H31" s="157">
        <v>26</v>
      </c>
      <c r="I31" s="158" t="str">
        <f t="shared" si="4"/>
        <v/>
      </c>
      <c r="J31" s="157">
        <f t="shared" si="5"/>
        <v>-4</v>
      </c>
      <c r="K31" s="157">
        <f t="shared" si="1"/>
        <v>-40</v>
      </c>
      <c r="L31" s="157"/>
      <c r="M31" s="159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0"/>
      <c r="H32" s="154">
        <v>27</v>
      </c>
      <c r="I32" s="155" t="str">
        <f t="shared" si="4"/>
        <v/>
      </c>
      <c r="J32" s="154">
        <f t="shared" si="5"/>
        <v>-4</v>
      </c>
      <c r="K32" s="154">
        <f t="shared" si="1"/>
        <v>-40</v>
      </c>
      <c r="L32" s="154"/>
      <c r="M32" s="156">
        <f t="shared" si="2"/>
        <v>0</v>
      </c>
      <c r="R32" s="167"/>
      <c r="S32" s="168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0"/>
      <c r="H33" s="157">
        <v>28</v>
      </c>
      <c r="I33" s="158" t="str">
        <f t="shared" si="4"/>
        <v/>
      </c>
      <c r="J33" s="157">
        <f t="shared" si="5"/>
        <v>-4</v>
      </c>
      <c r="K33" s="157">
        <f t="shared" si="1"/>
        <v>-40</v>
      </c>
      <c r="L33" s="157"/>
      <c r="M33" s="159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0"/>
      <c r="H34" s="154">
        <v>29</v>
      </c>
      <c r="I34" s="155" t="str">
        <f t="shared" si="4"/>
        <v/>
      </c>
      <c r="J34" s="154">
        <f t="shared" si="5"/>
        <v>-4</v>
      </c>
      <c r="K34" s="154">
        <f t="shared" si="1"/>
        <v>-40</v>
      </c>
      <c r="L34" s="154"/>
      <c r="M34" s="156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0"/>
      <c r="H35" s="157">
        <v>30</v>
      </c>
      <c r="I35" s="158" t="str">
        <f t="shared" si="4"/>
        <v/>
      </c>
      <c r="J35" s="157">
        <f t="shared" si="5"/>
        <v>-4</v>
      </c>
      <c r="K35" s="157">
        <f t="shared" si="1"/>
        <v>-40</v>
      </c>
      <c r="L35" s="157"/>
      <c r="M35" s="159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0"/>
      <c r="H36" s="154">
        <v>31</v>
      </c>
      <c r="I36" s="155" t="str">
        <f t="shared" si="4"/>
        <v/>
      </c>
      <c r="J36" s="154">
        <f t="shared" si="5"/>
        <v>-4</v>
      </c>
      <c r="K36" s="154">
        <f t="shared" si="1"/>
        <v>-40</v>
      </c>
      <c r="L36" s="154"/>
      <c r="M36" s="156">
        <f t="shared" si="2"/>
        <v>0</v>
      </c>
      <c r="R36" s="167"/>
      <c r="S36" s="168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0"/>
      <c r="H37" s="157">
        <v>32</v>
      </c>
      <c r="I37" s="158" t="str">
        <f t="shared" si="4"/>
        <v/>
      </c>
      <c r="J37" s="157">
        <f t="shared" si="5"/>
        <v>-4</v>
      </c>
      <c r="K37" s="157">
        <f t="shared" si="1"/>
        <v>-40</v>
      </c>
      <c r="L37" s="157"/>
      <c r="M37" s="159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0"/>
      <c r="H38" s="154">
        <v>33</v>
      </c>
      <c r="I38" s="155" t="str">
        <f t="shared" si="4"/>
        <v/>
      </c>
      <c r="J38" s="154">
        <f t="shared" si="5"/>
        <v>-5</v>
      </c>
      <c r="K38" s="154">
        <f t="shared" si="1"/>
        <v>-50</v>
      </c>
      <c r="L38" s="154"/>
      <c r="M38" s="156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0"/>
      <c r="H39" s="157">
        <v>34</v>
      </c>
      <c r="I39" s="158" t="str">
        <f t="shared" si="4"/>
        <v/>
      </c>
      <c r="J39" s="157">
        <f t="shared" si="5"/>
        <v>-5</v>
      </c>
      <c r="K39" s="157">
        <f t="shared" si="1"/>
        <v>-50</v>
      </c>
      <c r="L39" s="157"/>
      <c r="M39" s="159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0"/>
      <c r="H40" s="154">
        <v>35</v>
      </c>
      <c r="I40" s="155" t="str">
        <f t="shared" si="4"/>
        <v/>
      </c>
      <c r="J40" s="154">
        <f t="shared" si="5"/>
        <v>-5</v>
      </c>
      <c r="K40" s="154">
        <f t="shared" si="1"/>
        <v>-50</v>
      </c>
      <c r="L40" s="154"/>
      <c r="M40" s="156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0"/>
      <c r="H41" s="157">
        <v>36</v>
      </c>
      <c r="I41" s="158" t="str">
        <f t="shared" si="4"/>
        <v/>
      </c>
      <c r="J41" s="157">
        <f t="shared" si="5"/>
        <v>-5</v>
      </c>
      <c r="K41" s="157">
        <f t="shared" si="1"/>
        <v>-50</v>
      </c>
      <c r="L41" s="157"/>
      <c r="M41" s="159">
        <f t="shared" si="2"/>
        <v>0</v>
      </c>
      <c r="S41" s="169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0"/>
      <c r="H42" s="154">
        <v>37</v>
      </c>
      <c r="I42" s="155" t="str">
        <f t="shared" si="4"/>
        <v/>
      </c>
      <c r="J42" s="154">
        <f t="shared" si="5"/>
        <v>-5</v>
      </c>
      <c r="K42" s="154">
        <f t="shared" si="1"/>
        <v>-50</v>
      </c>
      <c r="L42" s="154"/>
      <c r="M42" s="156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0"/>
      <c r="H43" s="157">
        <v>38</v>
      </c>
      <c r="I43" s="158" t="str">
        <f t="shared" si="4"/>
        <v/>
      </c>
      <c r="J43" s="157">
        <f t="shared" si="5"/>
        <v>-5</v>
      </c>
      <c r="K43" s="157">
        <f t="shared" si="1"/>
        <v>-50</v>
      </c>
      <c r="L43" s="157"/>
      <c r="M43" s="159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0"/>
      <c r="H44" s="154">
        <v>39</v>
      </c>
      <c r="I44" s="155" t="str">
        <f t="shared" si="4"/>
        <v/>
      </c>
      <c r="J44" s="154">
        <f t="shared" si="5"/>
        <v>-5</v>
      </c>
      <c r="K44" s="154">
        <f t="shared" si="1"/>
        <v>-50</v>
      </c>
      <c r="L44" s="154"/>
      <c r="M44" s="156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0"/>
      <c r="H45" s="157">
        <v>40</v>
      </c>
      <c r="I45" s="158" t="str">
        <f t="shared" si="4"/>
        <v/>
      </c>
      <c r="J45" s="157">
        <f t="shared" si="5"/>
        <v>-5</v>
      </c>
      <c r="K45" s="157">
        <f t="shared" si="1"/>
        <v>-50</v>
      </c>
      <c r="L45" s="157"/>
      <c r="M45" s="159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0"/>
      <c r="H46" s="154">
        <v>41</v>
      </c>
      <c r="I46" s="155" t="str">
        <f t="shared" si="4"/>
        <v/>
      </c>
      <c r="J46" s="154">
        <f t="shared" si="5"/>
        <v>-5</v>
      </c>
      <c r="K46" s="154">
        <f t="shared" si="1"/>
        <v>-50</v>
      </c>
      <c r="L46" s="154"/>
      <c r="M46" s="156">
        <f t="shared" si="2"/>
        <v>0</v>
      </c>
      <c r="R46" s="140">
        <f>LOG($H$2,2)</f>
        <v>1</v>
      </c>
      <c r="T46" s="145">
        <f>LOG(H38,2)</f>
        <v>5.0443941193584534</v>
      </c>
      <c r="U46" s="145">
        <f>R46-T46</f>
        <v>-4.0443941193584534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0"/>
      <c r="H47" s="157">
        <v>42</v>
      </c>
      <c r="I47" s="158" t="str">
        <f t="shared" si="4"/>
        <v/>
      </c>
      <c r="J47" s="157">
        <f t="shared" si="5"/>
        <v>-5</v>
      </c>
      <c r="K47" s="157">
        <f t="shared" si="1"/>
        <v>-50</v>
      </c>
      <c r="L47" s="157"/>
      <c r="M47" s="159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0"/>
      <c r="H48" s="154">
        <v>43</v>
      </c>
      <c r="I48" s="155" t="str">
        <f t="shared" si="4"/>
        <v/>
      </c>
      <c r="J48" s="154">
        <f t="shared" si="5"/>
        <v>-5</v>
      </c>
      <c r="K48" s="154">
        <f t="shared" si="1"/>
        <v>-50</v>
      </c>
      <c r="L48" s="154"/>
      <c r="M48" s="156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0"/>
      <c r="H49" s="157">
        <v>44</v>
      </c>
      <c r="I49" s="158" t="str">
        <f t="shared" si="4"/>
        <v/>
      </c>
      <c r="J49" s="157">
        <f t="shared" si="5"/>
        <v>-5</v>
      </c>
      <c r="K49" s="157">
        <f t="shared" si="1"/>
        <v>-50</v>
      </c>
      <c r="L49" s="157"/>
      <c r="M49" s="159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0"/>
      <c r="H50" s="154">
        <v>45</v>
      </c>
      <c r="I50" s="155" t="str">
        <f t="shared" si="4"/>
        <v/>
      </c>
      <c r="J50" s="154">
        <f t="shared" si="5"/>
        <v>-5</v>
      </c>
      <c r="K50" s="154">
        <f t="shared" si="1"/>
        <v>-50</v>
      </c>
      <c r="L50" s="154"/>
      <c r="M50" s="156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0"/>
      <c r="H51" s="157">
        <v>46</v>
      </c>
      <c r="I51" s="158" t="str">
        <f t="shared" si="4"/>
        <v/>
      </c>
      <c r="J51" s="157">
        <f t="shared" si="5"/>
        <v>-5</v>
      </c>
      <c r="K51" s="157">
        <f t="shared" si="1"/>
        <v>-50</v>
      </c>
      <c r="L51" s="157"/>
      <c r="M51" s="159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0"/>
      <c r="H52" s="154">
        <v>47</v>
      </c>
      <c r="I52" s="155" t="str">
        <f t="shared" si="4"/>
        <v/>
      </c>
      <c r="J52" s="154">
        <f t="shared" si="5"/>
        <v>-5</v>
      </c>
      <c r="K52" s="154">
        <f t="shared" si="1"/>
        <v>-50</v>
      </c>
      <c r="L52" s="154"/>
      <c r="M52" s="156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0"/>
      <c r="H53" s="157">
        <v>48</v>
      </c>
      <c r="I53" s="158" t="str">
        <f t="shared" si="4"/>
        <v/>
      </c>
      <c r="J53" s="157">
        <f t="shared" si="5"/>
        <v>-5</v>
      </c>
      <c r="K53" s="157">
        <f t="shared" si="1"/>
        <v>-50</v>
      </c>
      <c r="L53" s="157"/>
      <c r="M53" s="159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0"/>
      <c r="H54" s="154">
        <v>49</v>
      </c>
      <c r="I54" s="155" t="str">
        <f t="shared" si="4"/>
        <v/>
      </c>
      <c r="J54" s="154">
        <f t="shared" si="5"/>
        <v>-5</v>
      </c>
      <c r="K54" s="154">
        <f t="shared" si="1"/>
        <v>-50</v>
      </c>
      <c r="L54" s="154"/>
      <c r="M54" s="156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0"/>
      <c r="H55" s="157">
        <v>50</v>
      </c>
      <c r="I55" s="158" t="str">
        <f t="shared" si="4"/>
        <v/>
      </c>
      <c r="J55" s="157">
        <f t="shared" si="5"/>
        <v>-5</v>
      </c>
      <c r="K55" s="157">
        <f t="shared" si="1"/>
        <v>-50</v>
      </c>
      <c r="L55" s="157"/>
      <c r="M55" s="159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0"/>
      <c r="H56" s="154">
        <v>51</v>
      </c>
      <c r="I56" s="155" t="str">
        <f t="shared" si="4"/>
        <v/>
      </c>
      <c r="J56" s="154">
        <f t="shared" si="5"/>
        <v>-5</v>
      </c>
      <c r="K56" s="154">
        <f t="shared" si="1"/>
        <v>-50</v>
      </c>
      <c r="L56" s="154"/>
      <c r="M56" s="156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0"/>
      <c r="H57" s="157">
        <v>52</v>
      </c>
      <c r="I57" s="158" t="str">
        <f t="shared" si="4"/>
        <v/>
      </c>
      <c r="J57" s="157">
        <f t="shared" si="5"/>
        <v>-5</v>
      </c>
      <c r="K57" s="157">
        <f t="shared" si="1"/>
        <v>-50</v>
      </c>
      <c r="L57" s="157"/>
      <c r="M57" s="159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0"/>
      <c r="H58" s="154">
        <v>53</v>
      </c>
      <c r="I58" s="155" t="str">
        <f t="shared" si="4"/>
        <v/>
      </c>
      <c r="J58" s="154">
        <f t="shared" si="5"/>
        <v>-5</v>
      </c>
      <c r="K58" s="154">
        <f t="shared" si="1"/>
        <v>-50</v>
      </c>
      <c r="L58" s="154"/>
      <c r="M58" s="156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0"/>
      <c r="H59" s="157">
        <v>54</v>
      </c>
      <c r="I59" s="158" t="str">
        <f t="shared" si="4"/>
        <v/>
      </c>
      <c r="J59" s="157">
        <f t="shared" si="5"/>
        <v>-5</v>
      </c>
      <c r="K59" s="157">
        <f t="shared" si="1"/>
        <v>-50</v>
      </c>
      <c r="L59" s="157"/>
      <c r="M59" s="159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0"/>
      <c r="H60" s="154">
        <v>55</v>
      </c>
      <c r="I60" s="155" t="str">
        <f t="shared" si="4"/>
        <v/>
      </c>
      <c r="J60" s="154">
        <f t="shared" si="5"/>
        <v>-5</v>
      </c>
      <c r="K60" s="154">
        <f t="shared" si="1"/>
        <v>-50</v>
      </c>
      <c r="L60" s="154"/>
      <c r="M60" s="156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0"/>
      <c r="H61" s="157">
        <v>56</v>
      </c>
      <c r="I61" s="158" t="str">
        <f t="shared" si="4"/>
        <v/>
      </c>
      <c r="J61" s="157">
        <f t="shared" si="5"/>
        <v>-5</v>
      </c>
      <c r="K61" s="157">
        <f t="shared" si="1"/>
        <v>-50</v>
      </c>
      <c r="L61" s="157"/>
      <c r="M61" s="159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0"/>
      <c r="H62" s="154">
        <v>57</v>
      </c>
      <c r="I62" s="155" t="str">
        <f t="shared" si="4"/>
        <v/>
      </c>
      <c r="J62" s="154">
        <f t="shared" si="5"/>
        <v>-5</v>
      </c>
      <c r="K62" s="154">
        <f t="shared" si="1"/>
        <v>-50</v>
      </c>
      <c r="L62" s="154"/>
      <c r="M62" s="156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0"/>
      <c r="H63" s="157">
        <v>58</v>
      </c>
      <c r="I63" s="158" t="str">
        <f t="shared" si="4"/>
        <v/>
      </c>
      <c r="J63" s="157">
        <f t="shared" si="5"/>
        <v>-5</v>
      </c>
      <c r="K63" s="157">
        <f t="shared" si="1"/>
        <v>-50</v>
      </c>
      <c r="L63" s="157"/>
      <c r="M63" s="159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0"/>
      <c r="H64" s="154">
        <v>59</v>
      </c>
      <c r="I64" s="155" t="str">
        <f t="shared" si="4"/>
        <v/>
      </c>
      <c r="J64" s="154">
        <f t="shared" si="5"/>
        <v>-5</v>
      </c>
      <c r="K64" s="154">
        <f t="shared" si="1"/>
        <v>-50</v>
      </c>
      <c r="L64" s="154"/>
      <c r="M64" s="156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0"/>
      <c r="H65" s="157">
        <v>60</v>
      </c>
      <c r="I65" s="158" t="str">
        <f t="shared" si="4"/>
        <v/>
      </c>
      <c r="J65" s="157">
        <f t="shared" si="5"/>
        <v>-5</v>
      </c>
      <c r="K65" s="157">
        <f t="shared" si="1"/>
        <v>-50</v>
      </c>
      <c r="L65" s="157"/>
      <c r="M65" s="159">
        <f t="shared" si="2"/>
        <v>0</v>
      </c>
    </row>
    <row r="66" spans="1:13" x14ac:dyDescent="0.25">
      <c r="A66" s="170"/>
      <c r="B66" s="36"/>
      <c r="G66" s="140"/>
      <c r="H66" s="154">
        <v>61</v>
      </c>
      <c r="I66" s="155" t="str">
        <f t="shared" si="4"/>
        <v/>
      </c>
      <c r="J66" s="154">
        <f t="shared" si="5"/>
        <v>-5</v>
      </c>
      <c r="K66" s="154">
        <f t="shared" si="1"/>
        <v>-50</v>
      </c>
      <c r="L66" s="154"/>
      <c r="M66" s="156">
        <f t="shared" si="2"/>
        <v>0</v>
      </c>
    </row>
    <row r="67" spans="1:13" x14ac:dyDescent="0.25">
      <c r="A67" s="170"/>
      <c r="B67" s="42"/>
      <c r="G67" s="140"/>
      <c r="H67" s="154">
        <v>62</v>
      </c>
      <c r="I67" s="155" t="str">
        <f t="shared" si="4"/>
        <v/>
      </c>
      <c r="J67" s="154">
        <f t="shared" si="5"/>
        <v>-5</v>
      </c>
      <c r="K67" s="154">
        <f t="shared" si="1"/>
        <v>-50</v>
      </c>
      <c r="L67" s="154"/>
      <c r="M67" s="156">
        <f t="shared" si="2"/>
        <v>0</v>
      </c>
    </row>
    <row r="68" spans="1:13" x14ac:dyDescent="0.25">
      <c r="A68" s="170"/>
      <c r="B68" s="36"/>
      <c r="G68" s="140"/>
      <c r="H68" s="154">
        <v>63</v>
      </c>
      <c r="I68" s="155" t="str">
        <f t="shared" si="4"/>
        <v/>
      </c>
      <c r="J68" s="154">
        <f t="shared" si="5"/>
        <v>-5</v>
      </c>
      <c r="K68" s="154">
        <f t="shared" si="1"/>
        <v>-50</v>
      </c>
      <c r="L68" s="154"/>
      <c r="M68" s="156">
        <f t="shared" si="2"/>
        <v>0</v>
      </c>
    </row>
    <row r="69" spans="1:13" x14ac:dyDescent="0.25">
      <c r="A69" s="170"/>
      <c r="B69" s="42"/>
      <c r="G69" s="140"/>
      <c r="H69" s="154">
        <v>64</v>
      </c>
      <c r="I69" s="155" t="str">
        <f t="shared" si="4"/>
        <v/>
      </c>
      <c r="J69" s="154">
        <f t="shared" si="5"/>
        <v>-5</v>
      </c>
      <c r="K69" s="154">
        <f t="shared" si="1"/>
        <v>-50</v>
      </c>
      <c r="L69" s="154"/>
      <c r="M69" s="156">
        <f t="shared" si="2"/>
        <v>0</v>
      </c>
    </row>
    <row r="70" spans="1:13" x14ac:dyDescent="0.25">
      <c r="A70" s="170"/>
      <c r="G70" s="140"/>
      <c r="H70" s="154">
        <v>65</v>
      </c>
      <c r="I70" s="155" t="str">
        <f t="shared" si="4"/>
        <v/>
      </c>
      <c r="J70" s="154">
        <f t="shared" si="5"/>
        <v>-6</v>
      </c>
      <c r="K70" s="154">
        <f t="shared" ref="K70:K133" si="7">J70*$J$2</f>
        <v>-60</v>
      </c>
      <c r="L70" s="154"/>
      <c r="M70" s="156">
        <f t="shared" ref="M70:M133" si="8">IF(I70&lt;&gt;"",K70+I70+L70,0)</f>
        <v>0</v>
      </c>
    </row>
    <row r="71" spans="1:13" x14ac:dyDescent="0.25">
      <c r="A71" s="170"/>
      <c r="G71" s="140"/>
      <c r="H71" s="154">
        <v>66</v>
      </c>
      <c r="I71" s="155" t="str">
        <f t="shared" ref="I71:I134" si="9">IF(H71&lt;$H$2+1,($I$2-($I$2-1)*(LOG(H71)/LOG($H$2))),"")</f>
        <v/>
      </c>
      <c r="J71" s="154">
        <f t="shared" ref="J71:J134" si="10">INT(LOG($H$2,2))-ROUNDUP(LOG(H71,2),0)+IF(OR($H$2=1,$H$2=2,$H$2=4,$H$2=8,$H$2=16,$H$2=32,$H$2=64,$H$2=128,$H$2=256),0,1)</f>
        <v>-6</v>
      </c>
      <c r="K71" s="154">
        <f t="shared" si="7"/>
        <v>-60</v>
      </c>
      <c r="L71" s="154"/>
      <c r="M71" s="156">
        <f t="shared" si="8"/>
        <v>0</v>
      </c>
    </row>
    <row r="72" spans="1:13" x14ac:dyDescent="0.25">
      <c r="A72" s="170"/>
      <c r="G72" s="140"/>
      <c r="H72" s="154">
        <v>67</v>
      </c>
      <c r="I72" s="155" t="str">
        <f t="shared" si="9"/>
        <v/>
      </c>
      <c r="J72" s="154">
        <f t="shared" si="10"/>
        <v>-6</v>
      </c>
      <c r="K72" s="154">
        <f t="shared" si="7"/>
        <v>-60</v>
      </c>
      <c r="L72" s="154"/>
      <c r="M72" s="156">
        <f t="shared" si="8"/>
        <v>0</v>
      </c>
    </row>
    <row r="73" spans="1:13" x14ac:dyDescent="0.25">
      <c r="A73" s="170"/>
      <c r="G73" s="140"/>
      <c r="H73" s="154">
        <v>68</v>
      </c>
      <c r="I73" s="155" t="str">
        <f t="shared" si="9"/>
        <v/>
      </c>
      <c r="J73" s="154">
        <f t="shared" si="10"/>
        <v>-6</v>
      </c>
      <c r="K73" s="154">
        <f t="shared" si="7"/>
        <v>-60</v>
      </c>
      <c r="L73" s="154"/>
      <c r="M73" s="156">
        <f t="shared" si="8"/>
        <v>0</v>
      </c>
    </row>
    <row r="74" spans="1:13" x14ac:dyDescent="0.25">
      <c r="A74" s="170"/>
      <c r="G74" s="140"/>
      <c r="H74" s="154">
        <v>69</v>
      </c>
      <c r="I74" s="155" t="str">
        <f t="shared" si="9"/>
        <v/>
      </c>
      <c r="J74" s="154">
        <f t="shared" si="10"/>
        <v>-6</v>
      </c>
      <c r="K74" s="154">
        <f t="shared" si="7"/>
        <v>-60</v>
      </c>
      <c r="L74" s="154"/>
      <c r="M74" s="156">
        <f t="shared" si="8"/>
        <v>0</v>
      </c>
    </row>
    <row r="75" spans="1:13" x14ac:dyDescent="0.25">
      <c r="A75" s="170"/>
      <c r="G75" s="140"/>
      <c r="H75" s="154">
        <v>70</v>
      </c>
      <c r="I75" s="155" t="str">
        <f t="shared" si="9"/>
        <v/>
      </c>
      <c r="J75" s="154">
        <f t="shared" si="10"/>
        <v>-6</v>
      </c>
      <c r="K75" s="154">
        <f t="shared" si="7"/>
        <v>-60</v>
      </c>
      <c r="L75" s="154"/>
      <c r="M75" s="156">
        <f t="shared" si="8"/>
        <v>0</v>
      </c>
    </row>
    <row r="76" spans="1:13" x14ac:dyDescent="0.25">
      <c r="A76" s="170"/>
      <c r="G76" s="140"/>
      <c r="H76" s="154">
        <v>71</v>
      </c>
      <c r="I76" s="155" t="str">
        <f t="shared" si="9"/>
        <v/>
      </c>
      <c r="J76" s="154">
        <f t="shared" si="10"/>
        <v>-6</v>
      </c>
      <c r="K76" s="154">
        <f t="shared" si="7"/>
        <v>-60</v>
      </c>
      <c r="L76" s="154"/>
      <c r="M76" s="156">
        <f t="shared" si="8"/>
        <v>0</v>
      </c>
    </row>
    <row r="77" spans="1:13" x14ac:dyDescent="0.25">
      <c r="A77" s="170"/>
      <c r="G77" s="140"/>
      <c r="H77" s="154">
        <v>72</v>
      </c>
      <c r="I77" s="155" t="str">
        <f t="shared" si="9"/>
        <v/>
      </c>
      <c r="J77" s="154">
        <f t="shared" si="10"/>
        <v>-6</v>
      </c>
      <c r="K77" s="154">
        <f t="shared" si="7"/>
        <v>-60</v>
      </c>
      <c r="L77" s="154"/>
      <c r="M77" s="156">
        <f t="shared" si="8"/>
        <v>0</v>
      </c>
    </row>
    <row r="78" spans="1:13" x14ac:dyDescent="0.25">
      <c r="A78" s="170"/>
      <c r="G78" s="140"/>
      <c r="H78" s="154">
        <v>73</v>
      </c>
      <c r="I78" s="155" t="str">
        <f t="shared" si="9"/>
        <v/>
      </c>
      <c r="J78" s="154">
        <f t="shared" si="10"/>
        <v>-6</v>
      </c>
      <c r="K78" s="154">
        <f t="shared" si="7"/>
        <v>-60</v>
      </c>
      <c r="L78" s="154"/>
      <c r="M78" s="156">
        <f t="shared" si="8"/>
        <v>0</v>
      </c>
    </row>
    <row r="79" spans="1:13" x14ac:dyDescent="0.25">
      <c r="A79" s="170"/>
      <c r="G79" s="140"/>
      <c r="H79" s="154">
        <v>74</v>
      </c>
      <c r="I79" s="155" t="str">
        <f t="shared" si="9"/>
        <v/>
      </c>
      <c r="J79" s="154">
        <f t="shared" si="10"/>
        <v>-6</v>
      </c>
      <c r="K79" s="154">
        <f t="shared" si="7"/>
        <v>-60</v>
      </c>
      <c r="L79" s="154"/>
      <c r="M79" s="156">
        <f t="shared" si="8"/>
        <v>0</v>
      </c>
    </row>
    <row r="80" spans="1:13" x14ac:dyDescent="0.25">
      <c r="A80" s="170"/>
      <c r="G80" s="140"/>
      <c r="H80" s="154">
        <v>75</v>
      </c>
      <c r="I80" s="155" t="str">
        <f t="shared" si="9"/>
        <v/>
      </c>
      <c r="J80" s="154">
        <f t="shared" si="10"/>
        <v>-6</v>
      </c>
      <c r="K80" s="154">
        <f t="shared" si="7"/>
        <v>-60</v>
      </c>
      <c r="L80" s="154"/>
      <c r="M80" s="156">
        <f t="shared" si="8"/>
        <v>0</v>
      </c>
    </row>
    <row r="81" spans="1:13" x14ac:dyDescent="0.25">
      <c r="A81" s="170"/>
      <c r="G81" s="140"/>
      <c r="H81" s="154">
        <v>76</v>
      </c>
      <c r="I81" s="155" t="str">
        <f t="shared" si="9"/>
        <v/>
      </c>
      <c r="J81" s="154">
        <f t="shared" si="10"/>
        <v>-6</v>
      </c>
      <c r="K81" s="154">
        <f t="shared" si="7"/>
        <v>-60</v>
      </c>
      <c r="L81" s="154"/>
      <c r="M81" s="156">
        <f t="shared" si="8"/>
        <v>0</v>
      </c>
    </row>
    <row r="82" spans="1:13" x14ac:dyDescent="0.25">
      <c r="A82" s="170"/>
      <c r="G82" s="140"/>
      <c r="H82" s="154">
        <v>77</v>
      </c>
      <c r="I82" s="155" t="str">
        <f t="shared" si="9"/>
        <v/>
      </c>
      <c r="J82" s="154">
        <f t="shared" si="10"/>
        <v>-6</v>
      </c>
      <c r="K82" s="154">
        <f t="shared" si="7"/>
        <v>-60</v>
      </c>
      <c r="L82" s="154"/>
      <c r="M82" s="156">
        <f t="shared" si="8"/>
        <v>0</v>
      </c>
    </row>
    <row r="83" spans="1:13" x14ac:dyDescent="0.25">
      <c r="A83" s="170"/>
      <c r="G83" s="140"/>
      <c r="H83" s="154">
        <v>78</v>
      </c>
      <c r="I83" s="155" t="str">
        <f t="shared" si="9"/>
        <v/>
      </c>
      <c r="J83" s="154">
        <f t="shared" si="10"/>
        <v>-6</v>
      </c>
      <c r="K83" s="154">
        <f t="shared" si="7"/>
        <v>-60</v>
      </c>
      <c r="L83" s="154"/>
      <c r="M83" s="156">
        <f t="shared" si="8"/>
        <v>0</v>
      </c>
    </row>
    <row r="84" spans="1:13" x14ac:dyDescent="0.25">
      <c r="A84" s="170"/>
      <c r="G84" s="140"/>
      <c r="H84" s="154">
        <v>79</v>
      </c>
      <c r="I84" s="155" t="str">
        <f t="shared" si="9"/>
        <v/>
      </c>
      <c r="J84" s="154">
        <f t="shared" si="10"/>
        <v>-6</v>
      </c>
      <c r="K84" s="154">
        <f t="shared" si="7"/>
        <v>-60</v>
      </c>
      <c r="L84" s="154"/>
      <c r="M84" s="156">
        <f t="shared" si="8"/>
        <v>0</v>
      </c>
    </row>
    <row r="85" spans="1:13" x14ac:dyDescent="0.25">
      <c r="A85" s="170"/>
      <c r="G85" s="140"/>
      <c r="H85" s="154">
        <v>80</v>
      </c>
      <c r="I85" s="155" t="str">
        <f t="shared" si="9"/>
        <v/>
      </c>
      <c r="J85" s="154">
        <f t="shared" si="10"/>
        <v>-6</v>
      </c>
      <c r="K85" s="154">
        <f t="shared" si="7"/>
        <v>-60</v>
      </c>
      <c r="L85" s="154"/>
      <c r="M85" s="156">
        <f t="shared" si="8"/>
        <v>0</v>
      </c>
    </row>
    <row r="86" spans="1:13" x14ac:dyDescent="0.25">
      <c r="A86" s="170"/>
      <c r="G86" s="140"/>
      <c r="H86" s="154">
        <v>81</v>
      </c>
      <c r="I86" s="155" t="str">
        <f t="shared" si="9"/>
        <v/>
      </c>
      <c r="J86" s="154">
        <f t="shared" si="10"/>
        <v>-6</v>
      </c>
      <c r="K86" s="154">
        <f t="shared" si="7"/>
        <v>-60</v>
      </c>
      <c r="L86" s="154"/>
      <c r="M86" s="156">
        <f t="shared" si="8"/>
        <v>0</v>
      </c>
    </row>
    <row r="87" spans="1:13" x14ac:dyDescent="0.25">
      <c r="A87" s="170"/>
      <c r="G87" s="140"/>
      <c r="H87" s="154">
        <v>82</v>
      </c>
      <c r="I87" s="155" t="str">
        <f t="shared" si="9"/>
        <v/>
      </c>
      <c r="J87" s="154">
        <f t="shared" si="10"/>
        <v>-6</v>
      </c>
      <c r="K87" s="154">
        <f t="shared" si="7"/>
        <v>-60</v>
      </c>
      <c r="L87" s="154"/>
      <c r="M87" s="156">
        <f t="shared" si="8"/>
        <v>0</v>
      </c>
    </row>
    <row r="88" spans="1:13" x14ac:dyDescent="0.25">
      <c r="A88" s="170"/>
      <c r="G88" s="140"/>
      <c r="H88" s="154">
        <v>83</v>
      </c>
      <c r="I88" s="155" t="str">
        <f t="shared" si="9"/>
        <v/>
      </c>
      <c r="J88" s="154">
        <f t="shared" si="10"/>
        <v>-6</v>
      </c>
      <c r="K88" s="154">
        <f t="shared" si="7"/>
        <v>-60</v>
      </c>
      <c r="L88" s="154"/>
      <c r="M88" s="156">
        <f t="shared" si="8"/>
        <v>0</v>
      </c>
    </row>
    <row r="89" spans="1:13" x14ac:dyDescent="0.25">
      <c r="A89" s="170"/>
      <c r="G89" s="140"/>
      <c r="H89" s="154">
        <v>84</v>
      </c>
      <c r="I89" s="155" t="str">
        <f t="shared" si="9"/>
        <v/>
      </c>
      <c r="J89" s="154">
        <f t="shared" si="10"/>
        <v>-6</v>
      </c>
      <c r="K89" s="154">
        <f t="shared" si="7"/>
        <v>-60</v>
      </c>
      <c r="L89" s="154"/>
      <c r="M89" s="156">
        <f t="shared" si="8"/>
        <v>0</v>
      </c>
    </row>
    <row r="90" spans="1:13" x14ac:dyDescent="0.25">
      <c r="A90" s="170"/>
      <c r="G90" s="140"/>
      <c r="H90" s="154">
        <v>85</v>
      </c>
      <c r="I90" s="155" t="str">
        <f t="shared" si="9"/>
        <v/>
      </c>
      <c r="J90" s="154">
        <f t="shared" si="10"/>
        <v>-6</v>
      </c>
      <c r="K90" s="154">
        <f t="shared" si="7"/>
        <v>-60</v>
      </c>
      <c r="L90" s="154"/>
      <c r="M90" s="156">
        <f t="shared" si="8"/>
        <v>0</v>
      </c>
    </row>
    <row r="91" spans="1:13" x14ac:dyDescent="0.25">
      <c r="A91" s="170"/>
      <c r="G91" s="140"/>
      <c r="H91" s="154">
        <v>86</v>
      </c>
      <c r="I91" s="155" t="str">
        <f t="shared" si="9"/>
        <v/>
      </c>
      <c r="J91" s="154">
        <f t="shared" si="10"/>
        <v>-6</v>
      </c>
      <c r="K91" s="154">
        <f t="shared" si="7"/>
        <v>-60</v>
      </c>
      <c r="L91" s="154"/>
      <c r="M91" s="156">
        <f t="shared" si="8"/>
        <v>0</v>
      </c>
    </row>
    <row r="92" spans="1:13" x14ac:dyDescent="0.25">
      <c r="A92" s="170"/>
      <c r="G92" s="140"/>
      <c r="H92" s="154">
        <v>87</v>
      </c>
      <c r="I92" s="155" t="str">
        <f t="shared" si="9"/>
        <v/>
      </c>
      <c r="J92" s="154">
        <f t="shared" si="10"/>
        <v>-6</v>
      </c>
      <c r="K92" s="154">
        <f t="shared" si="7"/>
        <v>-60</v>
      </c>
      <c r="L92" s="154"/>
      <c r="M92" s="156">
        <f t="shared" si="8"/>
        <v>0</v>
      </c>
    </row>
    <row r="93" spans="1:13" x14ac:dyDescent="0.25">
      <c r="A93" s="170"/>
      <c r="G93" s="140"/>
      <c r="H93" s="154">
        <v>88</v>
      </c>
      <c r="I93" s="155" t="str">
        <f t="shared" si="9"/>
        <v/>
      </c>
      <c r="J93" s="154">
        <f t="shared" si="10"/>
        <v>-6</v>
      </c>
      <c r="K93" s="154">
        <f t="shared" si="7"/>
        <v>-60</v>
      </c>
      <c r="L93" s="154"/>
      <c r="M93" s="156">
        <f t="shared" si="8"/>
        <v>0</v>
      </c>
    </row>
    <row r="94" spans="1:13" x14ac:dyDescent="0.25">
      <c r="A94" s="170"/>
      <c r="G94" s="140"/>
      <c r="H94" s="154">
        <v>89</v>
      </c>
      <c r="I94" s="155" t="str">
        <f t="shared" si="9"/>
        <v/>
      </c>
      <c r="J94" s="154">
        <f t="shared" si="10"/>
        <v>-6</v>
      </c>
      <c r="K94" s="154">
        <f t="shared" si="7"/>
        <v>-60</v>
      </c>
      <c r="L94" s="154"/>
      <c r="M94" s="156">
        <f t="shared" si="8"/>
        <v>0</v>
      </c>
    </row>
    <row r="95" spans="1:13" x14ac:dyDescent="0.25">
      <c r="A95" s="170"/>
      <c r="G95" s="140"/>
      <c r="H95" s="154">
        <v>90</v>
      </c>
      <c r="I95" s="155" t="str">
        <f t="shared" si="9"/>
        <v/>
      </c>
      <c r="J95" s="154">
        <f t="shared" si="10"/>
        <v>-6</v>
      </c>
      <c r="K95" s="154">
        <f t="shared" si="7"/>
        <v>-60</v>
      </c>
      <c r="L95" s="154"/>
      <c r="M95" s="156">
        <f t="shared" si="8"/>
        <v>0</v>
      </c>
    </row>
    <row r="96" spans="1:13" x14ac:dyDescent="0.25">
      <c r="A96" s="170"/>
      <c r="G96" s="140"/>
      <c r="H96" s="154">
        <v>91</v>
      </c>
      <c r="I96" s="155" t="str">
        <f t="shared" si="9"/>
        <v/>
      </c>
      <c r="J96" s="154">
        <f t="shared" si="10"/>
        <v>-6</v>
      </c>
      <c r="K96" s="154">
        <f t="shared" si="7"/>
        <v>-60</v>
      </c>
      <c r="L96" s="154"/>
      <c r="M96" s="156">
        <f t="shared" si="8"/>
        <v>0</v>
      </c>
    </row>
    <row r="97" spans="1:13" x14ac:dyDescent="0.25">
      <c r="A97" s="170"/>
      <c r="G97" s="140"/>
      <c r="H97" s="154">
        <v>92</v>
      </c>
      <c r="I97" s="155" t="str">
        <f t="shared" si="9"/>
        <v/>
      </c>
      <c r="J97" s="154">
        <f t="shared" si="10"/>
        <v>-6</v>
      </c>
      <c r="K97" s="154">
        <f t="shared" si="7"/>
        <v>-60</v>
      </c>
      <c r="L97" s="154"/>
      <c r="M97" s="156">
        <f t="shared" si="8"/>
        <v>0</v>
      </c>
    </row>
    <row r="98" spans="1:13" x14ac:dyDescent="0.25">
      <c r="A98" s="170"/>
      <c r="G98" s="140"/>
      <c r="H98" s="154">
        <v>93</v>
      </c>
      <c r="I98" s="155" t="str">
        <f t="shared" si="9"/>
        <v/>
      </c>
      <c r="J98" s="154">
        <f t="shared" si="10"/>
        <v>-6</v>
      </c>
      <c r="K98" s="154">
        <f t="shared" si="7"/>
        <v>-60</v>
      </c>
      <c r="L98" s="154"/>
      <c r="M98" s="156">
        <f t="shared" si="8"/>
        <v>0</v>
      </c>
    </row>
    <row r="99" spans="1:13" x14ac:dyDescent="0.25">
      <c r="A99" s="170"/>
      <c r="G99" s="140"/>
      <c r="H99" s="154">
        <v>94</v>
      </c>
      <c r="I99" s="155" t="str">
        <f t="shared" si="9"/>
        <v/>
      </c>
      <c r="J99" s="154">
        <f t="shared" si="10"/>
        <v>-6</v>
      </c>
      <c r="K99" s="154">
        <f t="shared" si="7"/>
        <v>-60</v>
      </c>
      <c r="L99" s="154"/>
      <c r="M99" s="156">
        <f t="shared" si="8"/>
        <v>0</v>
      </c>
    </row>
    <row r="100" spans="1:13" x14ac:dyDescent="0.25">
      <c r="A100" s="170"/>
      <c r="G100" s="140"/>
      <c r="H100" s="154">
        <v>95</v>
      </c>
      <c r="I100" s="155" t="str">
        <f t="shared" si="9"/>
        <v/>
      </c>
      <c r="J100" s="154">
        <f t="shared" si="10"/>
        <v>-6</v>
      </c>
      <c r="K100" s="154">
        <f t="shared" si="7"/>
        <v>-60</v>
      </c>
      <c r="L100" s="154"/>
      <c r="M100" s="156">
        <f t="shared" si="8"/>
        <v>0</v>
      </c>
    </row>
    <row r="101" spans="1:13" x14ac:dyDescent="0.25">
      <c r="A101" s="170"/>
      <c r="G101" s="140"/>
      <c r="H101" s="154">
        <v>96</v>
      </c>
      <c r="I101" s="155" t="str">
        <f t="shared" si="9"/>
        <v/>
      </c>
      <c r="J101" s="154">
        <f t="shared" si="10"/>
        <v>-6</v>
      </c>
      <c r="K101" s="154">
        <f t="shared" si="7"/>
        <v>-60</v>
      </c>
      <c r="L101" s="154"/>
      <c r="M101" s="156">
        <f t="shared" si="8"/>
        <v>0</v>
      </c>
    </row>
    <row r="102" spans="1:13" x14ac:dyDescent="0.25">
      <c r="A102" s="170"/>
      <c r="G102" s="140"/>
      <c r="H102" s="154">
        <v>97</v>
      </c>
      <c r="I102" s="155" t="str">
        <f t="shared" si="9"/>
        <v/>
      </c>
      <c r="J102" s="154">
        <f t="shared" si="10"/>
        <v>-6</v>
      </c>
      <c r="K102" s="154">
        <f t="shared" si="7"/>
        <v>-60</v>
      </c>
      <c r="L102" s="154"/>
      <c r="M102" s="156">
        <f t="shared" si="8"/>
        <v>0</v>
      </c>
    </row>
    <row r="103" spans="1:13" x14ac:dyDescent="0.25">
      <c r="A103" s="170"/>
      <c r="G103" s="140"/>
      <c r="H103" s="154">
        <v>98</v>
      </c>
      <c r="I103" s="155" t="str">
        <f t="shared" si="9"/>
        <v/>
      </c>
      <c r="J103" s="154">
        <f t="shared" si="10"/>
        <v>-6</v>
      </c>
      <c r="K103" s="154">
        <f t="shared" si="7"/>
        <v>-60</v>
      </c>
      <c r="L103" s="154"/>
      <c r="M103" s="156">
        <f t="shared" si="8"/>
        <v>0</v>
      </c>
    </row>
    <row r="104" spans="1:13" x14ac:dyDescent="0.25">
      <c r="A104" s="170"/>
      <c r="G104" s="140"/>
      <c r="H104" s="154">
        <v>99</v>
      </c>
      <c r="I104" s="155" t="str">
        <f t="shared" si="9"/>
        <v/>
      </c>
      <c r="J104" s="154">
        <f t="shared" si="10"/>
        <v>-6</v>
      </c>
      <c r="K104" s="154">
        <f t="shared" si="7"/>
        <v>-60</v>
      </c>
      <c r="L104" s="154"/>
      <c r="M104" s="156">
        <f t="shared" si="8"/>
        <v>0</v>
      </c>
    </row>
    <row r="105" spans="1:13" x14ac:dyDescent="0.25">
      <c r="A105" s="170"/>
      <c r="G105" s="140"/>
      <c r="H105" s="154">
        <v>100</v>
      </c>
      <c r="I105" s="155" t="str">
        <f t="shared" si="9"/>
        <v/>
      </c>
      <c r="J105" s="154">
        <f t="shared" si="10"/>
        <v>-6</v>
      </c>
      <c r="K105" s="154">
        <f t="shared" si="7"/>
        <v>-60</v>
      </c>
      <c r="L105" s="154"/>
      <c r="M105" s="156">
        <f t="shared" si="8"/>
        <v>0</v>
      </c>
    </row>
    <row r="106" spans="1:13" x14ac:dyDescent="0.25">
      <c r="A106" s="170"/>
      <c r="G106" s="140"/>
      <c r="H106" s="154">
        <v>101</v>
      </c>
      <c r="I106" s="155" t="str">
        <f t="shared" si="9"/>
        <v/>
      </c>
      <c r="J106" s="154">
        <f t="shared" si="10"/>
        <v>-6</v>
      </c>
      <c r="K106" s="154">
        <f t="shared" si="7"/>
        <v>-60</v>
      </c>
      <c r="L106" s="154"/>
      <c r="M106" s="156">
        <f t="shared" si="8"/>
        <v>0</v>
      </c>
    </row>
    <row r="107" spans="1:13" x14ac:dyDescent="0.25">
      <c r="A107" s="170"/>
      <c r="G107" s="140"/>
      <c r="H107" s="154">
        <v>102</v>
      </c>
      <c r="I107" s="155" t="str">
        <f t="shared" si="9"/>
        <v/>
      </c>
      <c r="J107" s="154">
        <f t="shared" si="10"/>
        <v>-6</v>
      </c>
      <c r="K107" s="154">
        <f t="shared" si="7"/>
        <v>-60</v>
      </c>
      <c r="L107" s="154"/>
      <c r="M107" s="156">
        <f t="shared" si="8"/>
        <v>0</v>
      </c>
    </row>
    <row r="108" spans="1:13" x14ac:dyDescent="0.25">
      <c r="A108" s="170"/>
      <c r="G108" s="140"/>
      <c r="H108" s="154">
        <v>103</v>
      </c>
      <c r="I108" s="155" t="str">
        <f t="shared" si="9"/>
        <v/>
      </c>
      <c r="J108" s="154">
        <f t="shared" si="10"/>
        <v>-6</v>
      </c>
      <c r="K108" s="154">
        <f t="shared" si="7"/>
        <v>-60</v>
      </c>
      <c r="L108" s="154"/>
      <c r="M108" s="156">
        <f t="shared" si="8"/>
        <v>0</v>
      </c>
    </row>
    <row r="109" spans="1:13" x14ac:dyDescent="0.25">
      <c r="A109" s="170"/>
      <c r="G109" s="140"/>
      <c r="H109" s="154">
        <v>104</v>
      </c>
      <c r="I109" s="155" t="str">
        <f t="shared" si="9"/>
        <v/>
      </c>
      <c r="J109" s="154">
        <f t="shared" si="10"/>
        <v>-6</v>
      </c>
      <c r="K109" s="154">
        <f t="shared" si="7"/>
        <v>-60</v>
      </c>
      <c r="L109" s="154"/>
      <c r="M109" s="156">
        <f t="shared" si="8"/>
        <v>0</v>
      </c>
    </row>
    <row r="110" spans="1:13" x14ac:dyDescent="0.25">
      <c r="A110" s="170"/>
      <c r="G110" s="140"/>
      <c r="H110" s="154">
        <v>105</v>
      </c>
      <c r="I110" s="155" t="str">
        <f t="shared" si="9"/>
        <v/>
      </c>
      <c r="J110" s="154">
        <f t="shared" si="10"/>
        <v>-6</v>
      </c>
      <c r="K110" s="154">
        <f t="shared" si="7"/>
        <v>-60</v>
      </c>
      <c r="L110" s="154"/>
      <c r="M110" s="156">
        <f t="shared" si="8"/>
        <v>0</v>
      </c>
    </row>
    <row r="111" spans="1:13" x14ac:dyDescent="0.25">
      <c r="A111" s="170"/>
      <c r="G111" s="140"/>
      <c r="H111" s="154">
        <v>106</v>
      </c>
      <c r="I111" s="155" t="str">
        <f t="shared" si="9"/>
        <v/>
      </c>
      <c r="J111" s="154">
        <f t="shared" si="10"/>
        <v>-6</v>
      </c>
      <c r="K111" s="154">
        <f t="shared" si="7"/>
        <v>-60</v>
      </c>
      <c r="L111" s="154"/>
      <c r="M111" s="156">
        <f t="shared" si="8"/>
        <v>0</v>
      </c>
    </row>
    <row r="112" spans="1:13" x14ac:dyDescent="0.25">
      <c r="A112" s="170"/>
      <c r="G112" s="140"/>
      <c r="H112" s="154">
        <v>107</v>
      </c>
      <c r="I112" s="155" t="str">
        <f t="shared" si="9"/>
        <v/>
      </c>
      <c r="J112" s="154">
        <f t="shared" si="10"/>
        <v>-6</v>
      </c>
      <c r="K112" s="154">
        <f t="shared" si="7"/>
        <v>-60</v>
      </c>
      <c r="L112" s="154"/>
      <c r="M112" s="156">
        <f t="shared" si="8"/>
        <v>0</v>
      </c>
    </row>
    <row r="113" spans="1:13" x14ac:dyDescent="0.25">
      <c r="A113" s="170"/>
      <c r="G113" s="140"/>
      <c r="H113" s="154">
        <v>108</v>
      </c>
      <c r="I113" s="155" t="str">
        <f t="shared" si="9"/>
        <v/>
      </c>
      <c r="J113" s="154">
        <f t="shared" si="10"/>
        <v>-6</v>
      </c>
      <c r="K113" s="154">
        <f t="shared" si="7"/>
        <v>-60</v>
      </c>
      <c r="L113" s="154"/>
      <c r="M113" s="156">
        <f t="shared" si="8"/>
        <v>0</v>
      </c>
    </row>
    <row r="114" spans="1:13" x14ac:dyDescent="0.25">
      <c r="A114" s="170"/>
      <c r="G114" s="140"/>
      <c r="H114" s="154">
        <v>109</v>
      </c>
      <c r="I114" s="155" t="str">
        <f t="shared" si="9"/>
        <v/>
      </c>
      <c r="J114" s="154">
        <f t="shared" si="10"/>
        <v>-6</v>
      </c>
      <c r="K114" s="154">
        <f t="shared" si="7"/>
        <v>-60</v>
      </c>
      <c r="L114" s="154"/>
      <c r="M114" s="156">
        <f t="shared" si="8"/>
        <v>0</v>
      </c>
    </row>
    <row r="115" spans="1:13" x14ac:dyDescent="0.25">
      <c r="A115" s="170"/>
      <c r="G115" s="140"/>
      <c r="H115" s="154">
        <v>110</v>
      </c>
      <c r="I115" s="155" t="str">
        <f t="shared" si="9"/>
        <v/>
      </c>
      <c r="J115" s="154">
        <f t="shared" si="10"/>
        <v>-6</v>
      </c>
      <c r="K115" s="154">
        <f t="shared" si="7"/>
        <v>-60</v>
      </c>
      <c r="L115" s="154"/>
      <c r="M115" s="156">
        <f t="shared" si="8"/>
        <v>0</v>
      </c>
    </row>
    <row r="116" spans="1:13" x14ac:dyDescent="0.25">
      <c r="A116" s="170"/>
      <c r="G116" s="140"/>
      <c r="H116" s="154">
        <v>111</v>
      </c>
      <c r="I116" s="155" t="str">
        <f t="shared" si="9"/>
        <v/>
      </c>
      <c r="J116" s="154">
        <f t="shared" si="10"/>
        <v>-6</v>
      </c>
      <c r="K116" s="154">
        <f t="shared" si="7"/>
        <v>-60</v>
      </c>
      <c r="L116" s="154"/>
      <c r="M116" s="156">
        <f t="shared" si="8"/>
        <v>0</v>
      </c>
    </row>
    <row r="117" spans="1:13" x14ac:dyDescent="0.25">
      <c r="A117" s="170"/>
      <c r="G117" s="140"/>
      <c r="H117" s="154">
        <v>112</v>
      </c>
      <c r="I117" s="155" t="str">
        <f t="shared" si="9"/>
        <v/>
      </c>
      <c r="J117" s="154">
        <f t="shared" si="10"/>
        <v>-6</v>
      </c>
      <c r="K117" s="154">
        <f t="shared" si="7"/>
        <v>-60</v>
      </c>
      <c r="L117" s="154"/>
      <c r="M117" s="156">
        <f t="shared" si="8"/>
        <v>0</v>
      </c>
    </row>
    <row r="118" spans="1:13" x14ac:dyDescent="0.25">
      <c r="A118" s="170"/>
      <c r="G118" s="140"/>
      <c r="H118" s="154">
        <v>113</v>
      </c>
      <c r="I118" s="155" t="str">
        <f t="shared" si="9"/>
        <v/>
      </c>
      <c r="J118" s="154">
        <f t="shared" si="10"/>
        <v>-6</v>
      </c>
      <c r="K118" s="154">
        <f t="shared" si="7"/>
        <v>-60</v>
      </c>
      <c r="L118" s="154"/>
      <c r="M118" s="156">
        <f t="shared" si="8"/>
        <v>0</v>
      </c>
    </row>
    <row r="119" spans="1:13" x14ac:dyDescent="0.25">
      <c r="A119" s="170"/>
      <c r="G119" s="140"/>
      <c r="H119" s="154">
        <v>114</v>
      </c>
      <c r="I119" s="155" t="str">
        <f t="shared" si="9"/>
        <v/>
      </c>
      <c r="J119" s="154">
        <f t="shared" si="10"/>
        <v>-6</v>
      </c>
      <c r="K119" s="154">
        <f t="shared" si="7"/>
        <v>-60</v>
      </c>
      <c r="L119" s="154"/>
      <c r="M119" s="156">
        <f t="shared" si="8"/>
        <v>0</v>
      </c>
    </row>
    <row r="120" spans="1:13" x14ac:dyDescent="0.25">
      <c r="A120" s="170"/>
      <c r="G120" s="140"/>
      <c r="H120" s="154">
        <v>115</v>
      </c>
      <c r="I120" s="155" t="str">
        <f t="shared" si="9"/>
        <v/>
      </c>
      <c r="J120" s="154">
        <f t="shared" si="10"/>
        <v>-6</v>
      </c>
      <c r="K120" s="154">
        <f t="shared" si="7"/>
        <v>-60</v>
      </c>
      <c r="L120" s="154"/>
      <c r="M120" s="156">
        <f t="shared" si="8"/>
        <v>0</v>
      </c>
    </row>
    <row r="121" spans="1:13" x14ac:dyDescent="0.25">
      <c r="A121" s="170"/>
      <c r="G121" s="140"/>
      <c r="H121" s="154">
        <v>116</v>
      </c>
      <c r="I121" s="155" t="str">
        <f t="shared" si="9"/>
        <v/>
      </c>
      <c r="J121" s="154">
        <f t="shared" si="10"/>
        <v>-6</v>
      </c>
      <c r="K121" s="154">
        <f t="shared" si="7"/>
        <v>-60</v>
      </c>
      <c r="L121" s="154"/>
      <c r="M121" s="156">
        <f t="shared" si="8"/>
        <v>0</v>
      </c>
    </row>
    <row r="122" spans="1:13" x14ac:dyDescent="0.25">
      <c r="A122" s="170"/>
      <c r="G122" s="140"/>
      <c r="H122" s="154">
        <v>117</v>
      </c>
      <c r="I122" s="155" t="str">
        <f t="shared" si="9"/>
        <v/>
      </c>
      <c r="J122" s="154">
        <f t="shared" si="10"/>
        <v>-6</v>
      </c>
      <c r="K122" s="154">
        <f t="shared" si="7"/>
        <v>-60</v>
      </c>
      <c r="L122" s="154"/>
      <c r="M122" s="156">
        <f t="shared" si="8"/>
        <v>0</v>
      </c>
    </row>
    <row r="123" spans="1:13" x14ac:dyDescent="0.25">
      <c r="A123" s="170"/>
      <c r="G123" s="140"/>
      <c r="H123" s="154">
        <v>118</v>
      </c>
      <c r="I123" s="155" t="str">
        <f t="shared" si="9"/>
        <v/>
      </c>
      <c r="J123" s="154">
        <f t="shared" si="10"/>
        <v>-6</v>
      </c>
      <c r="K123" s="154">
        <f t="shared" si="7"/>
        <v>-60</v>
      </c>
      <c r="L123" s="154"/>
      <c r="M123" s="156">
        <f t="shared" si="8"/>
        <v>0</v>
      </c>
    </row>
    <row r="124" spans="1:13" x14ac:dyDescent="0.25">
      <c r="A124" s="170"/>
      <c r="G124" s="140"/>
      <c r="H124" s="154">
        <v>119</v>
      </c>
      <c r="I124" s="155" t="str">
        <f t="shared" si="9"/>
        <v/>
      </c>
      <c r="J124" s="154">
        <f t="shared" si="10"/>
        <v>-6</v>
      </c>
      <c r="K124" s="154">
        <f t="shared" si="7"/>
        <v>-60</v>
      </c>
      <c r="L124" s="154"/>
      <c r="M124" s="156">
        <f t="shared" si="8"/>
        <v>0</v>
      </c>
    </row>
    <row r="125" spans="1:13" x14ac:dyDescent="0.25">
      <c r="A125" s="170"/>
      <c r="G125" s="140"/>
      <c r="H125" s="154">
        <v>120</v>
      </c>
      <c r="I125" s="155" t="str">
        <f t="shared" si="9"/>
        <v/>
      </c>
      <c r="J125" s="154">
        <f t="shared" si="10"/>
        <v>-6</v>
      </c>
      <c r="K125" s="154">
        <f t="shared" si="7"/>
        <v>-60</v>
      </c>
      <c r="L125" s="154"/>
      <c r="M125" s="156">
        <f t="shared" si="8"/>
        <v>0</v>
      </c>
    </row>
    <row r="126" spans="1:13" x14ac:dyDescent="0.25">
      <c r="A126" s="170"/>
      <c r="G126" s="140"/>
      <c r="H126" s="154">
        <v>121</v>
      </c>
      <c r="I126" s="155" t="str">
        <f t="shared" si="9"/>
        <v/>
      </c>
      <c r="J126" s="154">
        <f t="shared" si="10"/>
        <v>-6</v>
      </c>
      <c r="K126" s="154">
        <f t="shared" si="7"/>
        <v>-60</v>
      </c>
      <c r="L126" s="154"/>
      <c r="M126" s="156">
        <f t="shared" si="8"/>
        <v>0</v>
      </c>
    </row>
    <row r="127" spans="1:13" x14ac:dyDescent="0.25">
      <c r="A127" s="170"/>
      <c r="G127" s="140"/>
      <c r="H127" s="154">
        <v>122</v>
      </c>
      <c r="I127" s="155" t="str">
        <f t="shared" si="9"/>
        <v/>
      </c>
      <c r="J127" s="154">
        <f t="shared" si="10"/>
        <v>-6</v>
      </c>
      <c r="K127" s="154">
        <f t="shared" si="7"/>
        <v>-60</v>
      </c>
      <c r="L127" s="154"/>
      <c r="M127" s="156">
        <f t="shared" si="8"/>
        <v>0</v>
      </c>
    </row>
    <row r="128" spans="1:13" x14ac:dyDescent="0.25">
      <c r="A128" s="170"/>
      <c r="G128" s="140"/>
      <c r="H128" s="154">
        <v>123</v>
      </c>
      <c r="I128" s="155" t="str">
        <f t="shared" si="9"/>
        <v/>
      </c>
      <c r="J128" s="154">
        <f t="shared" si="10"/>
        <v>-6</v>
      </c>
      <c r="K128" s="154">
        <f t="shared" si="7"/>
        <v>-60</v>
      </c>
      <c r="L128" s="154"/>
      <c r="M128" s="156">
        <f t="shared" si="8"/>
        <v>0</v>
      </c>
    </row>
    <row r="129" spans="1:13" x14ac:dyDescent="0.25">
      <c r="A129" s="170"/>
      <c r="G129" s="140"/>
      <c r="H129" s="154">
        <v>124</v>
      </c>
      <c r="I129" s="155" t="str">
        <f t="shared" si="9"/>
        <v/>
      </c>
      <c r="J129" s="154">
        <f t="shared" si="10"/>
        <v>-6</v>
      </c>
      <c r="K129" s="154">
        <f t="shared" si="7"/>
        <v>-60</v>
      </c>
      <c r="L129" s="154"/>
      <c r="M129" s="156">
        <f t="shared" si="8"/>
        <v>0</v>
      </c>
    </row>
    <row r="130" spans="1:13" x14ac:dyDescent="0.25">
      <c r="A130" s="170"/>
      <c r="G130" s="140"/>
      <c r="H130" s="154">
        <v>125</v>
      </c>
      <c r="I130" s="155" t="str">
        <f t="shared" si="9"/>
        <v/>
      </c>
      <c r="J130" s="154">
        <f t="shared" si="10"/>
        <v>-6</v>
      </c>
      <c r="K130" s="154">
        <f t="shared" si="7"/>
        <v>-60</v>
      </c>
      <c r="L130" s="154"/>
      <c r="M130" s="156">
        <f t="shared" si="8"/>
        <v>0</v>
      </c>
    </row>
    <row r="131" spans="1:13" x14ac:dyDescent="0.25">
      <c r="A131" s="170"/>
      <c r="G131" s="140"/>
      <c r="H131" s="154">
        <v>126</v>
      </c>
      <c r="I131" s="155" t="str">
        <f t="shared" si="9"/>
        <v/>
      </c>
      <c r="J131" s="154">
        <f t="shared" si="10"/>
        <v>-6</v>
      </c>
      <c r="K131" s="154">
        <f t="shared" si="7"/>
        <v>-60</v>
      </c>
      <c r="L131" s="154"/>
      <c r="M131" s="156">
        <f t="shared" si="8"/>
        <v>0</v>
      </c>
    </row>
    <row r="132" spans="1:13" x14ac:dyDescent="0.25">
      <c r="A132" s="170"/>
      <c r="G132" s="140"/>
      <c r="H132" s="154">
        <v>127</v>
      </c>
      <c r="I132" s="155" t="str">
        <f t="shared" si="9"/>
        <v/>
      </c>
      <c r="J132" s="154">
        <f t="shared" si="10"/>
        <v>-6</v>
      </c>
      <c r="K132" s="154">
        <f t="shared" si="7"/>
        <v>-60</v>
      </c>
      <c r="L132" s="154"/>
      <c r="M132" s="156">
        <f t="shared" si="8"/>
        <v>0</v>
      </c>
    </row>
    <row r="133" spans="1:13" x14ac:dyDescent="0.25">
      <c r="A133" s="170"/>
      <c r="G133" s="140"/>
      <c r="H133" s="154">
        <v>128</v>
      </c>
      <c r="I133" s="155" t="str">
        <f t="shared" si="9"/>
        <v/>
      </c>
      <c r="J133" s="154">
        <f t="shared" si="10"/>
        <v>-6</v>
      </c>
      <c r="K133" s="154">
        <f t="shared" si="7"/>
        <v>-60</v>
      </c>
      <c r="L133" s="154"/>
      <c r="M133" s="156">
        <f t="shared" si="8"/>
        <v>0</v>
      </c>
    </row>
    <row r="134" spans="1:13" x14ac:dyDescent="0.25">
      <c r="A134" s="170"/>
      <c r="G134" s="140"/>
      <c r="H134" s="154">
        <v>129</v>
      </c>
      <c r="I134" s="155" t="str">
        <f t="shared" si="9"/>
        <v/>
      </c>
      <c r="J134" s="154">
        <f t="shared" si="10"/>
        <v>-7</v>
      </c>
      <c r="K134" s="154">
        <f t="shared" ref="K134:K197" si="11">J134*$J$2</f>
        <v>-70</v>
      </c>
      <c r="L134" s="154"/>
      <c r="M134" s="156">
        <f t="shared" ref="M134:M197" si="12">IF(I134&lt;&gt;"",K134+I134+L134,0)</f>
        <v>0</v>
      </c>
    </row>
    <row r="135" spans="1:13" x14ac:dyDescent="0.25">
      <c r="A135" s="170"/>
      <c r="G135" s="140"/>
      <c r="H135" s="154">
        <v>130</v>
      </c>
      <c r="I135" s="155" t="str">
        <f t="shared" ref="I135:I198" si="13">IF(H135&lt;$H$2+1,($I$2-($I$2-1)*(LOG(H135)/LOG($H$2))),"")</f>
        <v/>
      </c>
      <c r="J135" s="154">
        <f t="shared" ref="J135:J198" si="14">INT(LOG($H$2,2))-ROUNDUP(LOG(H135,2),0)+IF(OR($H$2=1,$H$2=2,$H$2=4,$H$2=8,$H$2=16,$H$2=32,$H$2=64,$H$2=128,$H$2=256),0,1)</f>
        <v>-7</v>
      </c>
      <c r="K135" s="154">
        <f t="shared" si="11"/>
        <v>-70</v>
      </c>
      <c r="L135" s="154"/>
      <c r="M135" s="156">
        <f t="shared" si="12"/>
        <v>0</v>
      </c>
    </row>
    <row r="136" spans="1:13" x14ac:dyDescent="0.25">
      <c r="A136" s="170"/>
      <c r="G136" s="140"/>
      <c r="H136" s="154">
        <v>131</v>
      </c>
      <c r="I136" s="155" t="str">
        <f t="shared" si="13"/>
        <v/>
      </c>
      <c r="J136" s="154">
        <f t="shared" si="14"/>
        <v>-7</v>
      </c>
      <c r="K136" s="154">
        <f t="shared" si="11"/>
        <v>-70</v>
      </c>
      <c r="L136" s="154"/>
      <c r="M136" s="156">
        <f t="shared" si="12"/>
        <v>0</v>
      </c>
    </row>
    <row r="137" spans="1:13" x14ac:dyDescent="0.25">
      <c r="A137" s="170"/>
      <c r="G137" s="140"/>
      <c r="H137" s="154">
        <v>132</v>
      </c>
      <c r="I137" s="155" t="str">
        <f t="shared" si="13"/>
        <v/>
      </c>
      <c r="J137" s="154">
        <f t="shared" si="14"/>
        <v>-7</v>
      </c>
      <c r="K137" s="154">
        <f t="shared" si="11"/>
        <v>-70</v>
      </c>
      <c r="L137" s="154"/>
      <c r="M137" s="156">
        <f t="shared" si="12"/>
        <v>0</v>
      </c>
    </row>
    <row r="138" spans="1:13" x14ac:dyDescent="0.25">
      <c r="A138" s="170"/>
      <c r="G138" s="140"/>
      <c r="H138" s="154">
        <v>133</v>
      </c>
      <c r="I138" s="155" t="str">
        <f t="shared" si="13"/>
        <v/>
      </c>
      <c r="J138" s="154">
        <f t="shared" si="14"/>
        <v>-7</v>
      </c>
      <c r="K138" s="154">
        <f t="shared" si="11"/>
        <v>-70</v>
      </c>
      <c r="L138" s="154"/>
      <c r="M138" s="156">
        <f t="shared" si="12"/>
        <v>0</v>
      </c>
    </row>
    <row r="139" spans="1:13" x14ac:dyDescent="0.25">
      <c r="A139" s="170"/>
      <c r="G139" s="140"/>
      <c r="H139" s="154">
        <v>134</v>
      </c>
      <c r="I139" s="155" t="str">
        <f t="shared" si="13"/>
        <v/>
      </c>
      <c r="J139" s="154">
        <f t="shared" si="14"/>
        <v>-7</v>
      </c>
      <c r="K139" s="154">
        <f t="shared" si="11"/>
        <v>-70</v>
      </c>
      <c r="L139" s="154"/>
      <c r="M139" s="156">
        <f t="shared" si="12"/>
        <v>0</v>
      </c>
    </row>
    <row r="140" spans="1:13" x14ac:dyDescent="0.25">
      <c r="A140" s="170"/>
      <c r="G140" s="140"/>
      <c r="H140" s="154">
        <v>135</v>
      </c>
      <c r="I140" s="155" t="str">
        <f t="shared" si="13"/>
        <v/>
      </c>
      <c r="J140" s="154">
        <f t="shared" si="14"/>
        <v>-7</v>
      </c>
      <c r="K140" s="154">
        <f t="shared" si="11"/>
        <v>-70</v>
      </c>
      <c r="L140" s="154"/>
      <c r="M140" s="156">
        <f t="shared" si="12"/>
        <v>0</v>
      </c>
    </row>
    <row r="141" spans="1:13" x14ac:dyDescent="0.25">
      <c r="A141" s="170"/>
      <c r="G141" s="140"/>
      <c r="H141" s="154">
        <v>136</v>
      </c>
      <c r="I141" s="155" t="str">
        <f t="shared" si="13"/>
        <v/>
      </c>
      <c r="J141" s="154">
        <f t="shared" si="14"/>
        <v>-7</v>
      </c>
      <c r="K141" s="154">
        <f t="shared" si="11"/>
        <v>-70</v>
      </c>
      <c r="L141" s="154"/>
      <c r="M141" s="156">
        <f t="shared" si="12"/>
        <v>0</v>
      </c>
    </row>
    <row r="142" spans="1:13" x14ac:dyDescent="0.25">
      <c r="A142" s="170"/>
      <c r="G142" s="140"/>
      <c r="H142" s="154">
        <v>137</v>
      </c>
      <c r="I142" s="155" t="str">
        <f t="shared" si="13"/>
        <v/>
      </c>
      <c r="J142" s="154">
        <f t="shared" si="14"/>
        <v>-7</v>
      </c>
      <c r="K142" s="154">
        <f t="shared" si="11"/>
        <v>-70</v>
      </c>
      <c r="L142" s="154"/>
      <c r="M142" s="156">
        <f t="shared" si="12"/>
        <v>0</v>
      </c>
    </row>
    <row r="143" spans="1:13" x14ac:dyDescent="0.25">
      <c r="A143" s="170"/>
      <c r="G143" s="140"/>
      <c r="H143" s="154">
        <v>138</v>
      </c>
      <c r="I143" s="155" t="str">
        <f t="shared" si="13"/>
        <v/>
      </c>
      <c r="J143" s="154">
        <f t="shared" si="14"/>
        <v>-7</v>
      </c>
      <c r="K143" s="154">
        <f t="shared" si="11"/>
        <v>-70</v>
      </c>
      <c r="L143" s="154"/>
      <c r="M143" s="156">
        <f t="shared" si="12"/>
        <v>0</v>
      </c>
    </row>
    <row r="144" spans="1:13" x14ac:dyDescent="0.25">
      <c r="A144" s="170"/>
      <c r="G144" s="140"/>
      <c r="H144" s="154">
        <v>139</v>
      </c>
      <c r="I144" s="155" t="str">
        <f t="shared" si="13"/>
        <v/>
      </c>
      <c r="J144" s="154">
        <f t="shared" si="14"/>
        <v>-7</v>
      </c>
      <c r="K144" s="154">
        <f t="shared" si="11"/>
        <v>-70</v>
      </c>
      <c r="L144" s="154"/>
      <c r="M144" s="156">
        <f t="shared" si="12"/>
        <v>0</v>
      </c>
    </row>
    <row r="145" spans="1:13" x14ac:dyDescent="0.25">
      <c r="A145" s="170"/>
      <c r="G145" s="140"/>
      <c r="H145" s="154">
        <v>140</v>
      </c>
      <c r="I145" s="155" t="str">
        <f t="shared" si="13"/>
        <v/>
      </c>
      <c r="J145" s="154">
        <f t="shared" si="14"/>
        <v>-7</v>
      </c>
      <c r="K145" s="154">
        <f t="shared" si="11"/>
        <v>-70</v>
      </c>
      <c r="L145" s="154"/>
      <c r="M145" s="156">
        <f t="shared" si="12"/>
        <v>0</v>
      </c>
    </row>
    <row r="146" spans="1:13" x14ac:dyDescent="0.25">
      <c r="A146" s="170"/>
      <c r="G146" s="140"/>
      <c r="H146" s="154">
        <v>141</v>
      </c>
      <c r="I146" s="155" t="str">
        <f t="shared" si="13"/>
        <v/>
      </c>
      <c r="J146" s="154">
        <f t="shared" si="14"/>
        <v>-7</v>
      </c>
      <c r="K146" s="154">
        <f t="shared" si="11"/>
        <v>-70</v>
      </c>
      <c r="L146" s="154"/>
      <c r="M146" s="156">
        <f t="shared" si="12"/>
        <v>0</v>
      </c>
    </row>
    <row r="147" spans="1:13" x14ac:dyDescent="0.25">
      <c r="A147" s="170"/>
      <c r="G147" s="140"/>
      <c r="H147" s="154">
        <v>142</v>
      </c>
      <c r="I147" s="155" t="str">
        <f t="shared" si="13"/>
        <v/>
      </c>
      <c r="J147" s="154">
        <f t="shared" si="14"/>
        <v>-7</v>
      </c>
      <c r="K147" s="154">
        <f t="shared" si="11"/>
        <v>-70</v>
      </c>
      <c r="L147" s="154"/>
      <c r="M147" s="156">
        <f t="shared" si="12"/>
        <v>0</v>
      </c>
    </row>
    <row r="148" spans="1:13" x14ac:dyDescent="0.25">
      <c r="A148" s="170"/>
      <c r="G148" s="140"/>
      <c r="H148" s="154">
        <v>143</v>
      </c>
      <c r="I148" s="155" t="str">
        <f t="shared" si="13"/>
        <v/>
      </c>
      <c r="J148" s="154">
        <f t="shared" si="14"/>
        <v>-7</v>
      </c>
      <c r="K148" s="154">
        <f t="shared" si="11"/>
        <v>-70</v>
      </c>
      <c r="L148" s="154"/>
      <c r="M148" s="156">
        <f t="shared" si="12"/>
        <v>0</v>
      </c>
    </row>
    <row r="149" spans="1:13" x14ac:dyDescent="0.25">
      <c r="A149" s="170"/>
      <c r="G149" s="140"/>
      <c r="H149" s="154">
        <v>144</v>
      </c>
      <c r="I149" s="155" t="str">
        <f t="shared" si="13"/>
        <v/>
      </c>
      <c r="J149" s="154">
        <f t="shared" si="14"/>
        <v>-7</v>
      </c>
      <c r="K149" s="154">
        <f t="shared" si="11"/>
        <v>-70</v>
      </c>
      <c r="L149" s="154"/>
      <c r="M149" s="156">
        <f t="shared" si="12"/>
        <v>0</v>
      </c>
    </row>
    <row r="150" spans="1:13" x14ac:dyDescent="0.25">
      <c r="A150" s="170"/>
      <c r="G150" s="140"/>
      <c r="H150" s="154">
        <v>145</v>
      </c>
      <c r="I150" s="155" t="str">
        <f t="shared" si="13"/>
        <v/>
      </c>
      <c r="J150" s="154">
        <f t="shared" si="14"/>
        <v>-7</v>
      </c>
      <c r="K150" s="154">
        <f t="shared" si="11"/>
        <v>-70</v>
      </c>
      <c r="L150" s="154"/>
      <c r="M150" s="156">
        <f t="shared" si="12"/>
        <v>0</v>
      </c>
    </row>
    <row r="151" spans="1:13" x14ac:dyDescent="0.25">
      <c r="A151" s="170"/>
      <c r="G151" s="140"/>
      <c r="H151" s="154">
        <v>146</v>
      </c>
      <c r="I151" s="155" t="str">
        <f t="shared" si="13"/>
        <v/>
      </c>
      <c r="J151" s="154">
        <f t="shared" si="14"/>
        <v>-7</v>
      </c>
      <c r="K151" s="154">
        <f t="shared" si="11"/>
        <v>-70</v>
      </c>
      <c r="L151" s="154"/>
      <c r="M151" s="156">
        <f t="shared" si="12"/>
        <v>0</v>
      </c>
    </row>
    <row r="152" spans="1:13" x14ac:dyDescent="0.25">
      <c r="A152" s="170"/>
      <c r="G152" s="140"/>
      <c r="H152" s="154">
        <v>147</v>
      </c>
      <c r="I152" s="155" t="str">
        <f t="shared" si="13"/>
        <v/>
      </c>
      <c r="J152" s="154">
        <f t="shared" si="14"/>
        <v>-7</v>
      </c>
      <c r="K152" s="154">
        <f t="shared" si="11"/>
        <v>-70</v>
      </c>
      <c r="L152" s="154"/>
      <c r="M152" s="156">
        <f t="shared" si="12"/>
        <v>0</v>
      </c>
    </row>
    <row r="153" spans="1:13" x14ac:dyDescent="0.25">
      <c r="A153" s="170"/>
      <c r="G153" s="140"/>
      <c r="H153" s="154">
        <v>148</v>
      </c>
      <c r="I153" s="155" t="str">
        <f t="shared" si="13"/>
        <v/>
      </c>
      <c r="J153" s="154">
        <f t="shared" si="14"/>
        <v>-7</v>
      </c>
      <c r="K153" s="154">
        <f t="shared" si="11"/>
        <v>-70</v>
      </c>
      <c r="L153" s="154"/>
      <c r="M153" s="156">
        <f t="shared" si="12"/>
        <v>0</v>
      </c>
    </row>
    <row r="154" spans="1:13" x14ac:dyDescent="0.25">
      <c r="A154" s="170"/>
      <c r="G154" s="140"/>
      <c r="H154" s="154">
        <v>149</v>
      </c>
      <c r="I154" s="155" t="str">
        <f t="shared" si="13"/>
        <v/>
      </c>
      <c r="J154" s="154">
        <f t="shared" si="14"/>
        <v>-7</v>
      </c>
      <c r="K154" s="154">
        <f t="shared" si="11"/>
        <v>-70</v>
      </c>
      <c r="L154" s="154"/>
      <c r="M154" s="156">
        <f t="shared" si="12"/>
        <v>0</v>
      </c>
    </row>
    <row r="155" spans="1:13" x14ac:dyDescent="0.25">
      <c r="A155" s="170"/>
      <c r="G155" s="140"/>
      <c r="H155" s="154">
        <v>150</v>
      </c>
      <c r="I155" s="155" t="str">
        <f t="shared" si="13"/>
        <v/>
      </c>
      <c r="J155" s="154">
        <f t="shared" si="14"/>
        <v>-7</v>
      </c>
      <c r="K155" s="154">
        <f t="shared" si="11"/>
        <v>-70</v>
      </c>
      <c r="L155" s="154"/>
      <c r="M155" s="156">
        <f t="shared" si="12"/>
        <v>0</v>
      </c>
    </row>
    <row r="156" spans="1:13" x14ac:dyDescent="0.25">
      <c r="A156" s="170"/>
      <c r="G156" s="140"/>
      <c r="H156" s="154">
        <v>151</v>
      </c>
      <c r="I156" s="155" t="str">
        <f t="shared" si="13"/>
        <v/>
      </c>
      <c r="J156" s="154">
        <f t="shared" si="14"/>
        <v>-7</v>
      </c>
      <c r="K156" s="154">
        <f t="shared" si="11"/>
        <v>-70</v>
      </c>
      <c r="L156" s="154"/>
      <c r="M156" s="156">
        <f t="shared" si="12"/>
        <v>0</v>
      </c>
    </row>
    <row r="157" spans="1:13" x14ac:dyDescent="0.25">
      <c r="A157" s="170"/>
      <c r="G157" s="140"/>
      <c r="H157" s="154">
        <v>152</v>
      </c>
      <c r="I157" s="155" t="str">
        <f t="shared" si="13"/>
        <v/>
      </c>
      <c r="J157" s="154">
        <f t="shared" si="14"/>
        <v>-7</v>
      </c>
      <c r="K157" s="154">
        <f t="shared" si="11"/>
        <v>-70</v>
      </c>
      <c r="L157" s="154"/>
      <c r="M157" s="156">
        <f t="shared" si="12"/>
        <v>0</v>
      </c>
    </row>
    <row r="158" spans="1:13" x14ac:dyDescent="0.25">
      <c r="A158" s="170"/>
      <c r="G158" s="140"/>
      <c r="H158" s="154">
        <v>153</v>
      </c>
      <c r="I158" s="155" t="str">
        <f t="shared" si="13"/>
        <v/>
      </c>
      <c r="J158" s="154">
        <f t="shared" si="14"/>
        <v>-7</v>
      </c>
      <c r="K158" s="154">
        <f t="shared" si="11"/>
        <v>-70</v>
      </c>
      <c r="L158" s="154"/>
      <c r="M158" s="156">
        <f t="shared" si="12"/>
        <v>0</v>
      </c>
    </row>
    <row r="159" spans="1:13" x14ac:dyDescent="0.25">
      <c r="A159" s="170"/>
      <c r="G159" s="140"/>
      <c r="H159" s="154">
        <v>154</v>
      </c>
      <c r="I159" s="155" t="str">
        <f t="shared" si="13"/>
        <v/>
      </c>
      <c r="J159" s="154">
        <f t="shared" si="14"/>
        <v>-7</v>
      </c>
      <c r="K159" s="154">
        <f t="shared" si="11"/>
        <v>-70</v>
      </c>
      <c r="L159" s="154"/>
      <c r="M159" s="156">
        <f t="shared" si="12"/>
        <v>0</v>
      </c>
    </row>
    <row r="160" spans="1:13" x14ac:dyDescent="0.25">
      <c r="A160" s="170"/>
      <c r="G160" s="140"/>
      <c r="H160" s="154">
        <v>155</v>
      </c>
      <c r="I160" s="155" t="str">
        <f t="shared" si="13"/>
        <v/>
      </c>
      <c r="J160" s="154">
        <f t="shared" si="14"/>
        <v>-7</v>
      </c>
      <c r="K160" s="154">
        <f t="shared" si="11"/>
        <v>-70</v>
      </c>
      <c r="L160" s="154"/>
      <c r="M160" s="156">
        <f t="shared" si="12"/>
        <v>0</v>
      </c>
    </row>
    <row r="161" spans="1:13" x14ac:dyDescent="0.25">
      <c r="A161" s="170"/>
      <c r="G161" s="140"/>
      <c r="H161" s="154">
        <v>156</v>
      </c>
      <c r="I161" s="155" t="str">
        <f t="shared" si="13"/>
        <v/>
      </c>
      <c r="J161" s="154">
        <f t="shared" si="14"/>
        <v>-7</v>
      </c>
      <c r="K161" s="154">
        <f t="shared" si="11"/>
        <v>-70</v>
      </c>
      <c r="L161" s="154"/>
      <c r="M161" s="156">
        <f t="shared" si="12"/>
        <v>0</v>
      </c>
    </row>
    <row r="162" spans="1:13" x14ac:dyDescent="0.25">
      <c r="A162" s="170"/>
      <c r="G162" s="140"/>
      <c r="H162" s="154">
        <v>157</v>
      </c>
      <c r="I162" s="155" t="str">
        <f t="shared" si="13"/>
        <v/>
      </c>
      <c r="J162" s="154">
        <f t="shared" si="14"/>
        <v>-7</v>
      </c>
      <c r="K162" s="154">
        <f t="shared" si="11"/>
        <v>-70</v>
      </c>
      <c r="L162" s="154"/>
      <c r="M162" s="156">
        <f t="shared" si="12"/>
        <v>0</v>
      </c>
    </row>
    <row r="163" spans="1:13" x14ac:dyDescent="0.25">
      <c r="A163" s="170"/>
      <c r="G163" s="140"/>
      <c r="H163" s="154">
        <v>158</v>
      </c>
      <c r="I163" s="155" t="str">
        <f t="shared" si="13"/>
        <v/>
      </c>
      <c r="J163" s="154">
        <f t="shared" si="14"/>
        <v>-7</v>
      </c>
      <c r="K163" s="154">
        <f t="shared" si="11"/>
        <v>-70</v>
      </c>
      <c r="L163" s="154"/>
      <c r="M163" s="156">
        <f t="shared" si="12"/>
        <v>0</v>
      </c>
    </row>
    <row r="164" spans="1:13" x14ac:dyDescent="0.25">
      <c r="A164" s="170"/>
      <c r="G164" s="140"/>
      <c r="H164" s="154">
        <v>159</v>
      </c>
      <c r="I164" s="155" t="str">
        <f t="shared" si="13"/>
        <v/>
      </c>
      <c r="J164" s="154">
        <f t="shared" si="14"/>
        <v>-7</v>
      </c>
      <c r="K164" s="154">
        <f t="shared" si="11"/>
        <v>-70</v>
      </c>
      <c r="L164" s="154"/>
      <c r="M164" s="156">
        <f t="shared" si="12"/>
        <v>0</v>
      </c>
    </row>
    <row r="165" spans="1:13" x14ac:dyDescent="0.25">
      <c r="A165" s="170"/>
      <c r="G165" s="140"/>
      <c r="H165" s="154">
        <v>160</v>
      </c>
      <c r="I165" s="155" t="str">
        <f t="shared" si="13"/>
        <v/>
      </c>
      <c r="J165" s="154">
        <f t="shared" si="14"/>
        <v>-7</v>
      </c>
      <c r="K165" s="154">
        <f t="shared" si="11"/>
        <v>-70</v>
      </c>
      <c r="L165" s="154"/>
      <c r="M165" s="156">
        <f t="shared" si="12"/>
        <v>0</v>
      </c>
    </row>
    <row r="166" spans="1:13" x14ac:dyDescent="0.25">
      <c r="A166" s="170"/>
      <c r="G166" s="140"/>
      <c r="H166" s="154">
        <v>161</v>
      </c>
      <c r="I166" s="155" t="str">
        <f t="shared" si="13"/>
        <v/>
      </c>
      <c r="J166" s="154">
        <f t="shared" si="14"/>
        <v>-7</v>
      </c>
      <c r="K166" s="154">
        <f t="shared" si="11"/>
        <v>-70</v>
      </c>
      <c r="L166" s="154"/>
      <c r="M166" s="156">
        <f t="shared" si="12"/>
        <v>0</v>
      </c>
    </row>
    <row r="167" spans="1:13" x14ac:dyDescent="0.25">
      <c r="A167" s="170"/>
      <c r="G167" s="140"/>
      <c r="H167" s="154">
        <v>162</v>
      </c>
      <c r="I167" s="155" t="str">
        <f t="shared" si="13"/>
        <v/>
      </c>
      <c r="J167" s="154">
        <f t="shared" si="14"/>
        <v>-7</v>
      </c>
      <c r="K167" s="154">
        <f t="shared" si="11"/>
        <v>-70</v>
      </c>
      <c r="L167" s="154"/>
      <c r="M167" s="156">
        <f t="shared" si="12"/>
        <v>0</v>
      </c>
    </row>
    <row r="168" spans="1:13" x14ac:dyDescent="0.25">
      <c r="A168" s="170"/>
      <c r="G168" s="140"/>
      <c r="H168" s="154">
        <v>163</v>
      </c>
      <c r="I168" s="155" t="str">
        <f t="shared" si="13"/>
        <v/>
      </c>
      <c r="J168" s="154">
        <f t="shared" si="14"/>
        <v>-7</v>
      </c>
      <c r="K168" s="154">
        <f t="shared" si="11"/>
        <v>-70</v>
      </c>
      <c r="L168" s="154"/>
      <c r="M168" s="156">
        <f t="shared" si="12"/>
        <v>0</v>
      </c>
    </row>
    <row r="169" spans="1:13" x14ac:dyDescent="0.25">
      <c r="A169" s="170"/>
      <c r="G169" s="140"/>
      <c r="H169" s="154">
        <v>164</v>
      </c>
      <c r="I169" s="155" t="str">
        <f t="shared" si="13"/>
        <v/>
      </c>
      <c r="J169" s="154">
        <f t="shared" si="14"/>
        <v>-7</v>
      </c>
      <c r="K169" s="154">
        <f t="shared" si="11"/>
        <v>-70</v>
      </c>
      <c r="L169" s="154"/>
      <c r="M169" s="156">
        <f t="shared" si="12"/>
        <v>0</v>
      </c>
    </row>
    <row r="170" spans="1:13" x14ac:dyDescent="0.25">
      <c r="A170" s="170"/>
      <c r="G170" s="140"/>
      <c r="H170" s="154">
        <v>165</v>
      </c>
      <c r="I170" s="155" t="str">
        <f t="shared" si="13"/>
        <v/>
      </c>
      <c r="J170" s="154">
        <f t="shared" si="14"/>
        <v>-7</v>
      </c>
      <c r="K170" s="154">
        <f t="shared" si="11"/>
        <v>-70</v>
      </c>
      <c r="L170" s="154"/>
      <c r="M170" s="156">
        <f t="shared" si="12"/>
        <v>0</v>
      </c>
    </row>
    <row r="171" spans="1:13" x14ac:dyDescent="0.25">
      <c r="A171" s="170"/>
      <c r="G171" s="140"/>
      <c r="H171" s="154">
        <v>166</v>
      </c>
      <c r="I171" s="155" t="str">
        <f t="shared" si="13"/>
        <v/>
      </c>
      <c r="J171" s="154">
        <f t="shared" si="14"/>
        <v>-7</v>
      </c>
      <c r="K171" s="154">
        <f t="shared" si="11"/>
        <v>-70</v>
      </c>
      <c r="L171" s="154"/>
      <c r="M171" s="156">
        <f t="shared" si="12"/>
        <v>0</v>
      </c>
    </row>
    <row r="172" spans="1:13" x14ac:dyDescent="0.25">
      <c r="A172" s="170"/>
      <c r="G172" s="140"/>
      <c r="H172" s="154">
        <v>167</v>
      </c>
      <c r="I172" s="155" t="str">
        <f t="shared" si="13"/>
        <v/>
      </c>
      <c r="J172" s="154">
        <f t="shared" si="14"/>
        <v>-7</v>
      </c>
      <c r="K172" s="154">
        <f t="shared" si="11"/>
        <v>-70</v>
      </c>
      <c r="L172" s="154"/>
      <c r="M172" s="156">
        <f t="shared" si="12"/>
        <v>0</v>
      </c>
    </row>
    <row r="173" spans="1:13" x14ac:dyDescent="0.25">
      <c r="A173" s="170"/>
      <c r="G173" s="140"/>
      <c r="H173" s="154">
        <v>168</v>
      </c>
      <c r="I173" s="155" t="str">
        <f t="shared" si="13"/>
        <v/>
      </c>
      <c r="J173" s="154">
        <f t="shared" si="14"/>
        <v>-7</v>
      </c>
      <c r="K173" s="154">
        <f t="shared" si="11"/>
        <v>-70</v>
      </c>
      <c r="L173" s="154"/>
      <c r="M173" s="156">
        <f t="shared" si="12"/>
        <v>0</v>
      </c>
    </row>
    <row r="174" spans="1:13" x14ac:dyDescent="0.25">
      <c r="A174" s="170"/>
      <c r="G174" s="140"/>
      <c r="H174" s="154">
        <v>169</v>
      </c>
      <c r="I174" s="155" t="str">
        <f t="shared" si="13"/>
        <v/>
      </c>
      <c r="J174" s="154">
        <f t="shared" si="14"/>
        <v>-7</v>
      </c>
      <c r="K174" s="154">
        <f t="shared" si="11"/>
        <v>-70</v>
      </c>
      <c r="L174" s="154"/>
      <c r="M174" s="156">
        <f t="shared" si="12"/>
        <v>0</v>
      </c>
    </row>
    <row r="175" spans="1:13" x14ac:dyDescent="0.25">
      <c r="A175" s="170"/>
      <c r="G175" s="140"/>
      <c r="H175" s="154">
        <v>170</v>
      </c>
      <c r="I175" s="155" t="str">
        <f t="shared" si="13"/>
        <v/>
      </c>
      <c r="J175" s="154">
        <f t="shared" si="14"/>
        <v>-7</v>
      </c>
      <c r="K175" s="154">
        <f t="shared" si="11"/>
        <v>-70</v>
      </c>
      <c r="L175" s="154"/>
      <c r="M175" s="156">
        <f t="shared" si="12"/>
        <v>0</v>
      </c>
    </row>
    <row r="176" spans="1:13" x14ac:dyDescent="0.25">
      <c r="A176" s="170"/>
      <c r="G176" s="140"/>
      <c r="H176" s="154">
        <v>171</v>
      </c>
      <c r="I176" s="155" t="str">
        <f t="shared" si="13"/>
        <v/>
      </c>
      <c r="J176" s="154">
        <f t="shared" si="14"/>
        <v>-7</v>
      </c>
      <c r="K176" s="154">
        <f t="shared" si="11"/>
        <v>-70</v>
      </c>
      <c r="L176" s="154"/>
      <c r="M176" s="156">
        <f t="shared" si="12"/>
        <v>0</v>
      </c>
    </row>
    <row r="177" spans="1:13" x14ac:dyDescent="0.25">
      <c r="A177" s="170"/>
      <c r="G177" s="140"/>
      <c r="H177" s="154">
        <v>172</v>
      </c>
      <c r="I177" s="155" t="str">
        <f t="shared" si="13"/>
        <v/>
      </c>
      <c r="J177" s="154">
        <f t="shared" si="14"/>
        <v>-7</v>
      </c>
      <c r="K177" s="154">
        <f t="shared" si="11"/>
        <v>-70</v>
      </c>
      <c r="L177" s="154"/>
      <c r="M177" s="156">
        <f t="shared" si="12"/>
        <v>0</v>
      </c>
    </row>
    <row r="178" spans="1:13" x14ac:dyDescent="0.25">
      <c r="A178" s="170"/>
      <c r="G178" s="140"/>
      <c r="H178" s="154">
        <v>173</v>
      </c>
      <c r="I178" s="155" t="str">
        <f t="shared" si="13"/>
        <v/>
      </c>
      <c r="J178" s="154">
        <f t="shared" si="14"/>
        <v>-7</v>
      </c>
      <c r="K178" s="154">
        <f t="shared" si="11"/>
        <v>-70</v>
      </c>
      <c r="L178" s="154"/>
      <c r="M178" s="156">
        <f t="shared" si="12"/>
        <v>0</v>
      </c>
    </row>
    <row r="179" spans="1:13" x14ac:dyDescent="0.25">
      <c r="A179" s="170"/>
      <c r="G179" s="140"/>
      <c r="H179" s="154">
        <v>174</v>
      </c>
      <c r="I179" s="155" t="str">
        <f t="shared" si="13"/>
        <v/>
      </c>
      <c r="J179" s="154">
        <f t="shared" si="14"/>
        <v>-7</v>
      </c>
      <c r="K179" s="154">
        <f t="shared" si="11"/>
        <v>-70</v>
      </c>
      <c r="L179" s="154"/>
      <c r="M179" s="156">
        <f t="shared" si="12"/>
        <v>0</v>
      </c>
    </row>
    <row r="180" spans="1:13" x14ac:dyDescent="0.25">
      <c r="A180" s="170"/>
      <c r="G180" s="140"/>
      <c r="H180" s="154">
        <v>175</v>
      </c>
      <c r="I180" s="155" t="str">
        <f t="shared" si="13"/>
        <v/>
      </c>
      <c r="J180" s="154">
        <f t="shared" si="14"/>
        <v>-7</v>
      </c>
      <c r="K180" s="154">
        <f t="shared" si="11"/>
        <v>-70</v>
      </c>
      <c r="L180" s="154"/>
      <c r="M180" s="156">
        <f t="shared" si="12"/>
        <v>0</v>
      </c>
    </row>
    <row r="181" spans="1:13" x14ac:dyDescent="0.25">
      <c r="A181" s="170"/>
      <c r="G181" s="140"/>
      <c r="H181" s="154">
        <v>176</v>
      </c>
      <c r="I181" s="155" t="str">
        <f t="shared" si="13"/>
        <v/>
      </c>
      <c r="J181" s="154">
        <f t="shared" si="14"/>
        <v>-7</v>
      </c>
      <c r="K181" s="154">
        <f t="shared" si="11"/>
        <v>-70</v>
      </c>
      <c r="L181" s="154"/>
      <c r="M181" s="156">
        <f t="shared" si="12"/>
        <v>0</v>
      </c>
    </row>
    <row r="182" spans="1:13" x14ac:dyDescent="0.25">
      <c r="A182" s="170"/>
      <c r="G182" s="140"/>
      <c r="H182" s="154">
        <v>177</v>
      </c>
      <c r="I182" s="155" t="str">
        <f t="shared" si="13"/>
        <v/>
      </c>
      <c r="J182" s="154">
        <f t="shared" si="14"/>
        <v>-7</v>
      </c>
      <c r="K182" s="154">
        <f t="shared" si="11"/>
        <v>-70</v>
      </c>
      <c r="L182" s="154"/>
      <c r="M182" s="156">
        <f t="shared" si="12"/>
        <v>0</v>
      </c>
    </row>
    <row r="183" spans="1:13" x14ac:dyDescent="0.25">
      <c r="A183" s="170"/>
      <c r="G183" s="140"/>
      <c r="H183" s="154">
        <v>178</v>
      </c>
      <c r="I183" s="155" t="str">
        <f t="shared" si="13"/>
        <v/>
      </c>
      <c r="J183" s="154">
        <f t="shared" si="14"/>
        <v>-7</v>
      </c>
      <c r="K183" s="154">
        <f t="shared" si="11"/>
        <v>-70</v>
      </c>
      <c r="L183" s="154"/>
      <c r="M183" s="156">
        <f t="shared" si="12"/>
        <v>0</v>
      </c>
    </row>
    <row r="184" spans="1:13" x14ac:dyDescent="0.25">
      <c r="A184" s="170"/>
      <c r="G184" s="140"/>
      <c r="H184" s="154">
        <v>179</v>
      </c>
      <c r="I184" s="155" t="str">
        <f t="shared" si="13"/>
        <v/>
      </c>
      <c r="J184" s="154">
        <f t="shared" si="14"/>
        <v>-7</v>
      </c>
      <c r="K184" s="154">
        <f t="shared" si="11"/>
        <v>-70</v>
      </c>
      <c r="L184" s="154"/>
      <c r="M184" s="156">
        <f t="shared" si="12"/>
        <v>0</v>
      </c>
    </row>
    <row r="185" spans="1:13" x14ac:dyDescent="0.25">
      <c r="A185" s="170"/>
      <c r="G185" s="140"/>
      <c r="H185" s="154">
        <v>180</v>
      </c>
      <c r="I185" s="155" t="str">
        <f t="shared" si="13"/>
        <v/>
      </c>
      <c r="J185" s="154">
        <f t="shared" si="14"/>
        <v>-7</v>
      </c>
      <c r="K185" s="154">
        <f t="shared" si="11"/>
        <v>-70</v>
      </c>
      <c r="L185" s="154"/>
      <c r="M185" s="156">
        <f t="shared" si="12"/>
        <v>0</v>
      </c>
    </row>
    <row r="186" spans="1:13" x14ac:dyDescent="0.25">
      <c r="A186" s="170"/>
      <c r="G186" s="140"/>
      <c r="H186" s="154">
        <v>181</v>
      </c>
      <c r="I186" s="155" t="str">
        <f t="shared" si="13"/>
        <v/>
      </c>
      <c r="J186" s="154">
        <f t="shared" si="14"/>
        <v>-7</v>
      </c>
      <c r="K186" s="154">
        <f t="shared" si="11"/>
        <v>-70</v>
      </c>
      <c r="L186" s="154"/>
      <c r="M186" s="156">
        <f t="shared" si="12"/>
        <v>0</v>
      </c>
    </row>
    <row r="187" spans="1:13" x14ac:dyDescent="0.25">
      <c r="A187" s="170"/>
      <c r="G187" s="140"/>
      <c r="H187" s="154">
        <v>182</v>
      </c>
      <c r="I187" s="155" t="str">
        <f t="shared" si="13"/>
        <v/>
      </c>
      <c r="J187" s="154">
        <f t="shared" si="14"/>
        <v>-7</v>
      </c>
      <c r="K187" s="154">
        <f t="shared" si="11"/>
        <v>-70</v>
      </c>
      <c r="L187" s="154"/>
      <c r="M187" s="156">
        <f t="shared" si="12"/>
        <v>0</v>
      </c>
    </row>
    <row r="188" spans="1:13" x14ac:dyDescent="0.25">
      <c r="A188" s="170"/>
      <c r="G188" s="140"/>
      <c r="H188" s="154">
        <v>183</v>
      </c>
      <c r="I188" s="155" t="str">
        <f t="shared" si="13"/>
        <v/>
      </c>
      <c r="J188" s="154">
        <f t="shared" si="14"/>
        <v>-7</v>
      </c>
      <c r="K188" s="154">
        <f t="shared" si="11"/>
        <v>-70</v>
      </c>
      <c r="L188" s="154"/>
      <c r="M188" s="156">
        <f t="shared" si="12"/>
        <v>0</v>
      </c>
    </row>
    <row r="189" spans="1:13" x14ac:dyDescent="0.25">
      <c r="A189" s="170"/>
      <c r="G189" s="140"/>
      <c r="H189" s="154">
        <v>184</v>
      </c>
      <c r="I189" s="155" t="str">
        <f t="shared" si="13"/>
        <v/>
      </c>
      <c r="J189" s="154">
        <f t="shared" si="14"/>
        <v>-7</v>
      </c>
      <c r="K189" s="154">
        <f t="shared" si="11"/>
        <v>-70</v>
      </c>
      <c r="L189" s="154"/>
      <c r="M189" s="156">
        <f t="shared" si="12"/>
        <v>0</v>
      </c>
    </row>
    <row r="190" spans="1:13" x14ac:dyDescent="0.25">
      <c r="A190" s="170"/>
      <c r="G190" s="140"/>
      <c r="H190" s="154">
        <v>185</v>
      </c>
      <c r="I190" s="155" t="str">
        <f t="shared" si="13"/>
        <v/>
      </c>
      <c r="J190" s="154">
        <f t="shared" si="14"/>
        <v>-7</v>
      </c>
      <c r="K190" s="154">
        <f t="shared" si="11"/>
        <v>-70</v>
      </c>
      <c r="L190" s="154"/>
      <c r="M190" s="156">
        <f t="shared" si="12"/>
        <v>0</v>
      </c>
    </row>
    <row r="191" spans="1:13" x14ac:dyDescent="0.25">
      <c r="A191" s="170"/>
      <c r="G191" s="140"/>
      <c r="H191" s="154">
        <v>186</v>
      </c>
      <c r="I191" s="155" t="str">
        <f t="shared" si="13"/>
        <v/>
      </c>
      <c r="J191" s="154">
        <f t="shared" si="14"/>
        <v>-7</v>
      </c>
      <c r="K191" s="154">
        <f t="shared" si="11"/>
        <v>-70</v>
      </c>
      <c r="L191" s="154"/>
      <c r="M191" s="156">
        <f t="shared" si="12"/>
        <v>0</v>
      </c>
    </row>
    <row r="192" spans="1:13" x14ac:dyDescent="0.25">
      <c r="A192" s="170"/>
      <c r="G192" s="140"/>
      <c r="H192" s="154">
        <v>187</v>
      </c>
      <c r="I192" s="155" t="str">
        <f t="shared" si="13"/>
        <v/>
      </c>
      <c r="J192" s="154">
        <f t="shared" si="14"/>
        <v>-7</v>
      </c>
      <c r="K192" s="154">
        <f t="shared" si="11"/>
        <v>-70</v>
      </c>
      <c r="L192" s="154"/>
      <c r="M192" s="156">
        <f t="shared" si="12"/>
        <v>0</v>
      </c>
    </row>
    <row r="193" spans="1:13" x14ac:dyDescent="0.25">
      <c r="A193" s="170"/>
      <c r="G193" s="140"/>
      <c r="H193" s="154">
        <v>188</v>
      </c>
      <c r="I193" s="155" t="str">
        <f t="shared" si="13"/>
        <v/>
      </c>
      <c r="J193" s="154">
        <f t="shared" si="14"/>
        <v>-7</v>
      </c>
      <c r="K193" s="154">
        <f t="shared" si="11"/>
        <v>-70</v>
      </c>
      <c r="L193" s="154"/>
      <c r="M193" s="156">
        <f t="shared" si="12"/>
        <v>0</v>
      </c>
    </row>
    <row r="194" spans="1:13" x14ac:dyDescent="0.25">
      <c r="A194" s="170"/>
      <c r="G194" s="140"/>
      <c r="H194" s="154">
        <v>189</v>
      </c>
      <c r="I194" s="155" t="str">
        <f t="shared" si="13"/>
        <v/>
      </c>
      <c r="J194" s="154">
        <f t="shared" si="14"/>
        <v>-7</v>
      </c>
      <c r="K194" s="154">
        <f t="shared" si="11"/>
        <v>-70</v>
      </c>
      <c r="L194" s="154"/>
      <c r="M194" s="156">
        <f t="shared" si="12"/>
        <v>0</v>
      </c>
    </row>
    <row r="195" spans="1:13" x14ac:dyDescent="0.25">
      <c r="A195" s="170"/>
      <c r="G195" s="140"/>
      <c r="H195" s="154">
        <v>190</v>
      </c>
      <c r="I195" s="155" t="str">
        <f t="shared" si="13"/>
        <v/>
      </c>
      <c r="J195" s="154">
        <f t="shared" si="14"/>
        <v>-7</v>
      </c>
      <c r="K195" s="154">
        <f t="shared" si="11"/>
        <v>-70</v>
      </c>
      <c r="L195" s="154"/>
      <c r="M195" s="156">
        <f t="shared" si="12"/>
        <v>0</v>
      </c>
    </row>
    <row r="196" spans="1:13" x14ac:dyDescent="0.25">
      <c r="A196" s="170"/>
      <c r="G196" s="140"/>
      <c r="H196" s="154">
        <v>191</v>
      </c>
      <c r="I196" s="155" t="str">
        <f t="shared" si="13"/>
        <v/>
      </c>
      <c r="J196" s="154">
        <f t="shared" si="14"/>
        <v>-7</v>
      </c>
      <c r="K196" s="154">
        <f t="shared" si="11"/>
        <v>-70</v>
      </c>
      <c r="L196" s="154"/>
      <c r="M196" s="156">
        <f t="shared" si="12"/>
        <v>0</v>
      </c>
    </row>
    <row r="197" spans="1:13" x14ac:dyDescent="0.25">
      <c r="A197" s="170"/>
      <c r="G197" s="140"/>
      <c r="H197" s="154">
        <v>192</v>
      </c>
      <c r="I197" s="155" t="str">
        <f t="shared" si="13"/>
        <v/>
      </c>
      <c r="J197" s="154">
        <f t="shared" si="14"/>
        <v>-7</v>
      </c>
      <c r="K197" s="154">
        <f t="shared" si="11"/>
        <v>-70</v>
      </c>
      <c r="L197" s="154"/>
      <c r="M197" s="156">
        <f t="shared" si="12"/>
        <v>0</v>
      </c>
    </row>
    <row r="198" spans="1:13" x14ac:dyDescent="0.25">
      <c r="A198" s="170"/>
      <c r="G198" s="140"/>
      <c r="H198" s="154">
        <v>193</v>
      </c>
      <c r="I198" s="155" t="str">
        <f t="shared" si="13"/>
        <v/>
      </c>
      <c r="J198" s="154">
        <f t="shared" si="14"/>
        <v>-7</v>
      </c>
      <c r="K198" s="154">
        <f t="shared" ref="K198:K261" si="15">J198*$J$2</f>
        <v>-70</v>
      </c>
      <c r="L198" s="154"/>
      <c r="M198" s="156">
        <f t="shared" ref="M198:M261" si="16">IF(I198&lt;&gt;"",K198+I198+L198,0)</f>
        <v>0</v>
      </c>
    </row>
    <row r="199" spans="1:13" x14ac:dyDescent="0.25">
      <c r="A199" s="170"/>
      <c r="G199" s="140"/>
      <c r="H199" s="154">
        <v>194</v>
      </c>
      <c r="I199" s="155" t="str">
        <f t="shared" ref="I199:I262" si="17">IF(H199&lt;$H$2+1,($I$2-($I$2-1)*(LOG(H199)/LOG($H$2))),"")</f>
        <v/>
      </c>
      <c r="J199" s="154">
        <f t="shared" ref="J199:J262" si="18">INT(LOG($H$2,2))-ROUNDUP(LOG(H199,2),0)+IF(OR($H$2=1,$H$2=2,$H$2=4,$H$2=8,$H$2=16,$H$2=32,$H$2=64,$H$2=128,$H$2=256),0,1)</f>
        <v>-7</v>
      </c>
      <c r="K199" s="154">
        <f t="shared" si="15"/>
        <v>-70</v>
      </c>
      <c r="L199" s="154"/>
      <c r="M199" s="156">
        <f t="shared" si="16"/>
        <v>0</v>
      </c>
    </row>
    <row r="200" spans="1:13" x14ac:dyDescent="0.25">
      <c r="A200" s="170"/>
      <c r="G200" s="140"/>
      <c r="H200" s="154">
        <v>195</v>
      </c>
      <c r="I200" s="155" t="str">
        <f t="shared" si="17"/>
        <v/>
      </c>
      <c r="J200" s="154">
        <f t="shared" si="18"/>
        <v>-7</v>
      </c>
      <c r="K200" s="154">
        <f t="shared" si="15"/>
        <v>-70</v>
      </c>
      <c r="L200" s="154"/>
      <c r="M200" s="156">
        <f t="shared" si="16"/>
        <v>0</v>
      </c>
    </row>
    <row r="201" spans="1:13" x14ac:dyDescent="0.25">
      <c r="A201" s="170"/>
      <c r="G201" s="140"/>
      <c r="H201" s="154">
        <v>196</v>
      </c>
      <c r="I201" s="155" t="str">
        <f t="shared" si="17"/>
        <v/>
      </c>
      <c r="J201" s="154">
        <f t="shared" si="18"/>
        <v>-7</v>
      </c>
      <c r="K201" s="154">
        <f t="shared" si="15"/>
        <v>-70</v>
      </c>
      <c r="L201" s="154"/>
      <c r="M201" s="156">
        <f t="shared" si="16"/>
        <v>0</v>
      </c>
    </row>
    <row r="202" spans="1:13" x14ac:dyDescent="0.25">
      <c r="A202" s="170"/>
      <c r="G202" s="140"/>
      <c r="H202" s="154">
        <v>197</v>
      </c>
      <c r="I202" s="155" t="str">
        <f t="shared" si="17"/>
        <v/>
      </c>
      <c r="J202" s="154">
        <f t="shared" si="18"/>
        <v>-7</v>
      </c>
      <c r="K202" s="154">
        <f t="shared" si="15"/>
        <v>-70</v>
      </c>
      <c r="L202" s="154"/>
      <c r="M202" s="156">
        <f t="shared" si="16"/>
        <v>0</v>
      </c>
    </row>
    <row r="203" spans="1:13" x14ac:dyDescent="0.25">
      <c r="A203" s="170"/>
      <c r="G203" s="140"/>
      <c r="H203" s="154">
        <v>198</v>
      </c>
      <c r="I203" s="155" t="str">
        <f t="shared" si="17"/>
        <v/>
      </c>
      <c r="J203" s="154">
        <f t="shared" si="18"/>
        <v>-7</v>
      </c>
      <c r="K203" s="154">
        <f t="shared" si="15"/>
        <v>-70</v>
      </c>
      <c r="L203" s="154"/>
      <c r="M203" s="156">
        <f t="shared" si="16"/>
        <v>0</v>
      </c>
    </row>
    <row r="204" spans="1:13" x14ac:dyDescent="0.25">
      <c r="A204" s="170"/>
      <c r="G204" s="140"/>
      <c r="H204" s="154">
        <v>199</v>
      </c>
      <c r="I204" s="155" t="str">
        <f t="shared" si="17"/>
        <v/>
      </c>
      <c r="J204" s="154">
        <f t="shared" si="18"/>
        <v>-7</v>
      </c>
      <c r="K204" s="154">
        <f t="shared" si="15"/>
        <v>-70</v>
      </c>
      <c r="L204" s="154"/>
      <c r="M204" s="156">
        <f t="shared" si="16"/>
        <v>0</v>
      </c>
    </row>
    <row r="205" spans="1:13" x14ac:dyDescent="0.25">
      <c r="A205" s="170"/>
      <c r="G205" s="140"/>
      <c r="H205" s="154">
        <v>200</v>
      </c>
      <c r="I205" s="155" t="str">
        <f t="shared" si="17"/>
        <v/>
      </c>
      <c r="J205" s="154">
        <f t="shared" si="18"/>
        <v>-7</v>
      </c>
      <c r="K205" s="154">
        <f t="shared" si="15"/>
        <v>-70</v>
      </c>
      <c r="L205" s="154"/>
      <c r="M205" s="156">
        <f t="shared" si="16"/>
        <v>0</v>
      </c>
    </row>
    <row r="206" spans="1:13" x14ac:dyDescent="0.25">
      <c r="A206" s="170"/>
      <c r="G206" s="140"/>
      <c r="H206" s="154">
        <v>201</v>
      </c>
      <c r="I206" s="155" t="str">
        <f t="shared" si="17"/>
        <v/>
      </c>
      <c r="J206" s="154">
        <f t="shared" si="18"/>
        <v>-7</v>
      </c>
      <c r="K206" s="154">
        <f t="shared" si="15"/>
        <v>-70</v>
      </c>
      <c r="L206" s="154"/>
      <c r="M206" s="156">
        <f t="shared" si="16"/>
        <v>0</v>
      </c>
    </row>
    <row r="207" spans="1:13" x14ac:dyDescent="0.25">
      <c r="A207" s="170"/>
      <c r="G207" s="140"/>
      <c r="H207" s="154">
        <v>202</v>
      </c>
      <c r="I207" s="155" t="str">
        <f t="shared" si="17"/>
        <v/>
      </c>
      <c r="J207" s="154">
        <f t="shared" si="18"/>
        <v>-7</v>
      </c>
      <c r="K207" s="154">
        <f t="shared" si="15"/>
        <v>-70</v>
      </c>
      <c r="L207" s="154"/>
      <c r="M207" s="156">
        <f t="shared" si="16"/>
        <v>0</v>
      </c>
    </row>
    <row r="208" spans="1:13" x14ac:dyDescent="0.25">
      <c r="A208" s="170"/>
      <c r="G208" s="140"/>
      <c r="H208" s="154">
        <v>203</v>
      </c>
      <c r="I208" s="155" t="str">
        <f t="shared" si="17"/>
        <v/>
      </c>
      <c r="J208" s="154">
        <f t="shared" si="18"/>
        <v>-7</v>
      </c>
      <c r="K208" s="154">
        <f t="shared" si="15"/>
        <v>-70</v>
      </c>
      <c r="L208" s="154"/>
      <c r="M208" s="156">
        <f t="shared" si="16"/>
        <v>0</v>
      </c>
    </row>
    <row r="209" spans="1:13" x14ac:dyDescent="0.25">
      <c r="A209" s="170"/>
      <c r="G209" s="140"/>
      <c r="H209" s="154">
        <v>204</v>
      </c>
      <c r="I209" s="155" t="str">
        <f t="shared" si="17"/>
        <v/>
      </c>
      <c r="J209" s="154">
        <f t="shared" si="18"/>
        <v>-7</v>
      </c>
      <c r="K209" s="154">
        <f t="shared" si="15"/>
        <v>-70</v>
      </c>
      <c r="L209" s="154"/>
      <c r="M209" s="156">
        <f t="shared" si="16"/>
        <v>0</v>
      </c>
    </row>
    <row r="210" spans="1:13" x14ac:dyDescent="0.25">
      <c r="A210" s="170"/>
      <c r="G210" s="140"/>
      <c r="H210" s="154">
        <v>205</v>
      </c>
      <c r="I210" s="155" t="str">
        <f t="shared" si="17"/>
        <v/>
      </c>
      <c r="J210" s="154">
        <f t="shared" si="18"/>
        <v>-7</v>
      </c>
      <c r="K210" s="154">
        <f t="shared" si="15"/>
        <v>-70</v>
      </c>
      <c r="L210" s="154"/>
      <c r="M210" s="156">
        <f t="shared" si="16"/>
        <v>0</v>
      </c>
    </row>
    <row r="211" spans="1:13" x14ac:dyDescent="0.25">
      <c r="A211" s="170"/>
      <c r="G211" s="140"/>
      <c r="H211" s="154">
        <v>206</v>
      </c>
      <c r="I211" s="155" t="str">
        <f t="shared" si="17"/>
        <v/>
      </c>
      <c r="J211" s="154">
        <f t="shared" si="18"/>
        <v>-7</v>
      </c>
      <c r="K211" s="154">
        <f t="shared" si="15"/>
        <v>-70</v>
      </c>
      <c r="L211" s="154"/>
      <c r="M211" s="156">
        <f t="shared" si="16"/>
        <v>0</v>
      </c>
    </row>
    <row r="212" spans="1:13" x14ac:dyDescent="0.25">
      <c r="A212" s="170"/>
      <c r="G212" s="140"/>
      <c r="H212" s="154">
        <v>207</v>
      </c>
      <c r="I212" s="155" t="str">
        <f t="shared" si="17"/>
        <v/>
      </c>
      <c r="J212" s="154">
        <f t="shared" si="18"/>
        <v>-7</v>
      </c>
      <c r="K212" s="154">
        <f t="shared" si="15"/>
        <v>-70</v>
      </c>
      <c r="L212" s="154"/>
      <c r="M212" s="156">
        <f t="shared" si="16"/>
        <v>0</v>
      </c>
    </row>
    <row r="213" spans="1:13" x14ac:dyDescent="0.25">
      <c r="A213" s="170"/>
      <c r="G213" s="140"/>
      <c r="H213" s="154">
        <v>208</v>
      </c>
      <c r="I213" s="155" t="str">
        <f t="shared" si="17"/>
        <v/>
      </c>
      <c r="J213" s="154">
        <f t="shared" si="18"/>
        <v>-7</v>
      </c>
      <c r="K213" s="154">
        <f t="shared" si="15"/>
        <v>-70</v>
      </c>
      <c r="L213" s="154"/>
      <c r="M213" s="156">
        <f t="shared" si="16"/>
        <v>0</v>
      </c>
    </row>
    <row r="214" spans="1:13" x14ac:dyDescent="0.25">
      <c r="A214" s="170"/>
      <c r="G214" s="140"/>
      <c r="H214" s="154">
        <v>209</v>
      </c>
      <c r="I214" s="155" t="str">
        <f t="shared" si="17"/>
        <v/>
      </c>
      <c r="J214" s="154">
        <f t="shared" si="18"/>
        <v>-7</v>
      </c>
      <c r="K214" s="154">
        <f t="shared" si="15"/>
        <v>-70</v>
      </c>
      <c r="L214" s="154"/>
      <c r="M214" s="156">
        <f t="shared" si="16"/>
        <v>0</v>
      </c>
    </row>
    <row r="215" spans="1:13" x14ac:dyDescent="0.25">
      <c r="A215" s="170"/>
      <c r="G215" s="140"/>
      <c r="H215" s="154">
        <v>210</v>
      </c>
      <c r="I215" s="155" t="str">
        <f t="shared" si="17"/>
        <v/>
      </c>
      <c r="J215" s="154">
        <f t="shared" si="18"/>
        <v>-7</v>
      </c>
      <c r="K215" s="154">
        <f t="shared" si="15"/>
        <v>-70</v>
      </c>
      <c r="L215" s="154"/>
      <c r="M215" s="156">
        <f t="shared" si="16"/>
        <v>0</v>
      </c>
    </row>
    <row r="216" spans="1:13" x14ac:dyDescent="0.25">
      <c r="A216" s="170"/>
      <c r="G216" s="140"/>
      <c r="H216" s="154">
        <v>211</v>
      </c>
      <c r="I216" s="155" t="str">
        <f t="shared" si="17"/>
        <v/>
      </c>
      <c r="J216" s="154">
        <f t="shared" si="18"/>
        <v>-7</v>
      </c>
      <c r="K216" s="154">
        <f t="shared" si="15"/>
        <v>-70</v>
      </c>
      <c r="L216" s="154"/>
      <c r="M216" s="156">
        <f t="shared" si="16"/>
        <v>0</v>
      </c>
    </row>
    <row r="217" spans="1:13" x14ac:dyDescent="0.25">
      <c r="A217" s="170"/>
      <c r="G217" s="140"/>
      <c r="H217" s="154">
        <v>212</v>
      </c>
      <c r="I217" s="155" t="str">
        <f t="shared" si="17"/>
        <v/>
      </c>
      <c r="J217" s="154">
        <f t="shared" si="18"/>
        <v>-7</v>
      </c>
      <c r="K217" s="154">
        <f t="shared" si="15"/>
        <v>-70</v>
      </c>
      <c r="L217" s="154"/>
      <c r="M217" s="156">
        <f t="shared" si="16"/>
        <v>0</v>
      </c>
    </row>
    <row r="218" spans="1:13" x14ac:dyDescent="0.25">
      <c r="A218" s="170"/>
      <c r="G218" s="140"/>
      <c r="H218" s="154">
        <v>213</v>
      </c>
      <c r="I218" s="155" t="str">
        <f t="shared" si="17"/>
        <v/>
      </c>
      <c r="J218" s="154">
        <f t="shared" si="18"/>
        <v>-7</v>
      </c>
      <c r="K218" s="154">
        <f t="shared" si="15"/>
        <v>-70</v>
      </c>
      <c r="L218" s="154"/>
      <c r="M218" s="156">
        <f t="shared" si="16"/>
        <v>0</v>
      </c>
    </row>
    <row r="219" spans="1:13" x14ac:dyDescent="0.25">
      <c r="A219" s="170"/>
      <c r="G219" s="140"/>
      <c r="H219" s="154">
        <v>214</v>
      </c>
      <c r="I219" s="155" t="str">
        <f t="shared" si="17"/>
        <v/>
      </c>
      <c r="J219" s="154">
        <f t="shared" si="18"/>
        <v>-7</v>
      </c>
      <c r="K219" s="154">
        <f t="shared" si="15"/>
        <v>-70</v>
      </c>
      <c r="L219" s="154"/>
      <c r="M219" s="156">
        <f t="shared" si="16"/>
        <v>0</v>
      </c>
    </row>
    <row r="220" spans="1:13" x14ac:dyDescent="0.25">
      <c r="A220" s="170"/>
      <c r="G220" s="140"/>
      <c r="H220" s="154">
        <v>215</v>
      </c>
      <c r="I220" s="155" t="str">
        <f t="shared" si="17"/>
        <v/>
      </c>
      <c r="J220" s="154">
        <f t="shared" si="18"/>
        <v>-7</v>
      </c>
      <c r="K220" s="154">
        <f t="shared" si="15"/>
        <v>-70</v>
      </c>
      <c r="L220" s="154"/>
      <c r="M220" s="156">
        <f t="shared" si="16"/>
        <v>0</v>
      </c>
    </row>
    <row r="221" spans="1:13" x14ac:dyDescent="0.25">
      <c r="A221" s="170"/>
      <c r="G221" s="140"/>
      <c r="H221" s="154">
        <v>216</v>
      </c>
      <c r="I221" s="155" t="str">
        <f t="shared" si="17"/>
        <v/>
      </c>
      <c r="J221" s="154">
        <f t="shared" si="18"/>
        <v>-7</v>
      </c>
      <c r="K221" s="154">
        <f t="shared" si="15"/>
        <v>-70</v>
      </c>
      <c r="L221" s="154"/>
      <c r="M221" s="156">
        <f t="shared" si="16"/>
        <v>0</v>
      </c>
    </row>
    <row r="222" spans="1:13" x14ac:dyDescent="0.25">
      <c r="A222" s="170"/>
      <c r="G222" s="140"/>
      <c r="H222" s="154">
        <v>217</v>
      </c>
      <c r="I222" s="155" t="str">
        <f t="shared" si="17"/>
        <v/>
      </c>
      <c r="J222" s="154">
        <f t="shared" si="18"/>
        <v>-7</v>
      </c>
      <c r="K222" s="154">
        <f t="shared" si="15"/>
        <v>-70</v>
      </c>
      <c r="L222" s="154"/>
      <c r="M222" s="156">
        <f t="shared" si="16"/>
        <v>0</v>
      </c>
    </row>
    <row r="223" spans="1:13" x14ac:dyDescent="0.25">
      <c r="A223" s="170"/>
      <c r="G223" s="140"/>
      <c r="H223" s="154">
        <v>218</v>
      </c>
      <c r="I223" s="155" t="str">
        <f t="shared" si="17"/>
        <v/>
      </c>
      <c r="J223" s="154">
        <f t="shared" si="18"/>
        <v>-7</v>
      </c>
      <c r="K223" s="154">
        <f t="shared" si="15"/>
        <v>-70</v>
      </c>
      <c r="L223" s="154"/>
      <c r="M223" s="156">
        <f t="shared" si="16"/>
        <v>0</v>
      </c>
    </row>
    <row r="224" spans="1:13" x14ac:dyDescent="0.25">
      <c r="A224" s="170"/>
      <c r="G224" s="140"/>
      <c r="H224" s="154">
        <v>219</v>
      </c>
      <c r="I224" s="155" t="str">
        <f t="shared" si="17"/>
        <v/>
      </c>
      <c r="J224" s="154">
        <f t="shared" si="18"/>
        <v>-7</v>
      </c>
      <c r="K224" s="154">
        <f t="shared" si="15"/>
        <v>-70</v>
      </c>
      <c r="L224" s="154"/>
      <c r="M224" s="156">
        <f t="shared" si="16"/>
        <v>0</v>
      </c>
    </row>
    <row r="225" spans="1:13" x14ac:dyDescent="0.25">
      <c r="A225" s="170"/>
      <c r="G225" s="140"/>
      <c r="H225" s="154">
        <v>220</v>
      </c>
      <c r="I225" s="155" t="str">
        <f t="shared" si="17"/>
        <v/>
      </c>
      <c r="J225" s="154">
        <f t="shared" si="18"/>
        <v>-7</v>
      </c>
      <c r="K225" s="154">
        <f t="shared" si="15"/>
        <v>-70</v>
      </c>
      <c r="L225" s="154"/>
      <c r="M225" s="156">
        <f t="shared" si="16"/>
        <v>0</v>
      </c>
    </row>
    <row r="226" spans="1:13" x14ac:dyDescent="0.25">
      <c r="A226" s="170"/>
      <c r="G226" s="140"/>
      <c r="H226" s="154">
        <v>221</v>
      </c>
      <c r="I226" s="155" t="str">
        <f t="shared" si="17"/>
        <v/>
      </c>
      <c r="J226" s="154">
        <f t="shared" si="18"/>
        <v>-7</v>
      </c>
      <c r="K226" s="154">
        <f t="shared" si="15"/>
        <v>-70</v>
      </c>
      <c r="L226" s="154"/>
      <c r="M226" s="156">
        <f t="shared" si="16"/>
        <v>0</v>
      </c>
    </row>
    <row r="227" spans="1:13" x14ac:dyDescent="0.25">
      <c r="A227" s="170"/>
      <c r="G227" s="140"/>
      <c r="H227" s="154">
        <v>222</v>
      </c>
      <c r="I227" s="155" t="str">
        <f t="shared" si="17"/>
        <v/>
      </c>
      <c r="J227" s="154">
        <f t="shared" si="18"/>
        <v>-7</v>
      </c>
      <c r="K227" s="154">
        <f t="shared" si="15"/>
        <v>-70</v>
      </c>
      <c r="L227" s="154"/>
      <c r="M227" s="156">
        <f t="shared" si="16"/>
        <v>0</v>
      </c>
    </row>
    <row r="228" spans="1:13" x14ac:dyDescent="0.25">
      <c r="A228" s="170"/>
      <c r="G228" s="140"/>
      <c r="H228" s="154">
        <v>223</v>
      </c>
      <c r="I228" s="155" t="str">
        <f t="shared" si="17"/>
        <v/>
      </c>
      <c r="J228" s="154">
        <f t="shared" si="18"/>
        <v>-7</v>
      </c>
      <c r="K228" s="154">
        <f t="shared" si="15"/>
        <v>-70</v>
      </c>
      <c r="L228" s="154"/>
      <c r="M228" s="156">
        <f t="shared" si="16"/>
        <v>0</v>
      </c>
    </row>
    <row r="229" spans="1:13" x14ac:dyDescent="0.25">
      <c r="A229" s="170"/>
      <c r="G229" s="140"/>
      <c r="H229" s="154">
        <v>224</v>
      </c>
      <c r="I229" s="155" t="str">
        <f t="shared" si="17"/>
        <v/>
      </c>
      <c r="J229" s="154">
        <f t="shared" si="18"/>
        <v>-7</v>
      </c>
      <c r="K229" s="154">
        <f t="shared" si="15"/>
        <v>-70</v>
      </c>
      <c r="L229" s="154"/>
      <c r="M229" s="156">
        <f t="shared" si="16"/>
        <v>0</v>
      </c>
    </row>
    <row r="230" spans="1:13" x14ac:dyDescent="0.25">
      <c r="A230" s="170"/>
      <c r="G230" s="140"/>
      <c r="H230" s="154">
        <v>225</v>
      </c>
      <c r="I230" s="155" t="str">
        <f t="shared" si="17"/>
        <v/>
      </c>
      <c r="J230" s="154">
        <f t="shared" si="18"/>
        <v>-7</v>
      </c>
      <c r="K230" s="154">
        <f t="shared" si="15"/>
        <v>-70</v>
      </c>
      <c r="L230" s="154"/>
      <c r="M230" s="156">
        <f t="shared" si="16"/>
        <v>0</v>
      </c>
    </row>
    <row r="231" spans="1:13" x14ac:dyDescent="0.25">
      <c r="A231" s="170"/>
      <c r="G231" s="140"/>
      <c r="H231" s="154">
        <v>226</v>
      </c>
      <c r="I231" s="155" t="str">
        <f t="shared" si="17"/>
        <v/>
      </c>
      <c r="J231" s="154">
        <f t="shared" si="18"/>
        <v>-7</v>
      </c>
      <c r="K231" s="154">
        <f t="shared" si="15"/>
        <v>-70</v>
      </c>
      <c r="L231" s="154"/>
      <c r="M231" s="156">
        <f t="shared" si="16"/>
        <v>0</v>
      </c>
    </row>
    <row r="232" spans="1:13" x14ac:dyDescent="0.25">
      <c r="A232" s="170"/>
      <c r="G232" s="140"/>
      <c r="H232" s="154">
        <v>227</v>
      </c>
      <c r="I232" s="155" t="str">
        <f t="shared" si="17"/>
        <v/>
      </c>
      <c r="J232" s="154">
        <f t="shared" si="18"/>
        <v>-7</v>
      </c>
      <c r="K232" s="154">
        <f t="shared" si="15"/>
        <v>-70</v>
      </c>
      <c r="L232" s="154"/>
      <c r="M232" s="156">
        <f t="shared" si="16"/>
        <v>0</v>
      </c>
    </row>
    <row r="233" spans="1:13" x14ac:dyDescent="0.25">
      <c r="A233" s="170"/>
      <c r="G233" s="140"/>
      <c r="H233" s="154">
        <v>228</v>
      </c>
      <c r="I233" s="155" t="str">
        <f t="shared" si="17"/>
        <v/>
      </c>
      <c r="J233" s="154">
        <f t="shared" si="18"/>
        <v>-7</v>
      </c>
      <c r="K233" s="154">
        <f t="shared" si="15"/>
        <v>-70</v>
      </c>
      <c r="L233" s="154"/>
      <c r="M233" s="156">
        <f t="shared" si="16"/>
        <v>0</v>
      </c>
    </row>
    <row r="234" spans="1:13" x14ac:dyDescent="0.25">
      <c r="A234" s="170"/>
      <c r="G234" s="140"/>
      <c r="H234" s="154">
        <v>229</v>
      </c>
      <c r="I234" s="155" t="str">
        <f t="shared" si="17"/>
        <v/>
      </c>
      <c r="J234" s="154">
        <f t="shared" si="18"/>
        <v>-7</v>
      </c>
      <c r="K234" s="154">
        <f t="shared" si="15"/>
        <v>-70</v>
      </c>
      <c r="L234" s="154"/>
      <c r="M234" s="156">
        <f t="shared" si="16"/>
        <v>0</v>
      </c>
    </row>
    <row r="235" spans="1:13" x14ac:dyDescent="0.25">
      <c r="A235" s="170"/>
      <c r="G235" s="140"/>
      <c r="H235" s="154">
        <v>230</v>
      </c>
      <c r="I235" s="155" t="str">
        <f t="shared" si="17"/>
        <v/>
      </c>
      <c r="J235" s="154">
        <f t="shared" si="18"/>
        <v>-7</v>
      </c>
      <c r="K235" s="154">
        <f t="shared" si="15"/>
        <v>-70</v>
      </c>
      <c r="L235" s="154"/>
      <c r="M235" s="156">
        <f t="shared" si="16"/>
        <v>0</v>
      </c>
    </row>
    <row r="236" spans="1:13" x14ac:dyDescent="0.25">
      <c r="A236" s="170"/>
      <c r="G236" s="140"/>
      <c r="H236" s="154">
        <v>231</v>
      </c>
      <c r="I236" s="155" t="str">
        <f t="shared" si="17"/>
        <v/>
      </c>
      <c r="J236" s="154">
        <f t="shared" si="18"/>
        <v>-7</v>
      </c>
      <c r="K236" s="154">
        <f t="shared" si="15"/>
        <v>-70</v>
      </c>
      <c r="L236" s="154"/>
      <c r="M236" s="156">
        <f t="shared" si="16"/>
        <v>0</v>
      </c>
    </row>
    <row r="237" spans="1:13" x14ac:dyDescent="0.25">
      <c r="A237" s="170"/>
      <c r="G237" s="140"/>
      <c r="H237" s="154">
        <v>232</v>
      </c>
      <c r="I237" s="155" t="str">
        <f t="shared" si="17"/>
        <v/>
      </c>
      <c r="J237" s="154">
        <f t="shared" si="18"/>
        <v>-7</v>
      </c>
      <c r="K237" s="154">
        <f t="shared" si="15"/>
        <v>-70</v>
      </c>
      <c r="L237" s="154"/>
      <c r="M237" s="156">
        <f t="shared" si="16"/>
        <v>0</v>
      </c>
    </row>
    <row r="238" spans="1:13" x14ac:dyDescent="0.25">
      <c r="A238" s="170"/>
      <c r="G238" s="140"/>
      <c r="H238" s="154">
        <v>233</v>
      </c>
      <c r="I238" s="155" t="str">
        <f t="shared" si="17"/>
        <v/>
      </c>
      <c r="J238" s="154">
        <f t="shared" si="18"/>
        <v>-7</v>
      </c>
      <c r="K238" s="154">
        <f t="shared" si="15"/>
        <v>-70</v>
      </c>
      <c r="L238" s="154"/>
      <c r="M238" s="156">
        <f t="shared" si="16"/>
        <v>0</v>
      </c>
    </row>
    <row r="239" spans="1:13" x14ac:dyDescent="0.25">
      <c r="A239" s="170"/>
      <c r="G239" s="140"/>
      <c r="H239" s="154">
        <v>234</v>
      </c>
      <c r="I239" s="155" t="str">
        <f t="shared" si="17"/>
        <v/>
      </c>
      <c r="J239" s="154">
        <f t="shared" si="18"/>
        <v>-7</v>
      </c>
      <c r="K239" s="154">
        <f t="shared" si="15"/>
        <v>-70</v>
      </c>
      <c r="L239" s="154"/>
      <c r="M239" s="156">
        <f t="shared" si="16"/>
        <v>0</v>
      </c>
    </row>
    <row r="240" spans="1:13" x14ac:dyDescent="0.25">
      <c r="A240" s="170"/>
      <c r="G240" s="140"/>
      <c r="H240" s="154">
        <v>235</v>
      </c>
      <c r="I240" s="155" t="str">
        <f t="shared" si="17"/>
        <v/>
      </c>
      <c r="J240" s="154">
        <f t="shared" si="18"/>
        <v>-7</v>
      </c>
      <c r="K240" s="154">
        <f t="shared" si="15"/>
        <v>-70</v>
      </c>
      <c r="L240" s="154"/>
      <c r="M240" s="156">
        <f t="shared" si="16"/>
        <v>0</v>
      </c>
    </row>
    <row r="241" spans="1:13" x14ac:dyDescent="0.25">
      <c r="A241" s="170"/>
      <c r="G241" s="140"/>
      <c r="H241" s="154">
        <v>236</v>
      </c>
      <c r="I241" s="155" t="str">
        <f t="shared" si="17"/>
        <v/>
      </c>
      <c r="J241" s="154">
        <f t="shared" si="18"/>
        <v>-7</v>
      </c>
      <c r="K241" s="154">
        <f t="shared" si="15"/>
        <v>-70</v>
      </c>
      <c r="L241" s="154"/>
      <c r="M241" s="156">
        <f t="shared" si="16"/>
        <v>0</v>
      </c>
    </row>
    <row r="242" spans="1:13" x14ac:dyDescent="0.25">
      <c r="A242" s="170"/>
      <c r="G242" s="140"/>
      <c r="H242" s="154">
        <v>237</v>
      </c>
      <c r="I242" s="155" t="str">
        <f t="shared" si="17"/>
        <v/>
      </c>
      <c r="J242" s="154">
        <f t="shared" si="18"/>
        <v>-7</v>
      </c>
      <c r="K242" s="154">
        <f t="shared" si="15"/>
        <v>-70</v>
      </c>
      <c r="L242" s="154"/>
      <c r="M242" s="156">
        <f t="shared" si="16"/>
        <v>0</v>
      </c>
    </row>
    <row r="243" spans="1:13" x14ac:dyDescent="0.25">
      <c r="A243" s="170"/>
      <c r="G243" s="140"/>
      <c r="H243" s="154">
        <v>238</v>
      </c>
      <c r="I243" s="155" t="str">
        <f t="shared" si="17"/>
        <v/>
      </c>
      <c r="J243" s="154">
        <f t="shared" si="18"/>
        <v>-7</v>
      </c>
      <c r="K243" s="154">
        <f t="shared" si="15"/>
        <v>-70</v>
      </c>
      <c r="L243" s="154"/>
      <c r="M243" s="156">
        <f t="shared" si="16"/>
        <v>0</v>
      </c>
    </row>
    <row r="244" spans="1:13" x14ac:dyDescent="0.25">
      <c r="A244" s="170"/>
      <c r="G244" s="140"/>
      <c r="H244" s="154">
        <v>239</v>
      </c>
      <c r="I244" s="155" t="str">
        <f t="shared" si="17"/>
        <v/>
      </c>
      <c r="J244" s="154">
        <f t="shared" si="18"/>
        <v>-7</v>
      </c>
      <c r="K244" s="154">
        <f t="shared" si="15"/>
        <v>-70</v>
      </c>
      <c r="L244" s="154"/>
      <c r="M244" s="156">
        <f t="shared" si="16"/>
        <v>0</v>
      </c>
    </row>
    <row r="245" spans="1:13" x14ac:dyDescent="0.25">
      <c r="A245" s="170"/>
      <c r="G245" s="140"/>
      <c r="H245" s="154">
        <v>240</v>
      </c>
      <c r="I245" s="155" t="str">
        <f t="shared" si="17"/>
        <v/>
      </c>
      <c r="J245" s="154">
        <f t="shared" si="18"/>
        <v>-7</v>
      </c>
      <c r="K245" s="154">
        <f t="shared" si="15"/>
        <v>-70</v>
      </c>
      <c r="L245" s="154"/>
      <c r="M245" s="156">
        <f t="shared" si="16"/>
        <v>0</v>
      </c>
    </row>
    <row r="246" spans="1:13" x14ac:dyDescent="0.25">
      <c r="A246" s="170"/>
      <c r="G246" s="140"/>
      <c r="H246" s="154">
        <v>241</v>
      </c>
      <c r="I246" s="155" t="str">
        <f t="shared" si="17"/>
        <v/>
      </c>
      <c r="J246" s="154">
        <f t="shared" si="18"/>
        <v>-7</v>
      </c>
      <c r="K246" s="154">
        <f t="shared" si="15"/>
        <v>-70</v>
      </c>
      <c r="L246" s="154"/>
      <c r="M246" s="156">
        <f t="shared" si="16"/>
        <v>0</v>
      </c>
    </row>
    <row r="247" spans="1:13" x14ac:dyDescent="0.25">
      <c r="A247" s="170"/>
      <c r="G247" s="140"/>
      <c r="H247" s="154">
        <v>242</v>
      </c>
      <c r="I247" s="155" t="str">
        <f t="shared" si="17"/>
        <v/>
      </c>
      <c r="J247" s="154">
        <f t="shared" si="18"/>
        <v>-7</v>
      </c>
      <c r="K247" s="154">
        <f t="shared" si="15"/>
        <v>-70</v>
      </c>
      <c r="L247" s="154"/>
      <c r="M247" s="156">
        <f t="shared" si="16"/>
        <v>0</v>
      </c>
    </row>
    <row r="248" spans="1:13" x14ac:dyDescent="0.25">
      <c r="A248" s="170"/>
      <c r="G248" s="140"/>
      <c r="H248" s="154">
        <v>243</v>
      </c>
      <c r="I248" s="155" t="str">
        <f t="shared" si="17"/>
        <v/>
      </c>
      <c r="J248" s="154">
        <f t="shared" si="18"/>
        <v>-7</v>
      </c>
      <c r="K248" s="154">
        <f t="shared" si="15"/>
        <v>-70</v>
      </c>
      <c r="L248" s="154"/>
      <c r="M248" s="156">
        <f t="shared" si="16"/>
        <v>0</v>
      </c>
    </row>
    <row r="249" spans="1:13" x14ac:dyDescent="0.25">
      <c r="A249" s="170"/>
      <c r="G249" s="140"/>
      <c r="H249" s="154">
        <v>244</v>
      </c>
      <c r="I249" s="155" t="str">
        <f t="shared" si="17"/>
        <v/>
      </c>
      <c r="J249" s="154">
        <f t="shared" si="18"/>
        <v>-7</v>
      </c>
      <c r="K249" s="154">
        <f t="shared" si="15"/>
        <v>-70</v>
      </c>
      <c r="L249" s="154"/>
      <c r="M249" s="156">
        <f t="shared" si="16"/>
        <v>0</v>
      </c>
    </row>
    <row r="250" spans="1:13" x14ac:dyDescent="0.25">
      <c r="A250" s="170"/>
      <c r="G250" s="140"/>
      <c r="H250" s="154">
        <v>245</v>
      </c>
      <c r="I250" s="155" t="str">
        <f t="shared" si="17"/>
        <v/>
      </c>
      <c r="J250" s="154">
        <f t="shared" si="18"/>
        <v>-7</v>
      </c>
      <c r="K250" s="154">
        <f t="shared" si="15"/>
        <v>-70</v>
      </c>
      <c r="L250" s="154"/>
      <c r="M250" s="156">
        <f t="shared" si="16"/>
        <v>0</v>
      </c>
    </row>
    <row r="251" spans="1:13" x14ac:dyDescent="0.25">
      <c r="A251" s="170"/>
      <c r="G251" s="140"/>
      <c r="H251" s="154">
        <v>246</v>
      </c>
      <c r="I251" s="155" t="str">
        <f t="shared" si="17"/>
        <v/>
      </c>
      <c r="J251" s="154">
        <f t="shared" si="18"/>
        <v>-7</v>
      </c>
      <c r="K251" s="154">
        <f t="shared" si="15"/>
        <v>-70</v>
      </c>
      <c r="L251" s="154"/>
      <c r="M251" s="156">
        <f t="shared" si="16"/>
        <v>0</v>
      </c>
    </row>
    <row r="252" spans="1:13" x14ac:dyDescent="0.25">
      <c r="A252" s="170"/>
      <c r="G252" s="140"/>
      <c r="H252" s="154">
        <v>247</v>
      </c>
      <c r="I252" s="155" t="str">
        <f t="shared" si="17"/>
        <v/>
      </c>
      <c r="J252" s="154">
        <f t="shared" si="18"/>
        <v>-7</v>
      </c>
      <c r="K252" s="154">
        <f t="shared" si="15"/>
        <v>-70</v>
      </c>
      <c r="L252" s="154"/>
      <c r="M252" s="156">
        <f t="shared" si="16"/>
        <v>0</v>
      </c>
    </row>
    <row r="253" spans="1:13" x14ac:dyDescent="0.25">
      <c r="A253" s="170"/>
      <c r="G253" s="140"/>
      <c r="H253" s="154">
        <v>248</v>
      </c>
      <c r="I253" s="155" t="str">
        <f t="shared" si="17"/>
        <v/>
      </c>
      <c r="J253" s="154">
        <f t="shared" si="18"/>
        <v>-7</v>
      </c>
      <c r="K253" s="154">
        <f t="shared" si="15"/>
        <v>-70</v>
      </c>
      <c r="L253" s="154"/>
      <c r="M253" s="156">
        <f t="shared" si="16"/>
        <v>0</v>
      </c>
    </row>
    <row r="254" spans="1:13" x14ac:dyDescent="0.25">
      <c r="A254" s="170"/>
      <c r="G254" s="140"/>
      <c r="H254" s="154">
        <v>249</v>
      </c>
      <c r="I254" s="155" t="str">
        <f t="shared" si="17"/>
        <v/>
      </c>
      <c r="J254" s="154">
        <f t="shared" si="18"/>
        <v>-7</v>
      </c>
      <c r="K254" s="154">
        <f t="shared" si="15"/>
        <v>-70</v>
      </c>
      <c r="L254" s="154"/>
      <c r="M254" s="156">
        <f t="shared" si="16"/>
        <v>0</v>
      </c>
    </row>
    <row r="255" spans="1:13" x14ac:dyDescent="0.25">
      <c r="A255" s="170"/>
      <c r="G255" s="140"/>
      <c r="H255" s="154">
        <v>250</v>
      </c>
      <c r="I255" s="155" t="str">
        <f t="shared" si="17"/>
        <v/>
      </c>
      <c r="J255" s="154">
        <f t="shared" si="18"/>
        <v>-7</v>
      </c>
      <c r="K255" s="154">
        <f t="shared" si="15"/>
        <v>-70</v>
      </c>
      <c r="L255" s="154"/>
      <c r="M255" s="156">
        <f t="shared" si="16"/>
        <v>0</v>
      </c>
    </row>
    <row r="256" spans="1:13" x14ac:dyDescent="0.25">
      <c r="A256" s="170"/>
      <c r="G256" s="140"/>
      <c r="H256" s="154">
        <v>251</v>
      </c>
      <c r="I256" s="155" t="str">
        <f t="shared" si="17"/>
        <v/>
      </c>
      <c r="J256" s="154">
        <f t="shared" si="18"/>
        <v>-7</v>
      </c>
      <c r="K256" s="154">
        <f t="shared" si="15"/>
        <v>-70</v>
      </c>
      <c r="L256" s="154"/>
      <c r="M256" s="156">
        <f t="shared" si="16"/>
        <v>0</v>
      </c>
    </row>
    <row r="257" spans="1:13" x14ac:dyDescent="0.25">
      <c r="A257" s="170"/>
      <c r="G257" s="140"/>
      <c r="H257" s="154">
        <v>252</v>
      </c>
      <c r="I257" s="155" t="str">
        <f t="shared" si="17"/>
        <v/>
      </c>
      <c r="J257" s="154">
        <f t="shared" si="18"/>
        <v>-7</v>
      </c>
      <c r="K257" s="154">
        <f t="shared" si="15"/>
        <v>-70</v>
      </c>
      <c r="L257" s="154"/>
      <c r="M257" s="156">
        <f t="shared" si="16"/>
        <v>0</v>
      </c>
    </row>
    <row r="258" spans="1:13" x14ac:dyDescent="0.25">
      <c r="A258" s="170"/>
      <c r="G258" s="140"/>
      <c r="H258" s="154">
        <v>253</v>
      </c>
      <c r="I258" s="155" t="str">
        <f t="shared" si="17"/>
        <v/>
      </c>
      <c r="J258" s="154">
        <f t="shared" si="18"/>
        <v>-7</v>
      </c>
      <c r="K258" s="154">
        <f t="shared" si="15"/>
        <v>-70</v>
      </c>
      <c r="L258" s="154"/>
      <c r="M258" s="156">
        <f t="shared" si="16"/>
        <v>0</v>
      </c>
    </row>
    <row r="259" spans="1:13" x14ac:dyDescent="0.25">
      <c r="A259" s="170"/>
      <c r="G259" s="140"/>
      <c r="H259" s="154">
        <v>254</v>
      </c>
      <c r="I259" s="155" t="str">
        <f t="shared" si="17"/>
        <v/>
      </c>
      <c r="J259" s="154">
        <f t="shared" si="18"/>
        <v>-7</v>
      </c>
      <c r="K259" s="154">
        <f t="shared" si="15"/>
        <v>-70</v>
      </c>
      <c r="L259" s="154"/>
      <c r="M259" s="156">
        <f t="shared" si="16"/>
        <v>0</v>
      </c>
    </row>
    <row r="260" spans="1:13" x14ac:dyDescent="0.25">
      <c r="A260" s="170"/>
      <c r="G260" s="140"/>
      <c r="H260" s="154">
        <v>255</v>
      </c>
      <c r="I260" s="155" t="str">
        <f t="shared" si="17"/>
        <v/>
      </c>
      <c r="J260" s="154">
        <f t="shared" si="18"/>
        <v>-7</v>
      </c>
      <c r="K260" s="154">
        <f t="shared" si="15"/>
        <v>-70</v>
      </c>
      <c r="L260" s="154"/>
      <c r="M260" s="156">
        <f t="shared" si="16"/>
        <v>0</v>
      </c>
    </row>
    <row r="261" spans="1:13" x14ac:dyDescent="0.25">
      <c r="A261" s="170"/>
      <c r="G261" s="140"/>
      <c r="H261" s="154">
        <v>256</v>
      </c>
      <c r="I261" s="155" t="str">
        <f t="shared" si="17"/>
        <v/>
      </c>
      <c r="J261" s="154">
        <f t="shared" si="18"/>
        <v>-7</v>
      </c>
      <c r="K261" s="154">
        <f t="shared" si="15"/>
        <v>-70</v>
      </c>
      <c r="L261" s="154"/>
      <c r="M261" s="156">
        <f t="shared" si="16"/>
        <v>0</v>
      </c>
    </row>
    <row r="262" spans="1:13" x14ac:dyDescent="0.25">
      <c r="A262" s="170"/>
      <c r="G262" s="140"/>
      <c r="H262" s="154">
        <v>257</v>
      </c>
      <c r="I262" s="155" t="str">
        <f t="shared" si="17"/>
        <v/>
      </c>
      <c r="J262" s="154">
        <f t="shared" si="18"/>
        <v>-8</v>
      </c>
      <c r="K262" s="154">
        <f t="shared" ref="K262:K305" si="19">J262*$J$2</f>
        <v>-80</v>
      </c>
      <c r="L262" s="154"/>
      <c r="M262" s="156">
        <f t="shared" ref="M262:M305" si="20">IF(I262&lt;&gt;"",K262+I262+L262,0)</f>
        <v>0</v>
      </c>
    </row>
    <row r="263" spans="1:13" x14ac:dyDescent="0.25">
      <c r="A263" s="170"/>
      <c r="G263" s="140"/>
      <c r="H263" s="154">
        <v>258</v>
      </c>
      <c r="I263" s="155" t="str">
        <f t="shared" ref="I263:I305" si="21">IF(H263&lt;$H$2+1,($I$2-($I$2-1)*(LOG(H263)/LOG($H$2))),"")</f>
        <v/>
      </c>
      <c r="J263" s="154">
        <f t="shared" ref="J263:J305" si="22">INT(LOG($H$2,2))-ROUNDUP(LOG(H263,2),0)+IF(OR($H$2=1,$H$2=2,$H$2=4,$H$2=8,$H$2=16,$H$2=32,$H$2=64,$H$2=128,$H$2=256),0,1)</f>
        <v>-8</v>
      </c>
      <c r="K263" s="154">
        <f t="shared" si="19"/>
        <v>-80</v>
      </c>
      <c r="L263" s="154"/>
      <c r="M263" s="156">
        <f t="shared" si="20"/>
        <v>0</v>
      </c>
    </row>
    <row r="264" spans="1:13" x14ac:dyDescent="0.25">
      <c r="A264" s="170"/>
      <c r="G264" s="140"/>
      <c r="H264" s="154">
        <v>259</v>
      </c>
      <c r="I264" s="155" t="str">
        <f t="shared" si="21"/>
        <v/>
      </c>
      <c r="J264" s="154">
        <f t="shared" si="22"/>
        <v>-8</v>
      </c>
      <c r="K264" s="154">
        <f t="shared" si="19"/>
        <v>-80</v>
      </c>
      <c r="L264" s="154"/>
      <c r="M264" s="156">
        <f t="shared" si="20"/>
        <v>0</v>
      </c>
    </row>
    <row r="265" spans="1:13" x14ac:dyDescent="0.25">
      <c r="A265" s="170"/>
      <c r="G265" s="140"/>
      <c r="H265" s="154">
        <v>260</v>
      </c>
      <c r="I265" s="155" t="str">
        <f t="shared" si="21"/>
        <v/>
      </c>
      <c r="J265" s="154">
        <f t="shared" si="22"/>
        <v>-8</v>
      </c>
      <c r="K265" s="154">
        <f t="shared" si="19"/>
        <v>-80</v>
      </c>
      <c r="L265" s="154"/>
      <c r="M265" s="156">
        <f t="shared" si="20"/>
        <v>0</v>
      </c>
    </row>
    <row r="266" spans="1:13" x14ac:dyDescent="0.25">
      <c r="A266" s="170"/>
      <c r="G266" s="140"/>
      <c r="H266" s="154">
        <v>261</v>
      </c>
      <c r="I266" s="155" t="str">
        <f t="shared" si="21"/>
        <v/>
      </c>
      <c r="J266" s="154">
        <f t="shared" si="22"/>
        <v>-8</v>
      </c>
      <c r="K266" s="154">
        <f t="shared" si="19"/>
        <v>-80</v>
      </c>
      <c r="L266" s="154"/>
      <c r="M266" s="156">
        <f t="shared" si="20"/>
        <v>0</v>
      </c>
    </row>
    <row r="267" spans="1:13" x14ac:dyDescent="0.25">
      <c r="A267" s="170"/>
      <c r="G267" s="140"/>
      <c r="H267" s="154">
        <v>262</v>
      </c>
      <c r="I267" s="155" t="str">
        <f t="shared" si="21"/>
        <v/>
      </c>
      <c r="J267" s="154">
        <f t="shared" si="22"/>
        <v>-8</v>
      </c>
      <c r="K267" s="154">
        <f t="shared" si="19"/>
        <v>-80</v>
      </c>
      <c r="L267" s="154"/>
      <c r="M267" s="156">
        <f t="shared" si="20"/>
        <v>0</v>
      </c>
    </row>
    <row r="268" spans="1:13" x14ac:dyDescent="0.25">
      <c r="A268" s="170"/>
      <c r="G268" s="140"/>
      <c r="H268" s="154">
        <v>263</v>
      </c>
      <c r="I268" s="155" t="str">
        <f t="shared" si="21"/>
        <v/>
      </c>
      <c r="J268" s="154">
        <f t="shared" si="22"/>
        <v>-8</v>
      </c>
      <c r="K268" s="154">
        <f t="shared" si="19"/>
        <v>-80</v>
      </c>
      <c r="L268" s="154"/>
      <c r="M268" s="156">
        <f t="shared" si="20"/>
        <v>0</v>
      </c>
    </row>
    <row r="269" spans="1:13" x14ac:dyDescent="0.25">
      <c r="A269" s="170"/>
      <c r="G269" s="140"/>
      <c r="H269" s="154">
        <v>264</v>
      </c>
      <c r="I269" s="155" t="str">
        <f t="shared" si="21"/>
        <v/>
      </c>
      <c r="J269" s="154">
        <f t="shared" si="22"/>
        <v>-8</v>
      </c>
      <c r="K269" s="154">
        <f t="shared" si="19"/>
        <v>-80</v>
      </c>
      <c r="L269" s="154"/>
      <c r="M269" s="156">
        <f t="shared" si="20"/>
        <v>0</v>
      </c>
    </row>
    <row r="270" spans="1:13" x14ac:dyDescent="0.25">
      <c r="A270" s="170"/>
      <c r="G270" s="140"/>
      <c r="H270" s="154">
        <v>265</v>
      </c>
      <c r="I270" s="155" t="str">
        <f t="shared" si="21"/>
        <v/>
      </c>
      <c r="J270" s="154">
        <f t="shared" si="22"/>
        <v>-8</v>
      </c>
      <c r="K270" s="154">
        <f t="shared" si="19"/>
        <v>-80</v>
      </c>
      <c r="L270" s="154"/>
      <c r="M270" s="156">
        <f t="shared" si="20"/>
        <v>0</v>
      </c>
    </row>
    <row r="271" spans="1:13" x14ac:dyDescent="0.25">
      <c r="A271" s="170"/>
      <c r="G271" s="140"/>
      <c r="H271" s="154">
        <v>266</v>
      </c>
      <c r="I271" s="155" t="str">
        <f t="shared" si="21"/>
        <v/>
      </c>
      <c r="J271" s="154">
        <f t="shared" si="22"/>
        <v>-8</v>
      </c>
      <c r="K271" s="154">
        <f t="shared" si="19"/>
        <v>-80</v>
      </c>
      <c r="L271" s="154"/>
      <c r="M271" s="156">
        <f t="shared" si="20"/>
        <v>0</v>
      </c>
    </row>
    <row r="272" spans="1:13" x14ac:dyDescent="0.25">
      <c r="A272" s="170"/>
      <c r="G272" s="140"/>
      <c r="H272" s="154">
        <v>267</v>
      </c>
      <c r="I272" s="155" t="str">
        <f t="shared" si="21"/>
        <v/>
      </c>
      <c r="J272" s="154">
        <f t="shared" si="22"/>
        <v>-8</v>
      </c>
      <c r="K272" s="154">
        <f t="shared" si="19"/>
        <v>-80</v>
      </c>
      <c r="L272" s="154"/>
      <c r="M272" s="156">
        <f t="shared" si="20"/>
        <v>0</v>
      </c>
    </row>
    <row r="273" spans="1:13" x14ac:dyDescent="0.25">
      <c r="A273" s="170"/>
      <c r="G273" s="140"/>
      <c r="H273" s="154">
        <v>268</v>
      </c>
      <c r="I273" s="155" t="str">
        <f t="shared" si="21"/>
        <v/>
      </c>
      <c r="J273" s="154">
        <f t="shared" si="22"/>
        <v>-8</v>
      </c>
      <c r="K273" s="154">
        <f t="shared" si="19"/>
        <v>-80</v>
      </c>
      <c r="L273" s="154"/>
      <c r="M273" s="156">
        <f t="shared" si="20"/>
        <v>0</v>
      </c>
    </row>
    <row r="274" spans="1:13" x14ac:dyDescent="0.25">
      <c r="A274" s="170"/>
      <c r="G274" s="140"/>
      <c r="H274" s="154">
        <v>269</v>
      </c>
      <c r="I274" s="155" t="str">
        <f t="shared" si="21"/>
        <v/>
      </c>
      <c r="J274" s="154">
        <f t="shared" si="22"/>
        <v>-8</v>
      </c>
      <c r="K274" s="154">
        <f t="shared" si="19"/>
        <v>-80</v>
      </c>
      <c r="L274" s="154"/>
      <c r="M274" s="156">
        <f t="shared" si="20"/>
        <v>0</v>
      </c>
    </row>
    <row r="275" spans="1:13" x14ac:dyDescent="0.25">
      <c r="A275" s="170"/>
      <c r="G275" s="140"/>
      <c r="H275" s="154">
        <v>270</v>
      </c>
      <c r="I275" s="155" t="str">
        <f t="shared" si="21"/>
        <v/>
      </c>
      <c r="J275" s="154">
        <f t="shared" si="22"/>
        <v>-8</v>
      </c>
      <c r="K275" s="154">
        <f t="shared" si="19"/>
        <v>-80</v>
      </c>
      <c r="L275" s="154"/>
      <c r="M275" s="156">
        <f t="shared" si="20"/>
        <v>0</v>
      </c>
    </row>
    <row r="276" spans="1:13" x14ac:dyDescent="0.25">
      <c r="A276" s="170"/>
      <c r="G276" s="140"/>
      <c r="H276" s="154">
        <v>271</v>
      </c>
      <c r="I276" s="155" t="str">
        <f t="shared" si="21"/>
        <v/>
      </c>
      <c r="J276" s="154">
        <f t="shared" si="22"/>
        <v>-8</v>
      </c>
      <c r="K276" s="154">
        <f t="shared" si="19"/>
        <v>-80</v>
      </c>
      <c r="L276" s="154"/>
      <c r="M276" s="156">
        <f t="shared" si="20"/>
        <v>0</v>
      </c>
    </row>
    <row r="277" spans="1:13" x14ac:dyDescent="0.25">
      <c r="A277" s="170"/>
      <c r="G277" s="140"/>
      <c r="H277" s="154">
        <v>272</v>
      </c>
      <c r="I277" s="155" t="str">
        <f t="shared" si="21"/>
        <v/>
      </c>
      <c r="J277" s="154">
        <f t="shared" si="22"/>
        <v>-8</v>
      </c>
      <c r="K277" s="154">
        <f t="shared" si="19"/>
        <v>-80</v>
      </c>
      <c r="L277" s="154"/>
      <c r="M277" s="156">
        <f t="shared" si="20"/>
        <v>0</v>
      </c>
    </row>
    <row r="278" spans="1:13" x14ac:dyDescent="0.25">
      <c r="A278" s="170"/>
      <c r="G278" s="140"/>
      <c r="H278" s="154">
        <v>273</v>
      </c>
      <c r="I278" s="155" t="str">
        <f t="shared" si="21"/>
        <v/>
      </c>
      <c r="J278" s="154">
        <f t="shared" si="22"/>
        <v>-8</v>
      </c>
      <c r="K278" s="154">
        <f t="shared" si="19"/>
        <v>-80</v>
      </c>
      <c r="L278" s="154"/>
      <c r="M278" s="156">
        <f t="shared" si="20"/>
        <v>0</v>
      </c>
    </row>
    <row r="279" spans="1:13" x14ac:dyDescent="0.25">
      <c r="A279" s="170"/>
      <c r="G279" s="140"/>
      <c r="H279" s="154">
        <v>274</v>
      </c>
      <c r="I279" s="155" t="str">
        <f t="shared" si="21"/>
        <v/>
      </c>
      <c r="J279" s="154">
        <f t="shared" si="22"/>
        <v>-8</v>
      </c>
      <c r="K279" s="154">
        <f t="shared" si="19"/>
        <v>-80</v>
      </c>
      <c r="L279" s="154"/>
      <c r="M279" s="156">
        <f t="shared" si="20"/>
        <v>0</v>
      </c>
    </row>
    <row r="280" spans="1:13" x14ac:dyDescent="0.25">
      <c r="A280" s="170"/>
      <c r="G280" s="140"/>
      <c r="H280" s="154">
        <v>275</v>
      </c>
      <c r="I280" s="155" t="str">
        <f t="shared" si="21"/>
        <v/>
      </c>
      <c r="J280" s="154">
        <f t="shared" si="22"/>
        <v>-8</v>
      </c>
      <c r="K280" s="154">
        <f t="shared" si="19"/>
        <v>-80</v>
      </c>
      <c r="L280" s="154"/>
      <c r="M280" s="156">
        <f t="shared" si="20"/>
        <v>0</v>
      </c>
    </row>
    <row r="281" spans="1:13" x14ac:dyDescent="0.25">
      <c r="A281" s="170"/>
      <c r="G281" s="140"/>
      <c r="H281" s="154">
        <v>276</v>
      </c>
      <c r="I281" s="155" t="str">
        <f t="shared" si="21"/>
        <v/>
      </c>
      <c r="J281" s="154">
        <f t="shared" si="22"/>
        <v>-8</v>
      </c>
      <c r="K281" s="154">
        <f t="shared" si="19"/>
        <v>-80</v>
      </c>
      <c r="L281" s="154"/>
      <c r="M281" s="156">
        <f t="shared" si="20"/>
        <v>0</v>
      </c>
    </row>
    <row r="282" spans="1:13" x14ac:dyDescent="0.25">
      <c r="A282" s="170"/>
      <c r="G282" s="140"/>
      <c r="H282" s="154">
        <v>277</v>
      </c>
      <c r="I282" s="155" t="str">
        <f t="shared" si="21"/>
        <v/>
      </c>
      <c r="J282" s="154">
        <f t="shared" si="22"/>
        <v>-8</v>
      </c>
      <c r="K282" s="154">
        <f t="shared" si="19"/>
        <v>-80</v>
      </c>
      <c r="L282" s="154"/>
      <c r="M282" s="156">
        <f t="shared" si="20"/>
        <v>0</v>
      </c>
    </row>
    <row r="283" spans="1:13" x14ac:dyDescent="0.25">
      <c r="A283" s="170"/>
      <c r="G283" s="140"/>
      <c r="H283" s="154">
        <v>278</v>
      </c>
      <c r="I283" s="155" t="str">
        <f t="shared" si="21"/>
        <v/>
      </c>
      <c r="J283" s="154">
        <f t="shared" si="22"/>
        <v>-8</v>
      </c>
      <c r="K283" s="154">
        <f t="shared" si="19"/>
        <v>-80</v>
      </c>
      <c r="L283" s="154"/>
      <c r="M283" s="156">
        <f t="shared" si="20"/>
        <v>0</v>
      </c>
    </row>
    <row r="284" spans="1:13" x14ac:dyDescent="0.25">
      <c r="A284" s="170"/>
      <c r="G284" s="140"/>
      <c r="H284" s="154">
        <v>279</v>
      </c>
      <c r="I284" s="155" t="str">
        <f t="shared" si="21"/>
        <v/>
      </c>
      <c r="J284" s="154">
        <f t="shared" si="22"/>
        <v>-8</v>
      </c>
      <c r="K284" s="154">
        <f t="shared" si="19"/>
        <v>-80</v>
      </c>
      <c r="L284" s="154"/>
      <c r="M284" s="156">
        <f t="shared" si="20"/>
        <v>0</v>
      </c>
    </row>
    <row r="285" spans="1:13" x14ac:dyDescent="0.25">
      <c r="A285" s="170"/>
      <c r="G285" s="140"/>
      <c r="H285" s="154">
        <v>280</v>
      </c>
      <c r="I285" s="155" t="str">
        <f t="shared" si="21"/>
        <v/>
      </c>
      <c r="J285" s="154">
        <f t="shared" si="22"/>
        <v>-8</v>
      </c>
      <c r="K285" s="154">
        <f t="shared" si="19"/>
        <v>-80</v>
      </c>
      <c r="L285" s="154"/>
      <c r="M285" s="156">
        <f t="shared" si="20"/>
        <v>0</v>
      </c>
    </row>
    <row r="286" spans="1:13" x14ac:dyDescent="0.25">
      <c r="A286" s="170"/>
      <c r="G286" s="140"/>
      <c r="H286" s="154">
        <v>281</v>
      </c>
      <c r="I286" s="155" t="str">
        <f t="shared" si="21"/>
        <v/>
      </c>
      <c r="J286" s="154">
        <f t="shared" si="22"/>
        <v>-8</v>
      </c>
      <c r="K286" s="154">
        <f t="shared" si="19"/>
        <v>-80</v>
      </c>
      <c r="L286" s="154"/>
      <c r="M286" s="156">
        <f t="shared" si="20"/>
        <v>0</v>
      </c>
    </row>
    <row r="287" spans="1:13" x14ac:dyDescent="0.25">
      <c r="A287" s="170"/>
      <c r="G287" s="140"/>
      <c r="H287" s="154">
        <v>282</v>
      </c>
      <c r="I287" s="155" t="str">
        <f t="shared" si="21"/>
        <v/>
      </c>
      <c r="J287" s="154">
        <f t="shared" si="22"/>
        <v>-8</v>
      </c>
      <c r="K287" s="154">
        <f t="shared" si="19"/>
        <v>-80</v>
      </c>
      <c r="L287" s="154"/>
      <c r="M287" s="156">
        <f t="shared" si="20"/>
        <v>0</v>
      </c>
    </row>
    <row r="288" spans="1:13" x14ac:dyDescent="0.25">
      <c r="A288" s="170"/>
      <c r="G288" s="140"/>
      <c r="H288" s="154">
        <v>283</v>
      </c>
      <c r="I288" s="155" t="str">
        <f t="shared" si="21"/>
        <v/>
      </c>
      <c r="J288" s="154">
        <f t="shared" si="22"/>
        <v>-8</v>
      </c>
      <c r="K288" s="154">
        <f t="shared" si="19"/>
        <v>-80</v>
      </c>
      <c r="L288" s="154"/>
      <c r="M288" s="156">
        <f t="shared" si="20"/>
        <v>0</v>
      </c>
    </row>
    <row r="289" spans="1:13" x14ac:dyDescent="0.25">
      <c r="A289" s="170"/>
      <c r="G289" s="140"/>
      <c r="H289" s="154">
        <v>284</v>
      </c>
      <c r="I289" s="155" t="str">
        <f t="shared" si="21"/>
        <v/>
      </c>
      <c r="J289" s="154">
        <f t="shared" si="22"/>
        <v>-8</v>
      </c>
      <c r="K289" s="154">
        <f t="shared" si="19"/>
        <v>-80</v>
      </c>
      <c r="L289" s="154"/>
      <c r="M289" s="156">
        <f t="shared" si="20"/>
        <v>0</v>
      </c>
    </row>
    <row r="290" spans="1:13" x14ac:dyDescent="0.25">
      <c r="A290" s="170"/>
      <c r="G290" s="140"/>
      <c r="H290" s="154">
        <v>285</v>
      </c>
      <c r="I290" s="155" t="str">
        <f t="shared" si="21"/>
        <v/>
      </c>
      <c r="J290" s="154">
        <f t="shared" si="22"/>
        <v>-8</v>
      </c>
      <c r="K290" s="154">
        <f t="shared" si="19"/>
        <v>-80</v>
      </c>
      <c r="L290" s="154"/>
      <c r="M290" s="156">
        <f t="shared" si="20"/>
        <v>0</v>
      </c>
    </row>
    <row r="291" spans="1:13" x14ac:dyDescent="0.25">
      <c r="A291" s="170"/>
      <c r="G291" s="140"/>
      <c r="H291" s="154">
        <v>286</v>
      </c>
      <c r="I291" s="155" t="str">
        <f t="shared" si="21"/>
        <v/>
      </c>
      <c r="J291" s="154">
        <f t="shared" si="22"/>
        <v>-8</v>
      </c>
      <c r="K291" s="154">
        <f t="shared" si="19"/>
        <v>-80</v>
      </c>
      <c r="L291" s="154"/>
      <c r="M291" s="156">
        <f t="shared" si="20"/>
        <v>0</v>
      </c>
    </row>
    <row r="292" spans="1:13" x14ac:dyDescent="0.25">
      <c r="A292" s="170"/>
      <c r="G292" s="140"/>
      <c r="H292" s="154">
        <v>287</v>
      </c>
      <c r="I292" s="155" t="str">
        <f t="shared" si="21"/>
        <v/>
      </c>
      <c r="J292" s="154">
        <f t="shared" si="22"/>
        <v>-8</v>
      </c>
      <c r="K292" s="154">
        <f t="shared" si="19"/>
        <v>-80</v>
      </c>
      <c r="L292" s="154"/>
      <c r="M292" s="156">
        <f t="shared" si="20"/>
        <v>0</v>
      </c>
    </row>
    <row r="293" spans="1:13" x14ac:dyDescent="0.25">
      <c r="A293" s="170"/>
      <c r="G293" s="140"/>
      <c r="H293" s="154">
        <v>288</v>
      </c>
      <c r="I293" s="155" t="str">
        <f t="shared" si="21"/>
        <v/>
      </c>
      <c r="J293" s="154">
        <f t="shared" si="22"/>
        <v>-8</v>
      </c>
      <c r="K293" s="154">
        <f t="shared" si="19"/>
        <v>-80</v>
      </c>
      <c r="L293" s="154"/>
      <c r="M293" s="156">
        <f t="shared" si="20"/>
        <v>0</v>
      </c>
    </row>
    <row r="294" spans="1:13" x14ac:dyDescent="0.25">
      <c r="A294" s="170"/>
      <c r="G294" s="140"/>
      <c r="H294" s="154">
        <v>289</v>
      </c>
      <c r="I294" s="155" t="str">
        <f t="shared" si="21"/>
        <v/>
      </c>
      <c r="J294" s="154">
        <f t="shared" si="22"/>
        <v>-8</v>
      </c>
      <c r="K294" s="154">
        <f t="shared" si="19"/>
        <v>-80</v>
      </c>
      <c r="L294" s="154"/>
      <c r="M294" s="156">
        <f t="shared" si="20"/>
        <v>0</v>
      </c>
    </row>
    <row r="295" spans="1:13" x14ac:dyDescent="0.25">
      <c r="A295" s="170"/>
      <c r="G295" s="140"/>
      <c r="H295" s="154">
        <v>290</v>
      </c>
      <c r="I295" s="155" t="str">
        <f t="shared" si="21"/>
        <v/>
      </c>
      <c r="J295" s="154">
        <f t="shared" si="22"/>
        <v>-8</v>
      </c>
      <c r="K295" s="154">
        <f t="shared" si="19"/>
        <v>-80</v>
      </c>
      <c r="L295" s="154"/>
      <c r="M295" s="156">
        <f t="shared" si="20"/>
        <v>0</v>
      </c>
    </row>
    <row r="296" spans="1:13" x14ac:dyDescent="0.25">
      <c r="A296" s="170"/>
      <c r="G296" s="140"/>
      <c r="H296" s="154">
        <v>291</v>
      </c>
      <c r="I296" s="155" t="str">
        <f t="shared" si="21"/>
        <v/>
      </c>
      <c r="J296" s="154">
        <f t="shared" si="22"/>
        <v>-8</v>
      </c>
      <c r="K296" s="154">
        <f t="shared" si="19"/>
        <v>-80</v>
      </c>
      <c r="L296" s="154"/>
      <c r="M296" s="156">
        <f t="shared" si="20"/>
        <v>0</v>
      </c>
    </row>
    <row r="297" spans="1:13" x14ac:dyDescent="0.25">
      <c r="A297" s="170"/>
      <c r="G297" s="140"/>
      <c r="H297" s="154">
        <v>292</v>
      </c>
      <c r="I297" s="155" t="str">
        <f t="shared" si="21"/>
        <v/>
      </c>
      <c r="J297" s="154">
        <f t="shared" si="22"/>
        <v>-8</v>
      </c>
      <c r="K297" s="154">
        <f t="shared" si="19"/>
        <v>-80</v>
      </c>
      <c r="L297" s="154"/>
      <c r="M297" s="156">
        <f t="shared" si="20"/>
        <v>0</v>
      </c>
    </row>
    <row r="298" spans="1:13" x14ac:dyDescent="0.25">
      <c r="A298" s="170"/>
      <c r="G298" s="140"/>
      <c r="H298" s="154">
        <v>293</v>
      </c>
      <c r="I298" s="155" t="str">
        <f t="shared" si="21"/>
        <v/>
      </c>
      <c r="J298" s="154">
        <f t="shared" si="22"/>
        <v>-8</v>
      </c>
      <c r="K298" s="154">
        <f t="shared" si="19"/>
        <v>-80</v>
      </c>
      <c r="L298" s="154"/>
      <c r="M298" s="156">
        <f t="shared" si="20"/>
        <v>0</v>
      </c>
    </row>
    <row r="299" spans="1:13" x14ac:dyDescent="0.25">
      <c r="A299" s="170"/>
      <c r="G299" s="140"/>
      <c r="H299" s="154">
        <v>294</v>
      </c>
      <c r="I299" s="155" t="str">
        <f t="shared" si="21"/>
        <v/>
      </c>
      <c r="J299" s="154">
        <f t="shared" si="22"/>
        <v>-8</v>
      </c>
      <c r="K299" s="154">
        <f t="shared" si="19"/>
        <v>-80</v>
      </c>
      <c r="L299" s="154"/>
      <c r="M299" s="156">
        <f t="shared" si="20"/>
        <v>0</v>
      </c>
    </row>
    <row r="300" spans="1:13" x14ac:dyDescent="0.25">
      <c r="A300" s="170"/>
      <c r="G300" s="140"/>
      <c r="H300" s="154">
        <v>295</v>
      </c>
      <c r="I300" s="155" t="str">
        <f t="shared" si="21"/>
        <v/>
      </c>
      <c r="J300" s="154">
        <f t="shared" si="22"/>
        <v>-8</v>
      </c>
      <c r="K300" s="154">
        <f t="shared" si="19"/>
        <v>-80</v>
      </c>
      <c r="L300" s="154"/>
      <c r="M300" s="156">
        <f t="shared" si="20"/>
        <v>0</v>
      </c>
    </row>
    <row r="301" spans="1:13" x14ac:dyDescent="0.25">
      <c r="A301" s="170"/>
      <c r="G301" s="140"/>
      <c r="H301" s="154">
        <v>296</v>
      </c>
      <c r="I301" s="155" t="str">
        <f t="shared" si="21"/>
        <v/>
      </c>
      <c r="J301" s="154">
        <f t="shared" si="22"/>
        <v>-8</v>
      </c>
      <c r="K301" s="154">
        <f t="shared" si="19"/>
        <v>-80</v>
      </c>
      <c r="L301" s="154"/>
      <c r="M301" s="156">
        <f t="shared" si="20"/>
        <v>0</v>
      </c>
    </row>
    <row r="302" spans="1:13" x14ac:dyDescent="0.25">
      <c r="A302" s="170"/>
      <c r="G302" s="140"/>
      <c r="H302" s="154">
        <v>297</v>
      </c>
      <c r="I302" s="155" t="str">
        <f t="shared" si="21"/>
        <v/>
      </c>
      <c r="J302" s="154">
        <f t="shared" si="22"/>
        <v>-8</v>
      </c>
      <c r="K302" s="154">
        <f t="shared" si="19"/>
        <v>-80</v>
      </c>
      <c r="L302" s="154"/>
      <c r="M302" s="156">
        <f t="shared" si="20"/>
        <v>0</v>
      </c>
    </row>
    <row r="303" spans="1:13" x14ac:dyDescent="0.25">
      <c r="A303" s="170"/>
      <c r="G303" s="140"/>
      <c r="H303" s="154">
        <v>298</v>
      </c>
      <c r="I303" s="155" t="str">
        <f t="shared" si="21"/>
        <v/>
      </c>
      <c r="J303" s="154">
        <f t="shared" si="22"/>
        <v>-8</v>
      </c>
      <c r="K303" s="154">
        <f t="shared" si="19"/>
        <v>-80</v>
      </c>
      <c r="L303" s="154"/>
      <c r="M303" s="156">
        <f t="shared" si="20"/>
        <v>0</v>
      </c>
    </row>
    <row r="304" spans="1:13" x14ac:dyDescent="0.25">
      <c r="A304" s="170"/>
      <c r="G304" s="140"/>
      <c r="H304" s="154">
        <v>299</v>
      </c>
      <c r="I304" s="155" t="str">
        <f t="shared" si="21"/>
        <v/>
      </c>
      <c r="J304" s="154">
        <f t="shared" si="22"/>
        <v>-8</v>
      </c>
      <c r="K304" s="154">
        <f t="shared" si="19"/>
        <v>-80</v>
      </c>
      <c r="L304" s="154"/>
      <c r="M304" s="156">
        <f t="shared" si="20"/>
        <v>0</v>
      </c>
    </row>
    <row r="305" spans="1:16" x14ac:dyDescent="0.25">
      <c r="A305" s="170"/>
      <c r="G305" s="140"/>
      <c r="H305" s="154">
        <v>300</v>
      </c>
      <c r="I305" s="155" t="str">
        <f t="shared" si="21"/>
        <v/>
      </c>
      <c r="J305" s="154">
        <f t="shared" si="22"/>
        <v>-8</v>
      </c>
      <c r="K305" s="154">
        <f t="shared" si="19"/>
        <v>-80</v>
      </c>
      <c r="L305" s="154"/>
      <c r="M305" s="156">
        <f t="shared" si="20"/>
        <v>0</v>
      </c>
    </row>
    <row r="306" spans="1:16" x14ac:dyDescent="0.25">
      <c r="A306" s="172"/>
    </row>
    <row r="314" spans="1:16" x14ac:dyDescent="0.25">
      <c r="L314" s="175"/>
      <c r="P314" s="265"/>
    </row>
    <row r="315" spans="1:16" x14ac:dyDescent="0.25">
      <c r="L315" s="175"/>
      <c r="P315" s="265"/>
    </row>
    <row r="316" spans="1:16" x14ac:dyDescent="0.25">
      <c r="L316" s="175"/>
      <c r="P316" s="265"/>
    </row>
    <row r="317" spans="1:16" x14ac:dyDescent="0.25">
      <c r="L317" s="175"/>
      <c r="P317" s="265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CDA8D9F3-42B4-4E52-9A0D-9CC6008FD01B}">
      <formula1>#REF!</formula1>
    </dataValidation>
  </dataValidations>
  <hyperlinks>
    <hyperlink ref="C2:D2" r:id="rId1" display="TBD" xr:uid="{0FA78A79-161D-49AF-8405-6B30547AFD33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F55F-2C79-49EC-977E-FB9924FA4714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71" customWidth="1"/>
    <col min="2" max="2" width="8.25" style="171" customWidth="1"/>
    <col min="3" max="3" width="34.75" style="171" customWidth="1"/>
    <col min="4" max="4" width="11.25" style="171" customWidth="1"/>
    <col min="5" max="6" width="8.875" style="171"/>
    <col min="7" max="7" width="0.875" style="171" customWidth="1"/>
    <col min="8" max="8" width="8.875" style="173"/>
    <col min="9" max="9" width="11" style="173" customWidth="1"/>
    <col min="10" max="10" width="15.25" style="173" customWidth="1"/>
    <col min="11" max="11" width="8.75" style="173" customWidth="1"/>
    <col min="12" max="12" width="11" style="173" customWidth="1"/>
    <col min="13" max="13" width="11.75" style="174" customWidth="1"/>
    <col min="14" max="15" width="13.875" style="140" customWidth="1"/>
    <col min="16" max="18" width="8.875" style="140"/>
    <col min="19" max="20" width="8.875" style="145"/>
    <col min="21" max="21" width="12.125" style="145" customWidth="1"/>
    <col min="22" max="22" width="27.375" style="145" customWidth="1"/>
    <col min="23" max="38" width="8.875" style="145"/>
    <col min="39" max="16384" width="8.875" style="171"/>
  </cols>
  <sheetData>
    <row r="1" spans="1:36" x14ac:dyDescent="0.25">
      <c r="A1" s="140"/>
      <c r="B1" s="140"/>
      <c r="C1" s="140"/>
      <c r="D1" s="140"/>
      <c r="E1" s="140"/>
      <c r="F1" s="140"/>
      <c r="G1" s="140"/>
      <c r="H1" s="141" t="s">
        <v>26</v>
      </c>
      <c r="I1" s="142" t="s">
        <v>27</v>
      </c>
      <c r="J1" s="142" t="s">
        <v>28</v>
      </c>
      <c r="K1" s="143" t="s">
        <v>29</v>
      </c>
      <c r="L1" s="144"/>
      <c r="M1" s="144"/>
    </row>
    <row r="2" spans="1:36" ht="14.45" customHeight="1" x14ac:dyDescent="0.25">
      <c r="A2" s="140"/>
      <c r="B2" s="22" t="s">
        <v>30</v>
      </c>
      <c r="C2" s="292" t="s">
        <v>66</v>
      </c>
      <c r="D2" s="292"/>
      <c r="E2" s="23"/>
      <c r="F2" s="23"/>
      <c r="G2" s="23"/>
      <c r="H2" s="146">
        <v>3</v>
      </c>
      <c r="I2" s="147">
        <v>50</v>
      </c>
      <c r="J2" s="147">
        <v>10</v>
      </c>
      <c r="K2" s="148">
        <f>3*H2^(1/3)</f>
        <v>4.3267487109222245</v>
      </c>
      <c r="L2" s="144"/>
      <c r="M2" s="144"/>
    </row>
    <row r="3" spans="1:36" ht="14.45" customHeight="1" x14ac:dyDescent="0.25">
      <c r="A3" s="140"/>
      <c r="B3" s="149" t="s">
        <v>32</v>
      </c>
      <c r="C3" s="293" t="s">
        <v>99</v>
      </c>
      <c r="D3" s="293"/>
      <c r="E3" s="28"/>
      <c r="F3" s="28"/>
      <c r="G3" s="28"/>
      <c r="H3" s="144"/>
      <c r="I3" s="144"/>
      <c r="J3" s="150"/>
      <c r="K3" s="144"/>
      <c r="L3" s="144"/>
      <c r="M3" s="144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44"/>
      <c r="I4" s="144"/>
      <c r="J4" s="150"/>
      <c r="K4" s="144"/>
      <c r="L4" s="144"/>
      <c r="M4" s="144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51" t="s">
        <v>40</v>
      </c>
      <c r="I5" s="152" t="s">
        <v>41</v>
      </c>
      <c r="J5" s="153" t="s">
        <v>42</v>
      </c>
      <c r="K5" s="152" t="s">
        <v>43</v>
      </c>
      <c r="L5" s="152" t="s">
        <v>44</v>
      </c>
      <c r="M5" s="151" t="s">
        <v>45</v>
      </c>
    </row>
    <row r="6" spans="1:36" ht="14.45" customHeight="1" x14ac:dyDescent="0.25">
      <c r="A6" s="35">
        <f>M6</f>
        <v>82.980246132766666</v>
      </c>
      <c r="B6" s="36">
        <f t="shared" ref="B6:B13" si="0">IF(H6&gt;$H$2,"",(ROW()-5))</f>
        <v>1</v>
      </c>
      <c r="C6" s="271" t="s">
        <v>21</v>
      </c>
      <c r="D6" s="271" t="s">
        <v>50</v>
      </c>
      <c r="E6" s="37"/>
      <c r="F6" s="37"/>
      <c r="G6" s="30"/>
      <c r="H6" s="154">
        <v>1</v>
      </c>
      <c r="I6" s="155">
        <f>IF(H2=1,50,IF(H6&lt;$H$2+1,($I$2-($I$2-1)*(LOG(H6)/LOG($H$2))),""))</f>
        <v>50</v>
      </c>
      <c r="J6" s="154">
        <f>INT(LOG($H$2,2))-ROUNDUP(LOG(H6,2),0)+IF(OR($H$2=1,$H$2=2,$H$2=4,$H$2=8,$H$2=16,$H$2=32,$H$2=64,$H$2=128,$H$2=256),0,1)</f>
        <v>2</v>
      </c>
      <c r="K6" s="154">
        <f t="shared" ref="K6:K69" si="1">J6*$J$2</f>
        <v>20</v>
      </c>
      <c r="L6" s="156">
        <f>3*K2</f>
        <v>12.980246132766673</v>
      </c>
      <c r="M6" s="156">
        <f t="shared" ref="M6:M69" si="2">IF(I6&lt;&gt;"",K6+I6+L6,0)</f>
        <v>82.980246132766666</v>
      </c>
    </row>
    <row r="7" spans="1:36" ht="14.45" customHeight="1" x14ac:dyDescent="0.25">
      <c r="A7" s="41">
        <f t="shared" ref="A7:A37" si="3">M7</f>
        <v>37.73793949684304</v>
      </c>
      <c r="B7" s="42">
        <f t="shared" si="0"/>
        <v>2</v>
      </c>
      <c r="C7" s="272" t="s">
        <v>22</v>
      </c>
      <c r="D7" s="272" t="s">
        <v>56</v>
      </c>
      <c r="E7" s="43"/>
      <c r="F7" s="43"/>
      <c r="G7" s="30"/>
      <c r="H7" s="157">
        <v>2</v>
      </c>
      <c r="I7" s="158">
        <f t="shared" ref="I7:I70" si="4">IF(H7&lt;$H$2+1,($I$2-($I$2-1)*(LOG(H7)/LOG($H$2))),"")</f>
        <v>19.084442074998588</v>
      </c>
      <c r="J7" s="157">
        <f t="shared" ref="J7:J70" si="5">INT(LOG($H$2,2))-ROUNDUP(LOG(H7,2),0)+IF(OR($H$2=1,$H$2=2,$H$2=4,$H$2=8,$H$2=16,$H$2=32,$H$2=64,$H$2=128,$H$2=256),0,1)</f>
        <v>1</v>
      </c>
      <c r="K7" s="157">
        <f t="shared" si="1"/>
        <v>10</v>
      </c>
      <c r="L7" s="159">
        <f>2*K2</f>
        <v>8.6534974218444489</v>
      </c>
      <c r="M7" s="159">
        <f t="shared" si="2"/>
        <v>37.73793949684304</v>
      </c>
    </row>
    <row r="8" spans="1:36" ht="14.45" customHeight="1" x14ac:dyDescent="0.25">
      <c r="A8" s="35">
        <f t="shared" si="3"/>
        <v>5.3267487109222245</v>
      </c>
      <c r="B8" s="36">
        <f t="shared" si="0"/>
        <v>3</v>
      </c>
      <c r="C8" s="271" t="s">
        <v>100</v>
      </c>
      <c r="D8" s="271" t="s">
        <v>101</v>
      </c>
      <c r="E8" s="37"/>
      <c r="F8" s="37"/>
      <c r="G8" s="30"/>
      <c r="H8" s="154">
        <v>3</v>
      </c>
      <c r="I8" s="155">
        <f t="shared" si="4"/>
        <v>1</v>
      </c>
      <c r="J8" s="154">
        <f t="shared" si="5"/>
        <v>0</v>
      </c>
      <c r="K8" s="154">
        <f t="shared" si="1"/>
        <v>0</v>
      </c>
      <c r="L8" s="156">
        <f>K2</f>
        <v>4.3267487109222245</v>
      </c>
      <c r="M8" s="156">
        <f t="shared" si="2"/>
        <v>5.3267487109222245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157">
        <v>4</v>
      </c>
      <c r="I9" s="158" t="str">
        <f t="shared" si="4"/>
        <v/>
      </c>
      <c r="J9" s="157">
        <f t="shared" si="5"/>
        <v>0</v>
      </c>
      <c r="K9" s="157">
        <f t="shared" si="1"/>
        <v>0</v>
      </c>
      <c r="L9" s="159"/>
      <c r="M9" s="159">
        <f t="shared" si="2"/>
        <v>0</v>
      </c>
      <c r="V9" s="160"/>
      <c r="Z9" s="161"/>
      <c r="AA9" s="161"/>
      <c r="AG9" s="162"/>
      <c r="AH9" s="145" t="s">
        <v>53</v>
      </c>
      <c r="AI9" s="145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154">
        <v>5</v>
      </c>
      <c r="I10" s="155" t="str">
        <f t="shared" si="4"/>
        <v/>
      </c>
      <c r="J10" s="154">
        <f t="shared" si="5"/>
        <v>-1</v>
      </c>
      <c r="K10" s="154">
        <f t="shared" si="1"/>
        <v>-10</v>
      </c>
      <c r="L10" s="154"/>
      <c r="M10" s="156">
        <f t="shared" si="2"/>
        <v>0</v>
      </c>
      <c r="V10" s="160"/>
      <c r="Z10" s="161"/>
      <c r="AA10" s="161"/>
      <c r="AG10" s="162"/>
      <c r="AH10" s="145" t="s">
        <v>55</v>
      </c>
      <c r="AI10" s="145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157">
        <v>6</v>
      </c>
      <c r="I11" s="158" t="str">
        <f t="shared" si="4"/>
        <v/>
      </c>
      <c r="J11" s="157">
        <f t="shared" si="5"/>
        <v>-1</v>
      </c>
      <c r="K11" s="157">
        <f t="shared" si="1"/>
        <v>-10</v>
      </c>
      <c r="L11" s="157"/>
      <c r="M11" s="159">
        <f t="shared" si="2"/>
        <v>0</v>
      </c>
      <c r="V11" s="163"/>
      <c r="Z11" s="161"/>
      <c r="AA11" s="161"/>
      <c r="AG11" s="162"/>
      <c r="AH11" s="145" t="s">
        <v>57</v>
      </c>
      <c r="AI11" s="145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154">
        <v>7</v>
      </c>
      <c r="I12" s="155" t="str">
        <f t="shared" si="4"/>
        <v/>
      </c>
      <c r="J12" s="154">
        <f t="shared" si="5"/>
        <v>-1</v>
      </c>
      <c r="K12" s="154">
        <f t="shared" si="1"/>
        <v>-10</v>
      </c>
      <c r="L12" s="154"/>
      <c r="M12" s="156">
        <f t="shared" si="2"/>
        <v>0</v>
      </c>
      <c r="Z12" s="161"/>
      <c r="AA12" s="161"/>
      <c r="AG12" s="162"/>
      <c r="AH12" s="145" t="s">
        <v>58</v>
      </c>
      <c r="AI12" s="145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157">
        <v>8</v>
      </c>
      <c r="I13" s="158" t="str">
        <f t="shared" si="4"/>
        <v/>
      </c>
      <c r="J13" s="157">
        <f t="shared" si="5"/>
        <v>-1</v>
      </c>
      <c r="K13" s="157">
        <f t="shared" si="1"/>
        <v>-10</v>
      </c>
      <c r="L13" s="157"/>
      <c r="M13" s="159">
        <f t="shared" si="2"/>
        <v>0</v>
      </c>
      <c r="X13" s="160"/>
      <c r="AG13" s="162"/>
      <c r="AH13" s="145" t="s">
        <v>59</v>
      </c>
      <c r="AI13" s="145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154">
        <v>9</v>
      </c>
      <c r="I14" s="155" t="str">
        <f t="shared" si="4"/>
        <v/>
      </c>
      <c r="J14" s="154">
        <f t="shared" si="5"/>
        <v>-2</v>
      </c>
      <c r="K14" s="154">
        <f t="shared" si="1"/>
        <v>-20</v>
      </c>
      <c r="L14" s="154"/>
      <c r="M14" s="156">
        <f t="shared" si="2"/>
        <v>0</v>
      </c>
      <c r="X14" s="164"/>
      <c r="Z14" s="161"/>
      <c r="AA14" s="161"/>
      <c r="AG14" s="162"/>
      <c r="AH14" s="145" t="s">
        <v>65</v>
      </c>
      <c r="AI14" s="145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157">
        <v>10</v>
      </c>
      <c r="I15" s="158" t="str">
        <f t="shared" si="4"/>
        <v/>
      </c>
      <c r="J15" s="157">
        <f t="shared" si="5"/>
        <v>-2</v>
      </c>
      <c r="K15" s="157">
        <f t="shared" si="1"/>
        <v>-20</v>
      </c>
      <c r="L15" s="157"/>
      <c r="M15" s="159">
        <f t="shared" si="2"/>
        <v>0</v>
      </c>
      <c r="X15" s="160"/>
      <c r="Z15" s="161"/>
      <c r="AA15" s="161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154">
        <v>11</v>
      </c>
      <c r="I16" s="155" t="str">
        <f t="shared" si="4"/>
        <v/>
      </c>
      <c r="J16" s="154">
        <f t="shared" si="5"/>
        <v>-2</v>
      </c>
      <c r="K16" s="154">
        <f t="shared" si="1"/>
        <v>-20</v>
      </c>
      <c r="L16" s="154"/>
      <c r="M16" s="156">
        <f t="shared" si="2"/>
        <v>0</v>
      </c>
      <c r="R16" s="165"/>
      <c r="Z16" s="161"/>
      <c r="AA16" s="161"/>
      <c r="AH16" s="166" t="s">
        <v>61</v>
      </c>
      <c r="AI16" s="145">
        <f>AI11-AI12*AI13/AI14</f>
        <v>9.6393909380186855</v>
      </c>
      <c r="AJ16" s="145" t="s">
        <v>62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157">
        <v>12</v>
      </c>
      <c r="I17" s="158" t="str">
        <f t="shared" si="4"/>
        <v/>
      </c>
      <c r="J17" s="157">
        <f t="shared" si="5"/>
        <v>-2</v>
      </c>
      <c r="K17" s="157">
        <f t="shared" si="1"/>
        <v>-20</v>
      </c>
      <c r="L17" s="157"/>
      <c r="M17" s="159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154">
        <v>13</v>
      </c>
      <c r="I18" s="155" t="str">
        <f t="shared" si="4"/>
        <v/>
      </c>
      <c r="J18" s="154">
        <f t="shared" si="5"/>
        <v>-2</v>
      </c>
      <c r="K18" s="154">
        <f t="shared" si="1"/>
        <v>-20</v>
      </c>
      <c r="L18" s="154"/>
      <c r="M18" s="156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157">
        <v>14</v>
      </c>
      <c r="I19" s="158" t="str">
        <f t="shared" si="4"/>
        <v/>
      </c>
      <c r="J19" s="157">
        <f t="shared" si="5"/>
        <v>-2</v>
      </c>
      <c r="K19" s="157">
        <f t="shared" si="1"/>
        <v>-20</v>
      </c>
      <c r="L19" s="157"/>
      <c r="M19" s="159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154">
        <v>15</v>
      </c>
      <c r="I20" s="155" t="str">
        <f t="shared" si="4"/>
        <v/>
      </c>
      <c r="J20" s="154">
        <f t="shared" si="5"/>
        <v>-2</v>
      </c>
      <c r="K20" s="154">
        <f t="shared" si="1"/>
        <v>-20</v>
      </c>
      <c r="L20" s="154"/>
      <c r="M20" s="156">
        <f t="shared" si="2"/>
        <v>0</v>
      </c>
      <c r="R20" s="167"/>
      <c r="S20" s="168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157">
        <v>16</v>
      </c>
      <c r="I21" s="158" t="str">
        <f t="shared" si="4"/>
        <v/>
      </c>
      <c r="J21" s="157">
        <f t="shared" si="5"/>
        <v>-2</v>
      </c>
      <c r="K21" s="157">
        <f t="shared" si="1"/>
        <v>-20</v>
      </c>
      <c r="L21" s="157"/>
      <c r="M21" s="159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154">
        <v>17</v>
      </c>
      <c r="I22" s="155" t="str">
        <f t="shared" si="4"/>
        <v/>
      </c>
      <c r="J22" s="154">
        <f t="shared" si="5"/>
        <v>-3</v>
      </c>
      <c r="K22" s="154">
        <f t="shared" si="1"/>
        <v>-30</v>
      </c>
      <c r="L22" s="154"/>
      <c r="M22" s="156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157">
        <v>18</v>
      </c>
      <c r="I23" s="158" t="str">
        <f t="shared" si="4"/>
        <v/>
      </c>
      <c r="J23" s="157">
        <f t="shared" si="5"/>
        <v>-3</v>
      </c>
      <c r="K23" s="157">
        <f t="shared" si="1"/>
        <v>-30</v>
      </c>
      <c r="L23" s="157"/>
      <c r="M23" s="159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154">
        <v>19</v>
      </c>
      <c r="I24" s="155" t="str">
        <f t="shared" si="4"/>
        <v/>
      </c>
      <c r="J24" s="154">
        <f t="shared" si="5"/>
        <v>-3</v>
      </c>
      <c r="K24" s="154">
        <f t="shared" si="1"/>
        <v>-30</v>
      </c>
      <c r="L24" s="154"/>
      <c r="M24" s="156">
        <f t="shared" si="2"/>
        <v>0</v>
      </c>
      <c r="R24" s="167"/>
      <c r="S24" s="168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157">
        <v>20</v>
      </c>
      <c r="I25" s="158" t="str">
        <f t="shared" si="4"/>
        <v/>
      </c>
      <c r="J25" s="157">
        <f t="shared" si="5"/>
        <v>-3</v>
      </c>
      <c r="K25" s="157">
        <f t="shared" si="1"/>
        <v>-30</v>
      </c>
      <c r="L25" s="157"/>
      <c r="M25" s="159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154">
        <v>21</v>
      </c>
      <c r="I26" s="155" t="str">
        <f t="shared" si="4"/>
        <v/>
      </c>
      <c r="J26" s="154">
        <f t="shared" si="5"/>
        <v>-3</v>
      </c>
      <c r="K26" s="154">
        <f t="shared" si="1"/>
        <v>-30</v>
      </c>
      <c r="L26" s="154"/>
      <c r="M26" s="156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157">
        <v>22</v>
      </c>
      <c r="I27" s="158" t="str">
        <f t="shared" si="4"/>
        <v/>
      </c>
      <c r="J27" s="157">
        <f t="shared" si="5"/>
        <v>-3</v>
      </c>
      <c r="K27" s="157">
        <f t="shared" si="1"/>
        <v>-30</v>
      </c>
      <c r="L27" s="157"/>
      <c r="M27" s="159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154">
        <v>23</v>
      </c>
      <c r="I28" s="155" t="str">
        <f t="shared" si="4"/>
        <v/>
      </c>
      <c r="J28" s="154">
        <f t="shared" si="5"/>
        <v>-3</v>
      </c>
      <c r="K28" s="154">
        <f t="shared" si="1"/>
        <v>-30</v>
      </c>
      <c r="L28" s="154"/>
      <c r="M28" s="156">
        <f t="shared" si="2"/>
        <v>0</v>
      </c>
      <c r="R28" s="167"/>
      <c r="S28" s="168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40"/>
      <c r="H29" s="157">
        <v>24</v>
      </c>
      <c r="I29" s="158" t="str">
        <f t="shared" si="4"/>
        <v/>
      </c>
      <c r="J29" s="157">
        <f t="shared" si="5"/>
        <v>-3</v>
      </c>
      <c r="K29" s="157">
        <f t="shared" si="1"/>
        <v>-30</v>
      </c>
      <c r="L29" s="157"/>
      <c r="M29" s="159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40"/>
      <c r="H30" s="154">
        <v>25</v>
      </c>
      <c r="I30" s="155" t="str">
        <f t="shared" si="4"/>
        <v/>
      </c>
      <c r="J30" s="154">
        <f t="shared" si="5"/>
        <v>-3</v>
      </c>
      <c r="K30" s="154">
        <f t="shared" si="1"/>
        <v>-30</v>
      </c>
      <c r="L30" s="154"/>
      <c r="M30" s="156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40"/>
      <c r="H31" s="157">
        <v>26</v>
      </c>
      <c r="I31" s="158" t="str">
        <f t="shared" si="4"/>
        <v/>
      </c>
      <c r="J31" s="157">
        <f t="shared" si="5"/>
        <v>-3</v>
      </c>
      <c r="K31" s="157">
        <f t="shared" si="1"/>
        <v>-30</v>
      </c>
      <c r="L31" s="157"/>
      <c r="M31" s="159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40"/>
      <c r="H32" s="154">
        <v>27</v>
      </c>
      <c r="I32" s="155" t="str">
        <f t="shared" si="4"/>
        <v/>
      </c>
      <c r="J32" s="154">
        <f t="shared" si="5"/>
        <v>-3</v>
      </c>
      <c r="K32" s="154">
        <f t="shared" si="1"/>
        <v>-30</v>
      </c>
      <c r="L32" s="154"/>
      <c r="M32" s="156">
        <f t="shared" si="2"/>
        <v>0</v>
      </c>
      <c r="R32" s="167"/>
      <c r="S32" s="168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40"/>
      <c r="H33" s="157">
        <v>28</v>
      </c>
      <c r="I33" s="158" t="str">
        <f t="shared" si="4"/>
        <v/>
      </c>
      <c r="J33" s="157">
        <f t="shared" si="5"/>
        <v>-3</v>
      </c>
      <c r="K33" s="157">
        <f t="shared" si="1"/>
        <v>-30</v>
      </c>
      <c r="L33" s="157"/>
      <c r="M33" s="159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40"/>
      <c r="H34" s="154">
        <v>29</v>
      </c>
      <c r="I34" s="155" t="str">
        <f t="shared" si="4"/>
        <v/>
      </c>
      <c r="J34" s="154">
        <f t="shared" si="5"/>
        <v>-3</v>
      </c>
      <c r="K34" s="154">
        <f t="shared" si="1"/>
        <v>-30</v>
      </c>
      <c r="L34" s="154"/>
      <c r="M34" s="156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40"/>
      <c r="H35" s="157">
        <v>30</v>
      </c>
      <c r="I35" s="158" t="str">
        <f t="shared" si="4"/>
        <v/>
      </c>
      <c r="J35" s="157">
        <f t="shared" si="5"/>
        <v>-3</v>
      </c>
      <c r="K35" s="157">
        <f t="shared" si="1"/>
        <v>-30</v>
      </c>
      <c r="L35" s="157"/>
      <c r="M35" s="159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40"/>
      <c r="H36" s="154">
        <v>31</v>
      </c>
      <c r="I36" s="155" t="str">
        <f t="shared" si="4"/>
        <v/>
      </c>
      <c r="J36" s="154">
        <f t="shared" si="5"/>
        <v>-3</v>
      </c>
      <c r="K36" s="154">
        <f t="shared" si="1"/>
        <v>-30</v>
      </c>
      <c r="L36" s="154"/>
      <c r="M36" s="156">
        <f t="shared" si="2"/>
        <v>0</v>
      </c>
      <c r="R36" s="167"/>
      <c r="S36" s="168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40"/>
      <c r="H37" s="157">
        <v>32</v>
      </c>
      <c r="I37" s="158" t="str">
        <f t="shared" si="4"/>
        <v/>
      </c>
      <c r="J37" s="157">
        <f t="shared" si="5"/>
        <v>-3</v>
      </c>
      <c r="K37" s="157">
        <f t="shared" si="1"/>
        <v>-30</v>
      </c>
      <c r="L37" s="157"/>
      <c r="M37" s="159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40"/>
      <c r="H38" s="154">
        <v>33</v>
      </c>
      <c r="I38" s="155" t="str">
        <f t="shared" si="4"/>
        <v/>
      </c>
      <c r="J38" s="154">
        <f t="shared" si="5"/>
        <v>-4</v>
      </c>
      <c r="K38" s="154">
        <f t="shared" si="1"/>
        <v>-40</v>
      </c>
      <c r="L38" s="154"/>
      <c r="M38" s="156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40"/>
      <c r="H39" s="157">
        <v>34</v>
      </c>
      <c r="I39" s="158" t="str">
        <f t="shared" si="4"/>
        <v/>
      </c>
      <c r="J39" s="157">
        <f t="shared" si="5"/>
        <v>-4</v>
      </c>
      <c r="K39" s="157">
        <f t="shared" si="1"/>
        <v>-40</v>
      </c>
      <c r="L39" s="157"/>
      <c r="M39" s="159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40"/>
      <c r="H40" s="154">
        <v>35</v>
      </c>
      <c r="I40" s="155" t="str">
        <f t="shared" si="4"/>
        <v/>
      </c>
      <c r="J40" s="154">
        <f t="shared" si="5"/>
        <v>-4</v>
      </c>
      <c r="K40" s="154">
        <f t="shared" si="1"/>
        <v>-40</v>
      </c>
      <c r="L40" s="154"/>
      <c r="M40" s="156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40"/>
      <c r="H41" s="157">
        <v>36</v>
      </c>
      <c r="I41" s="158" t="str">
        <f t="shared" si="4"/>
        <v/>
      </c>
      <c r="J41" s="157">
        <f t="shared" si="5"/>
        <v>-4</v>
      </c>
      <c r="K41" s="157">
        <f t="shared" si="1"/>
        <v>-40</v>
      </c>
      <c r="L41" s="157"/>
      <c r="M41" s="159">
        <f t="shared" si="2"/>
        <v>0</v>
      </c>
      <c r="S41" s="169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40"/>
      <c r="H42" s="154">
        <v>37</v>
      </c>
      <c r="I42" s="155" t="str">
        <f t="shared" si="4"/>
        <v/>
      </c>
      <c r="J42" s="154">
        <f t="shared" si="5"/>
        <v>-4</v>
      </c>
      <c r="K42" s="154">
        <f t="shared" si="1"/>
        <v>-40</v>
      </c>
      <c r="L42" s="154"/>
      <c r="M42" s="156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40"/>
      <c r="H43" s="157">
        <v>38</v>
      </c>
      <c r="I43" s="158" t="str">
        <f t="shared" si="4"/>
        <v/>
      </c>
      <c r="J43" s="157">
        <f t="shared" si="5"/>
        <v>-4</v>
      </c>
      <c r="K43" s="157">
        <f t="shared" si="1"/>
        <v>-40</v>
      </c>
      <c r="L43" s="157"/>
      <c r="M43" s="159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40"/>
      <c r="H44" s="154">
        <v>39</v>
      </c>
      <c r="I44" s="155" t="str">
        <f t="shared" si="4"/>
        <v/>
      </c>
      <c r="J44" s="154">
        <f t="shared" si="5"/>
        <v>-4</v>
      </c>
      <c r="K44" s="154">
        <f t="shared" si="1"/>
        <v>-40</v>
      </c>
      <c r="L44" s="154"/>
      <c r="M44" s="156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40"/>
      <c r="H45" s="157">
        <v>40</v>
      </c>
      <c r="I45" s="158" t="str">
        <f t="shared" si="4"/>
        <v/>
      </c>
      <c r="J45" s="157">
        <f t="shared" si="5"/>
        <v>-4</v>
      </c>
      <c r="K45" s="157">
        <f t="shared" si="1"/>
        <v>-40</v>
      </c>
      <c r="L45" s="157"/>
      <c r="M45" s="159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40"/>
      <c r="H46" s="154">
        <v>41</v>
      </c>
      <c r="I46" s="155" t="str">
        <f t="shared" si="4"/>
        <v/>
      </c>
      <c r="J46" s="154">
        <f t="shared" si="5"/>
        <v>-4</v>
      </c>
      <c r="K46" s="154">
        <f t="shared" si="1"/>
        <v>-40</v>
      </c>
      <c r="L46" s="154"/>
      <c r="M46" s="156">
        <f t="shared" si="2"/>
        <v>0</v>
      </c>
      <c r="R46" s="140">
        <f>LOG($H$2,2)</f>
        <v>1.5849625007211563</v>
      </c>
      <c r="T46" s="145">
        <f>LOG(H38,2)</f>
        <v>5.0443941193584534</v>
      </c>
      <c r="U46" s="145">
        <f>R46-T46</f>
        <v>-3.4594316186372973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40"/>
      <c r="H47" s="157">
        <v>42</v>
      </c>
      <c r="I47" s="158" t="str">
        <f t="shared" si="4"/>
        <v/>
      </c>
      <c r="J47" s="157">
        <f t="shared" si="5"/>
        <v>-4</v>
      </c>
      <c r="K47" s="157">
        <f t="shared" si="1"/>
        <v>-40</v>
      </c>
      <c r="L47" s="157"/>
      <c r="M47" s="159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40"/>
      <c r="H48" s="154">
        <v>43</v>
      </c>
      <c r="I48" s="155" t="str">
        <f t="shared" si="4"/>
        <v/>
      </c>
      <c r="J48" s="154">
        <f t="shared" si="5"/>
        <v>-4</v>
      </c>
      <c r="K48" s="154">
        <f t="shared" si="1"/>
        <v>-40</v>
      </c>
      <c r="L48" s="154"/>
      <c r="M48" s="156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40"/>
      <c r="H49" s="157">
        <v>44</v>
      </c>
      <c r="I49" s="158" t="str">
        <f t="shared" si="4"/>
        <v/>
      </c>
      <c r="J49" s="157">
        <f t="shared" si="5"/>
        <v>-4</v>
      </c>
      <c r="K49" s="157">
        <f t="shared" si="1"/>
        <v>-40</v>
      </c>
      <c r="L49" s="157"/>
      <c r="M49" s="159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40"/>
      <c r="H50" s="154">
        <v>45</v>
      </c>
      <c r="I50" s="155" t="str">
        <f t="shared" si="4"/>
        <v/>
      </c>
      <c r="J50" s="154">
        <f t="shared" si="5"/>
        <v>-4</v>
      </c>
      <c r="K50" s="154">
        <f t="shared" si="1"/>
        <v>-40</v>
      </c>
      <c r="L50" s="154"/>
      <c r="M50" s="156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40"/>
      <c r="H51" s="157">
        <v>46</v>
      </c>
      <c r="I51" s="158" t="str">
        <f t="shared" si="4"/>
        <v/>
      </c>
      <c r="J51" s="157">
        <f t="shared" si="5"/>
        <v>-4</v>
      </c>
      <c r="K51" s="157">
        <f t="shared" si="1"/>
        <v>-40</v>
      </c>
      <c r="L51" s="157"/>
      <c r="M51" s="159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40"/>
      <c r="H52" s="154">
        <v>47</v>
      </c>
      <c r="I52" s="155" t="str">
        <f t="shared" si="4"/>
        <v/>
      </c>
      <c r="J52" s="154">
        <f t="shared" si="5"/>
        <v>-4</v>
      </c>
      <c r="K52" s="154">
        <f t="shared" si="1"/>
        <v>-40</v>
      </c>
      <c r="L52" s="154"/>
      <c r="M52" s="156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40"/>
      <c r="H53" s="157">
        <v>48</v>
      </c>
      <c r="I53" s="158" t="str">
        <f t="shared" si="4"/>
        <v/>
      </c>
      <c r="J53" s="157">
        <f t="shared" si="5"/>
        <v>-4</v>
      </c>
      <c r="K53" s="157">
        <f t="shared" si="1"/>
        <v>-40</v>
      </c>
      <c r="L53" s="157"/>
      <c r="M53" s="159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40"/>
      <c r="H54" s="154">
        <v>49</v>
      </c>
      <c r="I54" s="155" t="str">
        <f t="shared" si="4"/>
        <v/>
      </c>
      <c r="J54" s="154">
        <f t="shared" si="5"/>
        <v>-4</v>
      </c>
      <c r="K54" s="154">
        <f t="shared" si="1"/>
        <v>-40</v>
      </c>
      <c r="L54" s="154"/>
      <c r="M54" s="156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40"/>
      <c r="H55" s="157">
        <v>50</v>
      </c>
      <c r="I55" s="158" t="str">
        <f t="shared" si="4"/>
        <v/>
      </c>
      <c r="J55" s="157">
        <f t="shared" si="5"/>
        <v>-4</v>
      </c>
      <c r="K55" s="157">
        <f t="shared" si="1"/>
        <v>-40</v>
      </c>
      <c r="L55" s="157"/>
      <c r="M55" s="159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40"/>
      <c r="H56" s="154">
        <v>51</v>
      </c>
      <c r="I56" s="155" t="str">
        <f t="shared" si="4"/>
        <v/>
      </c>
      <c r="J56" s="154">
        <f t="shared" si="5"/>
        <v>-4</v>
      </c>
      <c r="K56" s="154">
        <f t="shared" si="1"/>
        <v>-40</v>
      </c>
      <c r="L56" s="154"/>
      <c r="M56" s="156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40"/>
      <c r="H57" s="157">
        <v>52</v>
      </c>
      <c r="I57" s="158" t="str">
        <f t="shared" si="4"/>
        <v/>
      </c>
      <c r="J57" s="157">
        <f t="shared" si="5"/>
        <v>-4</v>
      </c>
      <c r="K57" s="157">
        <f t="shared" si="1"/>
        <v>-40</v>
      </c>
      <c r="L57" s="157"/>
      <c r="M57" s="159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40"/>
      <c r="H58" s="154">
        <v>53</v>
      </c>
      <c r="I58" s="155" t="str">
        <f t="shared" si="4"/>
        <v/>
      </c>
      <c r="J58" s="154">
        <f t="shared" si="5"/>
        <v>-4</v>
      </c>
      <c r="K58" s="154">
        <f t="shared" si="1"/>
        <v>-40</v>
      </c>
      <c r="L58" s="154"/>
      <c r="M58" s="156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40"/>
      <c r="H59" s="157">
        <v>54</v>
      </c>
      <c r="I59" s="158" t="str">
        <f t="shared" si="4"/>
        <v/>
      </c>
      <c r="J59" s="157">
        <f t="shared" si="5"/>
        <v>-4</v>
      </c>
      <c r="K59" s="157">
        <f t="shared" si="1"/>
        <v>-40</v>
      </c>
      <c r="L59" s="157"/>
      <c r="M59" s="159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40"/>
      <c r="H60" s="154">
        <v>55</v>
      </c>
      <c r="I60" s="155" t="str">
        <f t="shared" si="4"/>
        <v/>
      </c>
      <c r="J60" s="154">
        <f t="shared" si="5"/>
        <v>-4</v>
      </c>
      <c r="K60" s="154">
        <f t="shared" si="1"/>
        <v>-40</v>
      </c>
      <c r="L60" s="154"/>
      <c r="M60" s="156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40"/>
      <c r="H61" s="157">
        <v>56</v>
      </c>
      <c r="I61" s="158" t="str">
        <f t="shared" si="4"/>
        <v/>
      </c>
      <c r="J61" s="157">
        <f t="shared" si="5"/>
        <v>-4</v>
      </c>
      <c r="K61" s="157">
        <f t="shared" si="1"/>
        <v>-40</v>
      </c>
      <c r="L61" s="157"/>
      <c r="M61" s="159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40"/>
      <c r="H62" s="154">
        <v>57</v>
      </c>
      <c r="I62" s="155" t="str">
        <f t="shared" si="4"/>
        <v/>
      </c>
      <c r="J62" s="154">
        <f t="shared" si="5"/>
        <v>-4</v>
      </c>
      <c r="K62" s="154">
        <f t="shared" si="1"/>
        <v>-40</v>
      </c>
      <c r="L62" s="154"/>
      <c r="M62" s="156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40"/>
      <c r="H63" s="157">
        <v>58</v>
      </c>
      <c r="I63" s="158" t="str">
        <f t="shared" si="4"/>
        <v/>
      </c>
      <c r="J63" s="157">
        <f t="shared" si="5"/>
        <v>-4</v>
      </c>
      <c r="K63" s="157">
        <f t="shared" si="1"/>
        <v>-40</v>
      </c>
      <c r="L63" s="157"/>
      <c r="M63" s="159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40"/>
      <c r="H64" s="154">
        <v>59</v>
      </c>
      <c r="I64" s="155" t="str">
        <f t="shared" si="4"/>
        <v/>
      </c>
      <c r="J64" s="154">
        <f t="shared" si="5"/>
        <v>-4</v>
      </c>
      <c r="K64" s="154">
        <f t="shared" si="1"/>
        <v>-40</v>
      </c>
      <c r="L64" s="154"/>
      <c r="M64" s="156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40"/>
      <c r="H65" s="157">
        <v>60</v>
      </c>
      <c r="I65" s="158" t="str">
        <f t="shared" si="4"/>
        <v/>
      </c>
      <c r="J65" s="157">
        <f t="shared" si="5"/>
        <v>-4</v>
      </c>
      <c r="K65" s="157">
        <f t="shared" si="1"/>
        <v>-40</v>
      </c>
      <c r="L65" s="157"/>
      <c r="M65" s="159">
        <f t="shared" si="2"/>
        <v>0</v>
      </c>
    </row>
    <row r="66" spans="1:13" x14ac:dyDescent="0.25">
      <c r="A66" s="170"/>
      <c r="B66" s="36"/>
      <c r="G66" s="140"/>
      <c r="H66" s="154">
        <v>61</v>
      </c>
      <c r="I66" s="155" t="str">
        <f t="shared" si="4"/>
        <v/>
      </c>
      <c r="J66" s="154">
        <f t="shared" si="5"/>
        <v>-4</v>
      </c>
      <c r="K66" s="154">
        <f t="shared" si="1"/>
        <v>-40</v>
      </c>
      <c r="L66" s="154"/>
      <c r="M66" s="156">
        <f t="shared" si="2"/>
        <v>0</v>
      </c>
    </row>
    <row r="67" spans="1:13" x14ac:dyDescent="0.25">
      <c r="A67" s="170"/>
      <c r="B67" s="42"/>
      <c r="G67" s="140"/>
      <c r="H67" s="154">
        <v>62</v>
      </c>
      <c r="I67" s="155" t="str">
        <f t="shared" si="4"/>
        <v/>
      </c>
      <c r="J67" s="154">
        <f t="shared" si="5"/>
        <v>-4</v>
      </c>
      <c r="K67" s="154">
        <f t="shared" si="1"/>
        <v>-40</v>
      </c>
      <c r="L67" s="154"/>
      <c r="M67" s="156">
        <f t="shared" si="2"/>
        <v>0</v>
      </c>
    </row>
    <row r="68" spans="1:13" x14ac:dyDescent="0.25">
      <c r="A68" s="170"/>
      <c r="B68" s="36"/>
      <c r="G68" s="140"/>
      <c r="H68" s="154">
        <v>63</v>
      </c>
      <c r="I68" s="155" t="str">
        <f t="shared" si="4"/>
        <v/>
      </c>
      <c r="J68" s="154">
        <f t="shared" si="5"/>
        <v>-4</v>
      </c>
      <c r="K68" s="154">
        <f t="shared" si="1"/>
        <v>-40</v>
      </c>
      <c r="L68" s="154"/>
      <c r="M68" s="156">
        <f t="shared" si="2"/>
        <v>0</v>
      </c>
    </row>
    <row r="69" spans="1:13" x14ac:dyDescent="0.25">
      <c r="A69" s="170"/>
      <c r="B69" s="42"/>
      <c r="G69" s="140"/>
      <c r="H69" s="154">
        <v>64</v>
      </c>
      <c r="I69" s="155" t="str">
        <f t="shared" si="4"/>
        <v/>
      </c>
      <c r="J69" s="154">
        <f t="shared" si="5"/>
        <v>-4</v>
      </c>
      <c r="K69" s="154">
        <f t="shared" si="1"/>
        <v>-40</v>
      </c>
      <c r="L69" s="154"/>
      <c r="M69" s="156">
        <f t="shared" si="2"/>
        <v>0</v>
      </c>
    </row>
    <row r="70" spans="1:13" x14ac:dyDescent="0.25">
      <c r="A70" s="170"/>
      <c r="G70" s="140"/>
      <c r="H70" s="154">
        <v>65</v>
      </c>
      <c r="I70" s="155" t="str">
        <f t="shared" si="4"/>
        <v/>
      </c>
      <c r="J70" s="154">
        <f t="shared" si="5"/>
        <v>-5</v>
      </c>
      <c r="K70" s="154">
        <f t="shared" ref="K70:K133" si="7">J70*$J$2</f>
        <v>-50</v>
      </c>
      <c r="L70" s="154"/>
      <c r="M70" s="156">
        <f t="shared" ref="M70:M133" si="8">IF(I70&lt;&gt;"",K70+I70+L70,0)</f>
        <v>0</v>
      </c>
    </row>
    <row r="71" spans="1:13" x14ac:dyDescent="0.25">
      <c r="A71" s="170"/>
      <c r="G71" s="140"/>
      <c r="H71" s="154">
        <v>66</v>
      </c>
      <c r="I71" s="155" t="str">
        <f t="shared" ref="I71:I134" si="9">IF(H71&lt;$H$2+1,($I$2-($I$2-1)*(LOG(H71)/LOG($H$2))),"")</f>
        <v/>
      </c>
      <c r="J71" s="154">
        <f t="shared" ref="J71:J134" si="10">INT(LOG($H$2,2))-ROUNDUP(LOG(H71,2),0)+IF(OR($H$2=1,$H$2=2,$H$2=4,$H$2=8,$H$2=16,$H$2=32,$H$2=64,$H$2=128,$H$2=256),0,1)</f>
        <v>-5</v>
      </c>
      <c r="K71" s="154">
        <f t="shared" si="7"/>
        <v>-50</v>
      </c>
      <c r="L71" s="154"/>
      <c r="M71" s="156">
        <f t="shared" si="8"/>
        <v>0</v>
      </c>
    </row>
    <row r="72" spans="1:13" x14ac:dyDescent="0.25">
      <c r="A72" s="170"/>
      <c r="G72" s="140"/>
      <c r="H72" s="154">
        <v>67</v>
      </c>
      <c r="I72" s="155" t="str">
        <f t="shared" si="9"/>
        <v/>
      </c>
      <c r="J72" s="154">
        <f t="shared" si="10"/>
        <v>-5</v>
      </c>
      <c r="K72" s="154">
        <f t="shared" si="7"/>
        <v>-50</v>
      </c>
      <c r="L72" s="154"/>
      <c r="M72" s="156">
        <f t="shared" si="8"/>
        <v>0</v>
      </c>
    </row>
    <row r="73" spans="1:13" x14ac:dyDescent="0.25">
      <c r="A73" s="170"/>
      <c r="G73" s="140"/>
      <c r="H73" s="154">
        <v>68</v>
      </c>
      <c r="I73" s="155" t="str">
        <f t="shared" si="9"/>
        <v/>
      </c>
      <c r="J73" s="154">
        <f t="shared" si="10"/>
        <v>-5</v>
      </c>
      <c r="K73" s="154">
        <f t="shared" si="7"/>
        <v>-50</v>
      </c>
      <c r="L73" s="154"/>
      <c r="M73" s="156">
        <f t="shared" si="8"/>
        <v>0</v>
      </c>
    </row>
    <row r="74" spans="1:13" x14ac:dyDescent="0.25">
      <c r="A74" s="170"/>
      <c r="G74" s="140"/>
      <c r="H74" s="154">
        <v>69</v>
      </c>
      <c r="I74" s="155" t="str">
        <f t="shared" si="9"/>
        <v/>
      </c>
      <c r="J74" s="154">
        <f t="shared" si="10"/>
        <v>-5</v>
      </c>
      <c r="K74" s="154">
        <f t="shared" si="7"/>
        <v>-50</v>
      </c>
      <c r="L74" s="154"/>
      <c r="M74" s="156">
        <f t="shared" si="8"/>
        <v>0</v>
      </c>
    </row>
    <row r="75" spans="1:13" x14ac:dyDescent="0.25">
      <c r="A75" s="170"/>
      <c r="G75" s="140"/>
      <c r="H75" s="154">
        <v>70</v>
      </c>
      <c r="I75" s="155" t="str">
        <f t="shared" si="9"/>
        <v/>
      </c>
      <c r="J75" s="154">
        <f t="shared" si="10"/>
        <v>-5</v>
      </c>
      <c r="K75" s="154">
        <f t="shared" si="7"/>
        <v>-50</v>
      </c>
      <c r="L75" s="154"/>
      <c r="M75" s="156">
        <f t="shared" si="8"/>
        <v>0</v>
      </c>
    </row>
    <row r="76" spans="1:13" x14ac:dyDescent="0.25">
      <c r="A76" s="170"/>
      <c r="G76" s="140"/>
      <c r="H76" s="154">
        <v>71</v>
      </c>
      <c r="I76" s="155" t="str">
        <f t="shared" si="9"/>
        <v/>
      </c>
      <c r="J76" s="154">
        <f t="shared" si="10"/>
        <v>-5</v>
      </c>
      <c r="K76" s="154">
        <f t="shared" si="7"/>
        <v>-50</v>
      </c>
      <c r="L76" s="154"/>
      <c r="M76" s="156">
        <f t="shared" si="8"/>
        <v>0</v>
      </c>
    </row>
    <row r="77" spans="1:13" x14ac:dyDescent="0.25">
      <c r="A77" s="170"/>
      <c r="G77" s="140"/>
      <c r="H77" s="154">
        <v>72</v>
      </c>
      <c r="I77" s="155" t="str">
        <f t="shared" si="9"/>
        <v/>
      </c>
      <c r="J77" s="154">
        <f t="shared" si="10"/>
        <v>-5</v>
      </c>
      <c r="K77" s="154">
        <f t="shared" si="7"/>
        <v>-50</v>
      </c>
      <c r="L77" s="154"/>
      <c r="M77" s="156">
        <f t="shared" si="8"/>
        <v>0</v>
      </c>
    </row>
    <row r="78" spans="1:13" x14ac:dyDescent="0.25">
      <c r="A78" s="170"/>
      <c r="G78" s="140"/>
      <c r="H78" s="154">
        <v>73</v>
      </c>
      <c r="I78" s="155" t="str">
        <f t="shared" si="9"/>
        <v/>
      </c>
      <c r="J78" s="154">
        <f t="shared" si="10"/>
        <v>-5</v>
      </c>
      <c r="K78" s="154">
        <f t="shared" si="7"/>
        <v>-50</v>
      </c>
      <c r="L78" s="154"/>
      <c r="M78" s="156">
        <f t="shared" si="8"/>
        <v>0</v>
      </c>
    </row>
    <row r="79" spans="1:13" x14ac:dyDescent="0.25">
      <c r="A79" s="170"/>
      <c r="G79" s="140"/>
      <c r="H79" s="154">
        <v>74</v>
      </c>
      <c r="I79" s="155" t="str">
        <f t="shared" si="9"/>
        <v/>
      </c>
      <c r="J79" s="154">
        <f t="shared" si="10"/>
        <v>-5</v>
      </c>
      <c r="K79" s="154">
        <f t="shared" si="7"/>
        <v>-50</v>
      </c>
      <c r="L79" s="154"/>
      <c r="M79" s="156">
        <f t="shared" si="8"/>
        <v>0</v>
      </c>
    </row>
    <row r="80" spans="1:13" x14ac:dyDescent="0.25">
      <c r="A80" s="170"/>
      <c r="G80" s="140"/>
      <c r="H80" s="154">
        <v>75</v>
      </c>
      <c r="I80" s="155" t="str">
        <f t="shared" si="9"/>
        <v/>
      </c>
      <c r="J80" s="154">
        <f t="shared" si="10"/>
        <v>-5</v>
      </c>
      <c r="K80" s="154">
        <f t="shared" si="7"/>
        <v>-50</v>
      </c>
      <c r="L80" s="154"/>
      <c r="M80" s="156">
        <f t="shared" si="8"/>
        <v>0</v>
      </c>
    </row>
    <row r="81" spans="1:13" x14ac:dyDescent="0.25">
      <c r="A81" s="170"/>
      <c r="G81" s="140"/>
      <c r="H81" s="154">
        <v>76</v>
      </c>
      <c r="I81" s="155" t="str">
        <f t="shared" si="9"/>
        <v/>
      </c>
      <c r="J81" s="154">
        <f t="shared" si="10"/>
        <v>-5</v>
      </c>
      <c r="K81" s="154">
        <f t="shared" si="7"/>
        <v>-50</v>
      </c>
      <c r="L81" s="154"/>
      <c r="M81" s="156">
        <f t="shared" si="8"/>
        <v>0</v>
      </c>
    </row>
    <row r="82" spans="1:13" x14ac:dyDescent="0.25">
      <c r="A82" s="170"/>
      <c r="G82" s="140"/>
      <c r="H82" s="154">
        <v>77</v>
      </c>
      <c r="I82" s="155" t="str">
        <f t="shared" si="9"/>
        <v/>
      </c>
      <c r="J82" s="154">
        <f t="shared" si="10"/>
        <v>-5</v>
      </c>
      <c r="K82" s="154">
        <f t="shared" si="7"/>
        <v>-50</v>
      </c>
      <c r="L82" s="154"/>
      <c r="M82" s="156">
        <f t="shared" si="8"/>
        <v>0</v>
      </c>
    </row>
    <row r="83" spans="1:13" x14ac:dyDescent="0.25">
      <c r="A83" s="170"/>
      <c r="G83" s="140"/>
      <c r="H83" s="154">
        <v>78</v>
      </c>
      <c r="I83" s="155" t="str">
        <f t="shared" si="9"/>
        <v/>
      </c>
      <c r="J83" s="154">
        <f t="shared" si="10"/>
        <v>-5</v>
      </c>
      <c r="K83" s="154">
        <f t="shared" si="7"/>
        <v>-50</v>
      </c>
      <c r="L83" s="154"/>
      <c r="M83" s="156">
        <f t="shared" si="8"/>
        <v>0</v>
      </c>
    </row>
    <row r="84" spans="1:13" x14ac:dyDescent="0.25">
      <c r="A84" s="170"/>
      <c r="G84" s="140"/>
      <c r="H84" s="154">
        <v>79</v>
      </c>
      <c r="I84" s="155" t="str">
        <f t="shared" si="9"/>
        <v/>
      </c>
      <c r="J84" s="154">
        <f t="shared" si="10"/>
        <v>-5</v>
      </c>
      <c r="K84" s="154">
        <f t="shared" si="7"/>
        <v>-50</v>
      </c>
      <c r="L84" s="154"/>
      <c r="M84" s="156">
        <f t="shared" si="8"/>
        <v>0</v>
      </c>
    </row>
    <row r="85" spans="1:13" x14ac:dyDescent="0.25">
      <c r="A85" s="170"/>
      <c r="G85" s="140"/>
      <c r="H85" s="154">
        <v>80</v>
      </c>
      <c r="I85" s="155" t="str">
        <f t="shared" si="9"/>
        <v/>
      </c>
      <c r="J85" s="154">
        <f t="shared" si="10"/>
        <v>-5</v>
      </c>
      <c r="K85" s="154">
        <f t="shared" si="7"/>
        <v>-50</v>
      </c>
      <c r="L85" s="154"/>
      <c r="M85" s="156">
        <f t="shared" si="8"/>
        <v>0</v>
      </c>
    </row>
    <row r="86" spans="1:13" x14ac:dyDescent="0.25">
      <c r="A86" s="170"/>
      <c r="G86" s="140"/>
      <c r="H86" s="154">
        <v>81</v>
      </c>
      <c r="I86" s="155" t="str">
        <f t="shared" si="9"/>
        <v/>
      </c>
      <c r="J86" s="154">
        <f t="shared" si="10"/>
        <v>-5</v>
      </c>
      <c r="K86" s="154">
        <f t="shared" si="7"/>
        <v>-50</v>
      </c>
      <c r="L86" s="154"/>
      <c r="M86" s="156">
        <f t="shared" si="8"/>
        <v>0</v>
      </c>
    </row>
    <row r="87" spans="1:13" x14ac:dyDescent="0.25">
      <c r="A87" s="170"/>
      <c r="G87" s="140"/>
      <c r="H87" s="154">
        <v>82</v>
      </c>
      <c r="I87" s="155" t="str">
        <f t="shared" si="9"/>
        <v/>
      </c>
      <c r="J87" s="154">
        <f t="shared" si="10"/>
        <v>-5</v>
      </c>
      <c r="K87" s="154">
        <f t="shared" si="7"/>
        <v>-50</v>
      </c>
      <c r="L87" s="154"/>
      <c r="M87" s="156">
        <f t="shared" si="8"/>
        <v>0</v>
      </c>
    </row>
    <row r="88" spans="1:13" x14ac:dyDescent="0.25">
      <c r="A88" s="170"/>
      <c r="G88" s="140"/>
      <c r="H88" s="154">
        <v>83</v>
      </c>
      <c r="I88" s="155" t="str">
        <f t="shared" si="9"/>
        <v/>
      </c>
      <c r="J88" s="154">
        <f t="shared" si="10"/>
        <v>-5</v>
      </c>
      <c r="K88" s="154">
        <f t="shared" si="7"/>
        <v>-50</v>
      </c>
      <c r="L88" s="154"/>
      <c r="M88" s="156">
        <f t="shared" si="8"/>
        <v>0</v>
      </c>
    </row>
    <row r="89" spans="1:13" x14ac:dyDescent="0.25">
      <c r="A89" s="170"/>
      <c r="G89" s="140"/>
      <c r="H89" s="154">
        <v>84</v>
      </c>
      <c r="I89" s="155" t="str">
        <f t="shared" si="9"/>
        <v/>
      </c>
      <c r="J89" s="154">
        <f t="shared" si="10"/>
        <v>-5</v>
      </c>
      <c r="K89" s="154">
        <f t="shared" si="7"/>
        <v>-50</v>
      </c>
      <c r="L89" s="154"/>
      <c r="M89" s="156">
        <f t="shared" si="8"/>
        <v>0</v>
      </c>
    </row>
    <row r="90" spans="1:13" x14ac:dyDescent="0.25">
      <c r="A90" s="170"/>
      <c r="G90" s="140"/>
      <c r="H90" s="154">
        <v>85</v>
      </c>
      <c r="I90" s="155" t="str">
        <f t="shared" si="9"/>
        <v/>
      </c>
      <c r="J90" s="154">
        <f t="shared" si="10"/>
        <v>-5</v>
      </c>
      <c r="K90" s="154">
        <f t="shared" si="7"/>
        <v>-50</v>
      </c>
      <c r="L90" s="154"/>
      <c r="M90" s="156">
        <f t="shared" si="8"/>
        <v>0</v>
      </c>
    </row>
    <row r="91" spans="1:13" x14ac:dyDescent="0.25">
      <c r="A91" s="170"/>
      <c r="G91" s="140"/>
      <c r="H91" s="154">
        <v>86</v>
      </c>
      <c r="I91" s="155" t="str">
        <f t="shared" si="9"/>
        <v/>
      </c>
      <c r="J91" s="154">
        <f t="shared" si="10"/>
        <v>-5</v>
      </c>
      <c r="K91" s="154">
        <f t="shared" si="7"/>
        <v>-50</v>
      </c>
      <c r="L91" s="154"/>
      <c r="M91" s="156">
        <f t="shared" si="8"/>
        <v>0</v>
      </c>
    </row>
    <row r="92" spans="1:13" x14ac:dyDescent="0.25">
      <c r="A92" s="170"/>
      <c r="G92" s="140"/>
      <c r="H92" s="154">
        <v>87</v>
      </c>
      <c r="I92" s="155" t="str">
        <f t="shared" si="9"/>
        <v/>
      </c>
      <c r="J92" s="154">
        <f t="shared" si="10"/>
        <v>-5</v>
      </c>
      <c r="K92" s="154">
        <f t="shared" si="7"/>
        <v>-50</v>
      </c>
      <c r="L92" s="154"/>
      <c r="M92" s="156">
        <f t="shared" si="8"/>
        <v>0</v>
      </c>
    </row>
    <row r="93" spans="1:13" x14ac:dyDescent="0.25">
      <c r="A93" s="170"/>
      <c r="G93" s="140"/>
      <c r="H93" s="154">
        <v>88</v>
      </c>
      <c r="I93" s="155" t="str">
        <f t="shared" si="9"/>
        <v/>
      </c>
      <c r="J93" s="154">
        <f t="shared" si="10"/>
        <v>-5</v>
      </c>
      <c r="K93" s="154">
        <f t="shared" si="7"/>
        <v>-50</v>
      </c>
      <c r="L93" s="154"/>
      <c r="M93" s="156">
        <f t="shared" si="8"/>
        <v>0</v>
      </c>
    </row>
    <row r="94" spans="1:13" x14ac:dyDescent="0.25">
      <c r="A94" s="170"/>
      <c r="G94" s="140"/>
      <c r="H94" s="154">
        <v>89</v>
      </c>
      <c r="I94" s="155" t="str">
        <f t="shared" si="9"/>
        <v/>
      </c>
      <c r="J94" s="154">
        <f t="shared" si="10"/>
        <v>-5</v>
      </c>
      <c r="K94" s="154">
        <f t="shared" si="7"/>
        <v>-50</v>
      </c>
      <c r="L94" s="154"/>
      <c r="M94" s="156">
        <f t="shared" si="8"/>
        <v>0</v>
      </c>
    </row>
    <row r="95" spans="1:13" x14ac:dyDescent="0.25">
      <c r="A95" s="170"/>
      <c r="G95" s="140"/>
      <c r="H95" s="154">
        <v>90</v>
      </c>
      <c r="I95" s="155" t="str">
        <f t="shared" si="9"/>
        <v/>
      </c>
      <c r="J95" s="154">
        <f t="shared" si="10"/>
        <v>-5</v>
      </c>
      <c r="K95" s="154">
        <f t="shared" si="7"/>
        <v>-50</v>
      </c>
      <c r="L95" s="154"/>
      <c r="M95" s="156">
        <f t="shared" si="8"/>
        <v>0</v>
      </c>
    </row>
    <row r="96" spans="1:13" x14ac:dyDescent="0.25">
      <c r="A96" s="170"/>
      <c r="G96" s="140"/>
      <c r="H96" s="154">
        <v>91</v>
      </c>
      <c r="I96" s="155" t="str">
        <f t="shared" si="9"/>
        <v/>
      </c>
      <c r="J96" s="154">
        <f t="shared" si="10"/>
        <v>-5</v>
      </c>
      <c r="K96" s="154">
        <f t="shared" si="7"/>
        <v>-50</v>
      </c>
      <c r="L96" s="154"/>
      <c r="M96" s="156">
        <f t="shared" si="8"/>
        <v>0</v>
      </c>
    </row>
    <row r="97" spans="1:13" x14ac:dyDescent="0.25">
      <c r="A97" s="170"/>
      <c r="G97" s="140"/>
      <c r="H97" s="154">
        <v>92</v>
      </c>
      <c r="I97" s="155" t="str">
        <f t="shared" si="9"/>
        <v/>
      </c>
      <c r="J97" s="154">
        <f t="shared" si="10"/>
        <v>-5</v>
      </c>
      <c r="K97" s="154">
        <f t="shared" si="7"/>
        <v>-50</v>
      </c>
      <c r="L97" s="154"/>
      <c r="M97" s="156">
        <f t="shared" si="8"/>
        <v>0</v>
      </c>
    </row>
    <row r="98" spans="1:13" x14ac:dyDescent="0.25">
      <c r="A98" s="170"/>
      <c r="G98" s="140"/>
      <c r="H98" s="154">
        <v>93</v>
      </c>
      <c r="I98" s="155" t="str">
        <f t="shared" si="9"/>
        <v/>
      </c>
      <c r="J98" s="154">
        <f t="shared" si="10"/>
        <v>-5</v>
      </c>
      <c r="K98" s="154">
        <f t="shared" si="7"/>
        <v>-50</v>
      </c>
      <c r="L98" s="154"/>
      <c r="M98" s="156">
        <f t="shared" si="8"/>
        <v>0</v>
      </c>
    </row>
    <row r="99" spans="1:13" x14ac:dyDescent="0.25">
      <c r="A99" s="170"/>
      <c r="G99" s="140"/>
      <c r="H99" s="154">
        <v>94</v>
      </c>
      <c r="I99" s="155" t="str">
        <f t="shared" si="9"/>
        <v/>
      </c>
      <c r="J99" s="154">
        <f t="shared" si="10"/>
        <v>-5</v>
      </c>
      <c r="K99" s="154">
        <f t="shared" si="7"/>
        <v>-50</v>
      </c>
      <c r="L99" s="154"/>
      <c r="M99" s="156">
        <f t="shared" si="8"/>
        <v>0</v>
      </c>
    </row>
    <row r="100" spans="1:13" x14ac:dyDescent="0.25">
      <c r="A100" s="170"/>
      <c r="G100" s="140"/>
      <c r="H100" s="154">
        <v>95</v>
      </c>
      <c r="I100" s="155" t="str">
        <f t="shared" si="9"/>
        <v/>
      </c>
      <c r="J100" s="154">
        <f t="shared" si="10"/>
        <v>-5</v>
      </c>
      <c r="K100" s="154">
        <f t="shared" si="7"/>
        <v>-50</v>
      </c>
      <c r="L100" s="154"/>
      <c r="M100" s="156">
        <f t="shared" si="8"/>
        <v>0</v>
      </c>
    </row>
    <row r="101" spans="1:13" x14ac:dyDescent="0.25">
      <c r="A101" s="170"/>
      <c r="G101" s="140"/>
      <c r="H101" s="154">
        <v>96</v>
      </c>
      <c r="I101" s="155" t="str">
        <f t="shared" si="9"/>
        <v/>
      </c>
      <c r="J101" s="154">
        <f t="shared" si="10"/>
        <v>-5</v>
      </c>
      <c r="K101" s="154">
        <f t="shared" si="7"/>
        <v>-50</v>
      </c>
      <c r="L101" s="154"/>
      <c r="M101" s="156">
        <f t="shared" si="8"/>
        <v>0</v>
      </c>
    </row>
    <row r="102" spans="1:13" x14ac:dyDescent="0.25">
      <c r="A102" s="170"/>
      <c r="G102" s="140"/>
      <c r="H102" s="154">
        <v>97</v>
      </c>
      <c r="I102" s="155" t="str">
        <f t="shared" si="9"/>
        <v/>
      </c>
      <c r="J102" s="154">
        <f t="shared" si="10"/>
        <v>-5</v>
      </c>
      <c r="K102" s="154">
        <f t="shared" si="7"/>
        <v>-50</v>
      </c>
      <c r="L102" s="154"/>
      <c r="M102" s="156">
        <f t="shared" si="8"/>
        <v>0</v>
      </c>
    </row>
    <row r="103" spans="1:13" x14ac:dyDescent="0.25">
      <c r="A103" s="170"/>
      <c r="G103" s="140"/>
      <c r="H103" s="154">
        <v>98</v>
      </c>
      <c r="I103" s="155" t="str">
        <f t="shared" si="9"/>
        <v/>
      </c>
      <c r="J103" s="154">
        <f t="shared" si="10"/>
        <v>-5</v>
      </c>
      <c r="K103" s="154">
        <f t="shared" si="7"/>
        <v>-50</v>
      </c>
      <c r="L103" s="154"/>
      <c r="M103" s="156">
        <f t="shared" si="8"/>
        <v>0</v>
      </c>
    </row>
    <row r="104" spans="1:13" x14ac:dyDescent="0.25">
      <c r="A104" s="170"/>
      <c r="G104" s="140"/>
      <c r="H104" s="154">
        <v>99</v>
      </c>
      <c r="I104" s="155" t="str">
        <f t="shared" si="9"/>
        <v/>
      </c>
      <c r="J104" s="154">
        <f t="shared" si="10"/>
        <v>-5</v>
      </c>
      <c r="K104" s="154">
        <f t="shared" si="7"/>
        <v>-50</v>
      </c>
      <c r="L104" s="154"/>
      <c r="M104" s="156">
        <f t="shared" si="8"/>
        <v>0</v>
      </c>
    </row>
    <row r="105" spans="1:13" x14ac:dyDescent="0.25">
      <c r="A105" s="170"/>
      <c r="G105" s="140"/>
      <c r="H105" s="154">
        <v>100</v>
      </c>
      <c r="I105" s="155" t="str">
        <f t="shared" si="9"/>
        <v/>
      </c>
      <c r="J105" s="154">
        <f t="shared" si="10"/>
        <v>-5</v>
      </c>
      <c r="K105" s="154">
        <f t="shared" si="7"/>
        <v>-50</v>
      </c>
      <c r="L105" s="154"/>
      <c r="M105" s="156">
        <f t="shared" si="8"/>
        <v>0</v>
      </c>
    </row>
    <row r="106" spans="1:13" x14ac:dyDescent="0.25">
      <c r="A106" s="170"/>
      <c r="G106" s="140"/>
      <c r="H106" s="154">
        <v>101</v>
      </c>
      <c r="I106" s="155" t="str">
        <f t="shared" si="9"/>
        <v/>
      </c>
      <c r="J106" s="154">
        <f t="shared" si="10"/>
        <v>-5</v>
      </c>
      <c r="K106" s="154">
        <f t="shared" si="7"/>
        <v>-50</v>
      </c>
      <c r="L106" s="154"/>
      <c r="M106" s="156">
        <f t="shared" si="8"/>
        <v>0</v>
      </c>
    </row>
    <row r="107" spans="1:13" x14ac:dyDescent="0.25">
      <c r="A107" s="170"/>
      <c r="G107" s="140"/>
      <c r="H107" s="154">
        <v>102</v>
      </c>
      <c r="I107" s="155" t="str">
        <f t="shared" si="9"/>
        <v/>
      </c>
      <c r="J107" s="154">
        <f t="shared" si="10"/>
        <v>-5</v>
      </c>
      <c r="K107" s="154">
        <f t="shared" si="7"/>
        <v>-50</v>
      </c>
      <c r="L107" s="154"/>
      <c r="M107" s="156">
        <f t="shared" si="8"/>
        <v>0</v>
      </c>
    </row>
    <row r="108" spans="1:13" x14ac:dyDescent="0.25">
      <c r="A108" s="170"/>
      <c r="G108" s="140"/>
      <c r="H108" s="154">
        <v>103</v>
      </c>
      <c r="I108" s="155" t="str">
        <f t="shared" si="9"/>
        <v/>
      </c>
      <c r="J108" s="154">
        <f t="shared" si="10"/>
        <v>-5</v>
      </c>
      <c r="K108" s="154">
        <f t="shared" si="7"/>
        <v>-50</v>
      </c>
      <c r="L108" s="154"/>
      <c r="M108" s="156">
        <f t="shared" si="8"/>
        <v>0</v>
      </c>
    </row>
    <row r="109" spans="1:13" x14ac:dyDescent="0.25">
      <c r="A109" s="170"/>
      <c r="G109" s="140"/>
      <c r="H109" s="154">
        <v>104</v>
      </c>
      <c r="I109" s="155" t="str">
        <f t="shared" si="9"/>
        <v/>
      </c>
      <c r="J109" s="154">
        <f t="shared" si="10"/>
        <v>-5</v>
      </c>
      <c r="K109" s="154">
        <f t="shared" si="7"/>
        <v>-50</v>
      </c>
      <c r="L109" s="154"/>
      <c r="M109" s="156">
        <f t="shared" si="8"/>
        <v>0</v>
      </c>
    </row>
    <row r="110" spans="1:13" x14ac:dyDescent="0.25">
      <c r="A110" s="170"/>
      <c r="G110" s="140"/>
      <c r="H110" s="154">
        <v>105</v>
      </c>
      <c r="I110" s="155" t="str">
        <f t="shared" si="9"/>
        <v/>
      </c>
      <c r="J110" s="154">
        <f t="shared" si="10"/>
        <v>-5</v>
      </c>
      <c r="K110" s="154">
        <f t="shared" si="7"/>
        <v>-50</v>
      </c>
      <c r="L110" s="154"/>
      <c r="M110" s="156">
        <f t="shared" si="8"/>
        <v>0</v>
      </c>
    </row>
    <row r="111" spans="1:13" x14ac:dyDescent="0.25">
      <c r="A111" s="170"/>
      <c r="G111" s="140"/>
      <c r="H111" s="154">
        <v>106</v>
      </c>
      <c r="I111" s="155" t="str">
        <f t="shared" si="9"/>
        <v/>
      </c>
      <c r="J111" s="154">
        <f t="shared" si="10"/>
        <v>-5</v>
      </c>
      <c r="K111" s="154">
        <f t="shared" si="7"/>
        <v>-50</v>
      </c>
      <c r="L111" s="154"/>
      <c r="M111" s="156">
        <f t="shared" si="8"/>
        <v>0</v>
      </c>
    </row>
    <row r="112" spans="1:13" x14ac:dyDescent="0.25">
      <c r="A112" s="170"/>
      <c r="G112" s="140"/>
      <c r="H112" s="154">
        <v>107</v>
      </c>
      <c r="I112" s="155" t="str">
        <f t="shared" si="9"/>
        <v/>
      </c>
      <c r="J112" s="154">
        <f t="shared" si="10"/>
        <v>-5</v>
      </c>
      <c r="K112" s="154">
        <f t="shared" si="7"/>
        <v>-50</v>
      </c>
      <c r="L112" s="154"/>
      <c r="M112" s="156">
        <f t="shared" si="8"/>
        <v>0</v>
      </c>
    </row>
    <row r="113" spans="1:13" x14ac:dyDescent="0.25">
      <c r="A113" s="170"/>
      <c r="G113" s="140"/>
      <c r="H113" s="154">
        <v>108</v>
      </c>
      <c r="I113" s="155" t="str">
        <f t="shared" si="9"/>
        <v/>
      </c>
      <c r="J113" s="154">
        <f t="shared" si="10"/>
        <v>-5</v>
      </c>
      <c r="K113" s="154">
        <f t="shared" si="7"/>
        <v>-50</v>
      </c>
      <c r="L113" s="154"/>
      <c r="M113" s="156">
        <f t="shared" si="8"/>
        <v>0</v>
      </c>
    </row>
    <row r="114" spans="1:13" x14ac:dyDescent="0.25">
      <c r="A114" s="170"/>
      <c r="G114" s="140"/>
      <c r="H114" s="154">
        <v>109</v>
      </c>
      <c r="I114" s="155" t="str">
        <f t="shared" si="9"/>
        <v/>
      </c>
      <c r="J114" s="154">
        <f t="shared" si="10"/>
        <v>-5</v>
      </c>
      <c r="K114" s="154">
        <f t="shared" si="7"/>
        <v>-50</v>
      </c>
      <c r="L114" s="154"/>
      <c r="M114" s="156">
        <f t="shared" si="8"/>
        <v>0</v>
      </c>
    </row>
    <row r="115" spans="1:13" x14ac:dyDescent="0.25">
      <c r="A115" s="170"/>
      <c r="G115" s="140"/>
      <c r="H115" s="154">
        <v>110</v>
      </c>
      <c r="I115" s="155" t="str">
        <f t="shared" si="9"/>
        <v/>
      </c>
      <c r="J115" s="154">
        <f t="shared" si="10"/>
        <v>-5</v>
      </c>
      <c r="K115" s="154">
        <f t="shared" si="7"/>
        <v>-50</v>
      </c>
      <c r="L115" s="154"/>
      <c r="M115" s="156">
        <f t="shared" si="8"/>
        <v>0</v>
      </c>
    </row>
    <row r="116" spans="1:13" x14ac:dyDescent="0.25">
      <c r="A116" s="170"/>
      <c r="G116" s="140"/>
      <c r="H116" s="154">
        <v>111</v>
      </c>
      <c r="I116" s="155" t="str">
        <f t="shared" si="9"/>
        <v/>
      </c>
      <c r="J116" s="154">
        <f t="shared" si="10"/>
        <v>-5</v>
      </c>
      <c r="K116" s="154">
        <f t="shared" si="7"/>
        <v>-50</v>
      </c>
      <c r="L116" s="154"/>
      <c r="M116" s="156">
        <f t="shared" si="8"/>
        <v>0</v>
      </c>
    </row>
    <row r="117" spans="1:13" x14ac:dyDescent="0.25">
      <c r="A117" s="170"/>
      <c r="G117" s="140"/>
      <c r="H117" s="154">
        <v>112</v>
      </c>
      <c r="I117" s="155" t="str">
        <f t="shared" si="9"/>
        <v/>
      </c>
      <c r="J117" s="154">
        <f t="shared" si="10"/>
        <v>-5</v>
      </c>
      <c r="K117" s="154">
        <f t="shared" si="7"/>
        <v>-50</v>
      </c>
      <c r="L117" s="154"/>
      <c r="M117" s="156">
        <f t="shared" si="8"/>
        <v>0</v>
      </c>
    </row>
    <row r="118" spans="1:13" x14ac:dyDescent="0.25">
      <c r="A118" s="170"/>
      <c r="G118" s="140"/>
      <c r="H118" s="154">
        <v>113</v>
      </c>
      <c r="I118" s="155" t="str">
        <f t="shared" si="9"/>
        <v/>
      </c>
      <c r="J118" s="154">
        <f t="shared" si="10"/>
        <v>-5</v>
      </c>
      <c r="K118" s="154">
        <f t="shared" si="7"/>
        <v>-50</v>
      </c>
      <c r="L118" s="154"/>
      <c r="M118" s="156">
        <f t="shared" si="8"/>
        <v>0</v>
      </c>
    </row>
    <row r="119" spans="1:13" x14ac:dyDescent="0.25">
      <c r="A119" s="170"/>
      <c r="G119" s="140"/>
      <c r="H119" s="154">
        <v>114</v>
      </c>
      <c r="I119" s="155" t="str">
        <f t="shared" si="9"/>
        <v/>
      </c>
      <c r="J119" s="154">
        <f t="shared" si="10"/>
        <v>-5</v>
      </c>
      <c r="K119" s="154">
        <f t="shared" si="7"/>
        <v>-50</v>
      </c>
      <c r="L119" s="154"/>
      <c r="M119" s="156">
        <f t="shared" si="8"/>
        <v>0</v>
      </c>
    </row>
    <row r="120" spans="1:13" x14ac:dyDescent="0.25">
      <c r="A120" s="170"/>
      <c r="G120" s="140"/>
      <c r="H120" s="154">
        <v>115</v>
      </c>
      <c r="I120" s="155" t="str">
        <f t="shared" si="9"/>
        <v/>
      </c>
      <c r="J120" s="154">
        <f t="shared" si="10"/>
        <v>-5</v>
      </c>
      <c r="K120" s="154">
        <f t="shared" si="7"/>
        <v>-50</v>
      </c>
      <c r="L120" s="154"/>
      <c r="M120" s="156">
        <f t="shared" si="8"/>
        <v>0</v>
      </c>
    </row>
    <row r="121" spans="1:13" x14ac:dyDescent="0.25">
      <c r="A121" s="170"/>
      <c r="G121" s="140"/>
      <c r="H121" s="154">
        <v>116</v>
      </c>
      <c r="I121" s="155" t="str">
        <f t="shared" si="9"/>
        <v/>
      </c>
      <c r="J121" s="154">
        <f t="shared" si="10"/>
        <v>-5</v>
      </c>
      <c r="K121" s="154">
        <f t="shared" si="7"/>
        <v>-50</v>
      </c>
      <c r="L121" s="154"/>
      <c r="M121" s="156">
        <f t="shared" si="8"/>
        <v>0</v>
      </c>
    </row>
    <row r="122" spans="1:13" x14ac:dyDescent="0.25">
      <c r="A122" s="170"/>
      <c r="G122" s="140"/>
      <c r="H122" s="154">
        <v>117</v>
      </c>
      <c r="I122" s="155" t="str">
        <f t="shared" si="9"/>
        <v/>
      </c>
      <c r="J122" s="154">
        <f t="shared" si="10"/>
        <v>-5</v>
      </c>
      <c r="K122" s="154">
        <f t="shared" si="7"/>
        <v>-50</v>
      </c>
      <c r="L122" s="154"/>
      <c r="M122" s="156">
        <f t="shared" si="8"/>
        <v>0</v>
      </c>
    </row>
    <row r="123" spans="1:13" x14ac:dyDescent="0.25">
      <c r="A123" s="170"/>
      <c r="G123" s="140"/>
      <c r="H123" s="154">
        <v>118</v>
      </c>
      <c r="I123" s="155" t="str">
        <f t="shared" si="9"/>
        <v/>
      </c>
      <c r="J123" s="154">
        <f t="shared" si="10"/>
        <v>-5</v>
      </c>
      <c r="K123" s="154">
        <f t="shared" si="7"/>
        <v>-50</v>
      </c>
      <c r="L123" s="154"/>
      <c r="M123" s="156">
        <f t="shared" si="8"/>
        <v>0</v>
      </c>
    </row>
    <row r="124" spans="1:13" x14ac:dyDescent="0.25">
      <c r="A124" s="170"/>
      <c r="G124" s="140"/>
      <c r="H124" s="154">
        <v>119</v>
      </c>
      <c r="I124" s="155" t="str">
        <f t="shared" si="9"/>
        <v/>
      </c>
      <c r="J124" s="154">
        <f t="shared" si="10"/>
        <v>-5</v>
      </c>
      <c r="K124" s="154">
        <f t="shared" si="7"/>
        <v>-50</v>
      </c>
      <c r="L124" s="154"/>
      <c r="M124" s="156">
        <f t="shared" si="8"/>
        <v>0</v>
      </c>
    </row>
    <row r="125" spans="1:13" x14ac:dyDescent="0.25">
      <c r="A125" s="170"/>
      <c r="G125" s="140"/>
      <c r="H125" s="154">
        <v>120</v>
      </c>
      <c r="I125" s="155" t="str">
        <f t="shared" si="9"/>
        <v/>
      </c>
      <c r="J125" s="154">
        <f t="shared" si="10"/>
        <v>-5</v>
      </c>
      <c r="K125" s="154">
        <f t="shared" si="7"/>
        <v>-50</v>
      </c>
      <c r="L125" s="154"/>
      <c r="M125" s="156">
        <f t="shared" si="8"/>
        <v>0</v>
      </c>
    </row>
    <row r="126" spans="1:13" x14ac:dyDescent="0.25">
      <c r="A126" s="170"/>
      <c r="G126" s="140"/>
      <c r="H126" s="154">
        <v>121</v>
      </c>
      <c r="I126" s="155" t="str">
        <f t="shared" si="9"/>
        <v/>
      </c>
      <c r="J126" s="154">
        <f t="shared" si="10"/>
        <v>-5</v>
      </c>
      <c r="K126" s="154">
        <f t="shared" si="7"/>
        <v>-50</v>
      </c>
      <c r="L126" s="154"/>
      <c r="M126" s="156">
        <f t="shared" si="8"/>
        <v>0</v>
      </c>
    </row>
    <row r="127" spans="1:13" x14ac:dyDescent="0.25">
      <c r="A127" s="170"/>
      <c r="G127" s="140"/>
      <c r="H127" s="154">
        <v>122</v>
      </c>
      <c r="I127" s="155" t="str">
        <f t="shared" si="9"/>
        <v/>
      </c>
      <c r="J127" s="154">
        <f t="shared" si="10"/>
        <v>-5</v>
      </c>
      <c r="K127" s="154">
        <f t="shared" si="7"/>
        <v>-50</v>
      </c>
      <c r="L127" s="154"/>
      <c r="M127" s="156">
        <f t="shared" si="8"/>
        <v>0</v>
      </c>
    </row>
    <row r="128" spans="1:13" x14ac:dyDescent="0.25">
      <c r="A128" s="170"/>
      <c r="G128" s="140"/>
      <c r="H128" s="154">
        <v>123</v>
      </c>
      <c r="I128" s="155" t="str">
        <f t="shared" si="9"/>
        <v/>
      </c>
      <c r="J128" s="154">
        <f t="shared" si="10"/>
        <v>-5</v>
      </c>
      <c r="K128" s="154">
        <f t="shared" si="7"/>
        <v>-50</v>
      </c>
      <c r="L128" s="154"/>
      <c r="M128" s="156">
        <f t="shared" si="8"/>
        <v>0</v>
      </c>
    </row>
    <row r="129" spans="1:13" x14ac:dyDescent="0.25">
      <c r="A129" s="170"/>
      <c r="G129" s="140"/>
      <c r="H129" s="154">
        <v>124</v>
      </c>
      <c r="I129" s="155" t="str">
        <f t="shared" si="9"/>
        <v/>
      </c>
      <c r="J129" s="154">
        <f t="shared" si="10"/>
        <v>-5</v>
      </c>
      <c r="K129" s="154">
        <f t="shared" si="7"/>
        <v>-50</v>
      </c>
      <c r="L129" s="154"/>
      <c r="M129" s="156">
        <f t="shared" si="8"/>
        <v>0</v>
      </c>
    </row>
    <row r="130" spans="1:13" x14ac:dyDescent="0.25">
      <c r="A130" s="170"/>
      <c r="G130" s="140"/>
      <c r="H130" s="154">
        <v>125</v>
      </c>
      <c r="I130" s="155" t="str">
        <f t="shared" si="9"/>
        <v/>
      </c>
      <c r="J130" s="154">
        <f t="shared" si="10"/>
        <v>-5</v>
      </c>
      <c r="K130" s="154">
        <f t="shared" si="7"/>
        <v>-50</v>
      </c>
      <c r="L130" s="154"/>
      <c r="M130" s="156">
        <f t="shared" si="8"/>
        <v>0</v>
      </c>
    </row>
    <row r="131" spans="1:13" x14ac:dyDescent="0.25">
      <c r="A131" s="170"/>
      <c r="G131" s="140"/>
      <c r="H131" s="154">
        <v>126</v>
      </c>
      <c r="I131" s="155" t="str">
        <f t="shared" si="9"/>
        <v/>
      </c>
      <c r="J131" s="154">
        <f t="shared" si="10"/>
        <v>-5</v>
      </c>
      <c r="K131" s="154">
        <f t="shared" si="7"/>
        <v>-50</v>
      </c>
      <c r="L131" s="154"/>
      <c r="M131" s="156">
        <f t="shared" si="8"/>
        <v>0</v>
      </c>
    </row>
    <row r="132" spans="1:13" x14ac:dyDescent="0.25">
      <c r="A132" s="170"/>
      <c r="G132" s="140"/>
      <c r="H132" s="154">
        <v>127</v>
      </c>
      <c r="I132" s="155" t="str">
        <f t="shared" si="9"/>
        <v/>
      </c>
      <c r="J132" s="154">
        <f t="shared" si="10"/>
        <v>-5</v>
      </c>
      <c r="K132" s="154">
        <f t="shared" si="7"/>
        <v>-50</v>
      </c>
      <c r="L132" s="154"/>
      <c r="M132" s="156">
        <f t="shared" si="8"/>
        <v>0</v>
      </c>
    </row>
    <row r="133" spans="1:13" x14ac:dyDescent="0.25">
      <c r="A133" s="170"/>
      <c r="G133" s="140"/>
      <c r="H133" s="154">
        <v>128</v>
      </c>
      <c r="I133" s="155" t="str">
        <f t="shared" si="9"/>
        <v/>
      </c>
      <c r="J133" s="154">
        <f t="shared" si="10"/>
        <v>-5</v>
      </c>
      <c r="K133" s="154">
        <f t="shared" si="7"/>
        <v>-50</v>
      </c>
      <c r="L133" s="154"/>
      <c r="M133" s="156">
        <f t="shared" si="8"/>
        <v>0</v>
      </c>
    </row>
    <row r="134" spans="1:13" x14ac:dyDescent="0.25">
      <c r="A134" s="170"/>
      <c r="G134" s="140"/>
      <c r="H134" s="154">
        <v>129</v>
      </c>
      <c r="I134" s="155" t="str">
        <f t="shared" si="9"/>
        <v/>
      </c>
      <c r="J134" s="154">
        <f t="shared" si="10"/>
        <v>-6</v>
      </c>
      <c r="K134" s="154">
        <f t="shared" ref="K134:K197" si="11">J134*$J$2</f>
        <v>-60</v>
      </c>
      <c r="L134" s="154"/>
      <c r="M134" s="156">
        <f t="shared" ref="M134:M197" si="12">IF(I134&lt;&gt;"",K134+I134+L134,0)</f>
        <v>0</v>
      </c>
    </row>
    <row r="135" spans="1:13" x14ac:dyDescent="0.25">
      <c r="A135" s="170"/>
      <c r="G135" s="140"/>
      <c r="H135" s="154">
        <v>130</v>
      </c>
      <c r="I135" s="155" t="str">
        <f t="shared" ref="I135:I198" si="13">IF(H135&lt;$H$2+1,($I$2-($I$2-1)*(LOG(H135)/LOG($H$2))),"")</f>
        <v/>
      </c>
      <c r="J135" s="154">
        <f t="shared" ref="J135:J198" si="14">INT(LOG($H$2,2))-ROUNDUP(LOG(H135,2),0)+IF(OR($H$2=1,$H$2=2,$H$2=4,$H$2=8,$H$2=16,$H$2=32,$H$2=64,$H$2=128,$H$2=256),0,1)</f>
        <v>-6</v>
      </c>
      <c r="K135" s="154">
        <f t="shared" si="11"/>
        <v>-60</v>
      </c>
      <c r="L135" s="154"/>
      <c r="M135" s="156">
        <f t="shared" si="12"/>
        <v>0</v>
      </c>
    </row>
    <row r="136" spans="1:13" x14ac:dyDescent="0.25">
      <c r="A136" s="170"/>
      <c r="G136" s="140"/>
      <c r="H136" s="154">
        <v>131</v>
      </c>
      <c r="I136" s="155" t="str">
        <f t="shared" si="13"/>
        <v/>
      </c>
      <c r="J136" s="154">
        <f t="shared" si="14"/>
        <v>-6</v>
      </c>
      <c r="K136" s="154">
        <f t="shared" si="11"/>
        <v>-60</v>
      </c>
      <c r="L136" s="154"/>
      <c r="M136" s="156">
        <f t="shared" si="12"/>
        <v>0</v>
      </c>
    </row>
    <row r="137" spans="1:13" x14ac:dyDescent="0.25">
      <c r="A137" s="170"/>
      <c r="G137" s="140"/>
      <c r="H137" s="154">
        <v>132</v>
      </c>
      <c r="I137" s="155" t="str">
        <f t="shared" si="13"/>
        <v/>
      </c>
      <c r="J137" s="154">
        <f t="shared" si="14"/>
        <v>-6</v>
      </c>
      <c r="K137" s="154">
        <f t="shared" si="11"/>
        <v>-60</v>
      </c>
      <c r="L137" s="154"/>
      <c r="M137" s="156">
        <f t="shared" si="12"/>
        <v>0</v>
      </c>
    </row>
    <row r="138" spans="1:13" x14ac:dyDescent="0.25">
      <c r="A138" s="170"/>
      <c r="G138" s="140"/>
      <c r="H138" s="154">
        <v>133</v>
      </c>
      <c r="I138" s="155" t="str">
        <f t="shared" si="13"/>
        <v/>
      </c>
      <c r="J138" s="154">
        <f t="shared" si="14"/>
        <v>-6</v>
      </c>
      <c r="K138" s="154">
        <f t="shared" si="11"/>
        <v>-60</v>
      </c>
      <c r="L138" s="154"/>
      <c r="M138" s="156">
        <f t="shared" si="12"/>
        <v>0</v>
      </c>
    </row>
    <row r="139" spans="1:13" x14ac:dyDescent="0.25">
      <c r="A139" s="170"/>
      <c r="G139" s="140"/>
      <c r="H139" s="154">
        <v>134</v>
      </c>
      <c r="I139" s="155" t="str">
        <f t="shared" si="13"/>
        <v/>
      </c>
      <c r="J139" s="154">
        <f t="shared" si="14"/>
        <v>-6</v>
      </c>
      <c r="K139" s="154">
        <f t="shared" si="11"/>
        <v>-60</v>
      </c>
      <c r="L139" s="154"/>
      <c r="M139" s="156">
        <f t="shared" si="12"/>
        <v>0</v>
      </c>
    </row>
    <row r="140" spans="1:13" x14ac:dyDescent="0.25">
      <c r="A140" s="170"/>
      <c r="G140" s="140"/>
      <c r="H140" s="154">
        <v>135</v>
      </c>
      <c r="I140" s="155" t="str">
        <f t="shared" si="13"/>
        <v/>
      </c>
      <c r="J140" s="154">
        <f t="shared" si="14"/>
        <v>-6</v>
      </c>
      <c r="K140" s="154">
        <f t="shared" si="11"/>
        <v>-60</v>
      </c>
      <c r="L140" s="154"/>
      <c r="M140" s="156">
        <f t="shared" si="12"/>
        <v>0</v>
      </c>
    </row>
    <row r="141" spans="1:13" x14ac:dyDescent="0.25">
      <c r="A141" s="170"/>
      <c r="G141" s="140"/>
      <c r="H141" s="154">
        <v>136</v>
      </c>
      <c r="I141" s="155" t="str">
        <f t="shared" si="13"/>
        <v/>
      </c>
      <c r="J141" s="154">
        <f t="shared" si="14"/>
        <v>-6</v>
      </c>
      <c r="K141" s="154">
        <f t="shared" si="11"/>
        <v>-60</v>
      </c>
      <c r="L141" s="154"/>
      <c r="M141" s="156">
        <f t="shared" si="12"/>
        <v>0</v>
      </c>
    </row>
    <row r="142" spans="1:13" x14ac:dyDescent="0.25">
      <c r="A142" s="170"/>
      <c r="G142" s="140"/>
      <c r="H142" s="154">
        <v>137</v>
      </c>
      <c r="I142" s="155" t="str">
        <f t="shared" si="13"/>
        <v/>
      </c>
      <c r="J142" s="154">
        <f t="shared" si="14"/>
        <v>-6</v>
      </c>
      <c r="K142" s="154">
        <f t="shared" si="11"/>
        <v>-60</v>
      </c>
      <c r="L142" s="154"/>
      <c r="M142" s="156">
        <f t="shared" si="12"/>
        <v>0</v>
      </c>
    </row>
    <row r="143" spans="1:13" x14ac:dyDescent="0.25">
      <c r="A143" s="170"/>
      <c r="G143" s="140"/>
      <c r="H143" s="154">
        <v>138</v>
      </c>
      <c r="I143" s="155" t="str">
        <f t="shared" si="13"/>
        <v/>
      </c>
      <c r="J143" s="154">
        <f t="shared" si="14"/>
        <v>-6</v>
      </c>
      <c r="K143" s="154">
        <f t="shared" si="11"/>
        <v>-60</v>
      </c>
      <c r="L143" s="154"/>
      <c r="M143" s="156">
        <f t="shared" si="12"/>
        <v>0</v>
      </c>
    </row>
    <row r="144" spans="1:13" x14ac:dyDescent="0.25">
      <c r="A144" s="170"/>
      <c r="G144" s="140"/>
      <c r="H144" s="154">
        <v>139</v>
      </c>
      <c r="I144" s="155" t="str">
        <f t="shared" si="13"/>
        <v/>
      </c>
      <c r="J144" s="154">
        <f t="shared" si="14"/>
        <v>-6</v>
      </c>
      <c r="K144" s="154">
        <f t="shared" si="11"/>
        <v>-60</v>
      </c>
      <c r="L144" s="154"/>
      <c r="M144" s="156">
        <f t="shared" si="12"/>
        <v>0</v>
      </c>
    </row>
    <row r="145" spans="1:13" x14ac:dyDescent="0.25">
      <c r="A145" s="170"/>
      <c r="G145" s="140"/>
      <c r="H145" s="154">
        <v>140</v>
      </c>
      <c r="I145" s="155" t="str">
        <f t="shared" si="13"/>
        <v/>
      </c>
      <c r="J145" s="154">
        <f t="shared" si="14"/>
        <v>-6</v>
      </c>
      <c r="K145" s="154">
        <f t="shared" si="11"/>
        <v>-60</v>
      </c>
      <c r="L145" s="154"/>
      <c r="M145" s="156">
        <f t="shared" si="12"/>
        <v>0</v>
      </c>
    </row>
    <row r="146" spans="1:13" x14ac:dyDescent="0.25">
      <c r="A146" s="170"/>
      <c r="G146" s="140"/>
      <c r="H146" s="154">
        <v>141</v>
      </c>
      <c r="I146" s="155" t="str">
        <f t="shared" si="13"/>
        <v/>
      </c>
      <c r="J146" s="154">
        <f t="shared" si="14"/>
        <v>-6</v>
      </c>
      <c r="K146" s="154">
        <f t="shared" si="11"/>
        <v>-60</v>
      </c>
      <c r="L146" s="154"/>
      <c r="M146" s="156">
        <f t="shared" si="12"/>
        <v>0</v>
      </c>
    </row>
    <row r="147" spans="1:13" x14ac:dyDescent="0.25">
      <c r="A147" s="170"/>
      <c r="G147" s="140"/>
      <c r="H147" s="154">
        <v>142</v>
      </c>
      <c r="I147" s="155" t="str">
        <f t="shared" si="13"/>
        <v/>
      </c>
      <c r="J147" s="154">
        <f t="shared" si="14"/>
        <v>-6</v>
      </c>
      <c r="K147" s="154">
        <f t="shared" si="11"/>
        <v>-60</v>
      </c>
      <c r="L147" s="154"/>
      <c r="M147" s="156">
        <f t="shared" si="12"/>
        <v>0</v>
      </c>
    </row>
    <row r="148" spans="1:13" x14ac:dyDescent="0.25">
      <c r="A148" s="170"/>
      <c r="G148" s="140"/>
      <c r="H148" s="154">
        <v>143</v>
      </c>
      <c r="I148" s="155" t="str">
        <f t="shared" si="13"/>
        <v/>
      </c>
      <c r="J148" s="154">
        <f t="shared" si="14"/>
        <v>-6</v>
      </c>
      <c r="K148" s="154">
        <f t="shared" si="11"/>
        <v>-60</v>
      </c>
      <c r="L148" s="154"/>
      <c r="M148" s="156">
        <f t="shared" si="12"/>
        <v>0</v>
      </c>
    </row>
    <row r="149" spans="1:13" x14ac:dyDescent="0.25">
      <c r="A149" s="170"/>
      <c r="G149" s="140"/>
      <c r="H149" s="154">
        <v>144</v>
      </c>
      <c r="I149" s="155" t="str">
        <f t="shared" si="13"/>
        <v/>
      </c>
      <c r="J149" s="154">
        <f t="shared" si="14"/>
        <v>-6</v>
      </c>
      <c r="K149" s="154">
        <f t="shared" si="11"/>
        <v>-60</v>
      </c>
      <c r="L149" s="154"/>
      <c r="M149" s="156">
        <f t="shared" si="12"/>
        <v>0</v>
      </c>
    </row>
    <row r="150" spans="1:13" x14ac:dyDescent="0.25">
      <c r="A150" s="170"/>
      <c r="G150" s="140"/>
      <c r="H150" s="154">
        <v>145</v>
      </c>
      <c r="I150" s="155" t="str">
        <f t="shared" si="13"/>
        <v/>
      </c>
      <c r="J150" s="154">
        <f t="shared" si="14"/>
        <v>-6</v>
      </c>
      <c r="K150" s="154">
        <f t="shared" si="11"/>
        <v>-60</v>
      </c>
      <c r="L150" s="154"/>
      <c r="M150" s="156">
        <f t="shared" si="12"/>
        <v>0</v>
      </c>
    </row>
    <row r="151" spans="1:13" x14ac:dyDescent="0.25">
      <c r="A151" s="170"/>
      <c r="G151" s="140"/>
      <c r="H151" s="154">
        <v>146</v>
      </c>
      <c r="I151" s="155" t="str">
        <f t="shared" si="13"/>
        <v/>
      </c>
      <c r="J151" s="154">
        <f t="shared" si="14"/>
        <v>-6</v>
      </c>
      <c r="K151" s="154">
        <f t="shared" si="11"/>
        <v>-60</v>
      </c>
      <c r="L151" s="154"/>
      <c r="M151" s="156">
        <f t="shared" si="12"/>
        <v>0</v>
      </c>
    </row>
    <row r="152" spans="1:13" x14ac:dyDescent="0.25">
      <c r="A152" s="170"/>
      <c r="G152" s="140"/>
      <c r="H152" s="154">
        <v>147</v>
      </c>
      <c r="I152" s="155" t="str">
        <f t="shared" si="13"/>
        <v/>
      </c>
      <c r="J152" s="154">
        <f t="shared" si="14"/>
        <v>-6</v>
      </c>
      <c r="K152" s="154">
        <f t="shared" si="11"/>
        <v>-60</v>
      </c>
      <c r="L152" s="154"/>
      <c r="M152" s="156">
        <f t="shared" si="12"/>
        <v>0</v>
      </c>
    </row>
    <row r="153" spans="1:13" x14ac:dyDescent="0.25">
      <c r="A153" s="170"/>
      <c r="G153" s="140"/>
      <c r="H153" s="154">
        <v>148</v>
      </c>
      <c r="I153" s="155" t="str">
        <f t="shared" si="13"/>
        <v/>
      </c>
      <c r="J153" s="154">
        <f t="shared" si="14"/>
        <v>-6</v>
      </c>
      <c r="K153" s="154">
        <f t="shared" si="11"/>
        <v>-60</v>
      </c>
      <c r="L153" s="154"/>
      <c r="M153" s="156">
        <f t="shared" si="12"/>
        <v>0</v>
      </c>
    </row>
    <row r="154" spans="1:13" x14ac:dyDescent="0.25">
      <c r="A154" s="170"/>
      <c r="G154" s="140"/>
      <c r="H154" s="154">
        <v>149</v>
      </c>
      <c r="I154" s="155" t="str">
        <f t="shared" si="13"/>
        <v/>
      </c>
      <c r="J154" s="154">
        <f t="shared" si="14"/>
        <v>-6</v>
      </c>
      <c r="K154" s="154">
        <f t="shared" si="11"/>
        <v>-60</v>
      </c>
      <c r="L154" s="154"/>
      <c r="M154" s="156">
        <f t="shared" si="12"/>
        <v>0</v>
      </c>
    </row>
    <row r="155" spans="1:13" x14ac:dyDescent="0.25">
      <c r="A155" s="170"/>
      <c r="G155" s="140"/>
      <c r="H155" s="154">
        <v>150</v>
      </c>
      <c r="I155" s="155" t="str">
        <f t="shared" si="13"/>
        <v/>
      </c>
      <c r="J155" s="154">
        <f t="shared" si="14"/>
        <v>-6</v>
      </c>
      <c r="K155" s="154">
        <f t="shared" si="11"/>
        <v>-60</v>
      </c>
      <c r="L155" s="154"/>
      <c r="M155" s="156">
        <f t="shared" si="12"/>
        <v>0</v>
      </c>
    </row>
    <row r="156" spans="1:13" x14ac:dyDescent="0.25">
      <c r="A156" s="170"/>
      <c r="G156" s="140"/>
      <c r="H156" s="154">
        <v>151</v>
      </c>
      <c r="I156" s="155" t="str">
        <f t="shared" si="13"/>
        <v/>
      </c>
      <c r="J156" s="154">
        <f t="shared" si="14"/>
        <v>-6</v>
      </c>
      <c r="K156" s="154">
        <f t="shared" si="11"/>
        <v>-60</v>
      </c>
      <c r="L156" s="154"/>
      <c r="M156" s="156">
        <f t="shared" si="12"/>
        <v>0</v>
      </c>
    </row>
    <row r="157" spans="1:13" x14ac:dyDescent="0.25">
      <c r="A157" s="170"/>
      <c r="G157" s="140"/>
      <c r="H157" s="154">
        <v>152</v>
      </c>
      <c r="I157" s="155" t="str">
        <f t="shared" si="13"/>
        <v/>
      </c>
      <c r="J157" s="154">
        <f t="shared" si="14"/>
        <v>-6</v>
      </c>
      <c r="K157" s="154">
        <f t="shared" si="11"/>
        <v>-60</v>
      </c>
      <c r="L157" s="154"/>
      <c r="M157" s="156">
        <f t="shared" si="12"/>
        <v>0</v>
      </c>
    </row>
    <row r="158" spans="1:13" x14ac:dyDescent="0.25">
      <c r="A158" s="170"/>
      <c r="G158" s="140"/>
      <c r="H158" s="154">
        <v>153</v>
      </c>
      <c r="I158" s="155" t="str">
        <f t="shared" si="13"/>
        <v/>
      </c>
      <c r="J158" s="154">
        <f t="shared" si="14"/>
        <v>-6</v>
      </c>
      <c r="K158" s="154">
        <f t="shared" si="11"/>
        <v>-60</v>
      </c>
      <c r="L158" s="154"/>
      <c r="M158" s="156">
        <f t="shared" si="12"/>
        <v>0</v>
      </c>
    </row>
    <row r="159" spans="1:13" x14ac:dyDescent="0.25">
      <c r="A159" s="170"/>
      <c r="G159" s="140"/>
      <c r="H159" s="154">
        <v>154</v>
      </c>
      <c r="I159" s="155" t="str">
        <f t="shared" si="13"/>
        <v/>
      </c>
      <c r="J159" s="154">
        <f t="shared" si="14"/>
        <v>-6</v>
      </c>
      <c r="K159" s="154">
        <f t="shared" si="11"/>
        <v>-60</v>
      </c>
      <c r="L159" s="154"/>
      <c r="M159" s="156">
        <f t="shared" si="12"/>
        <v>0</v>
      </c>
    </row>
    <row r="160" spans="1:13" x14ac:dyDescent="0.25">
      <c r="A160" s="170"/>
      <c r="G160" s="140"/>
      <c r="H160" s="154">
        <v>155</v>
      </c>
      <c r="I160" s="155" t="str">
        <f t="shared" si="13"/>
        <v/>
      </c>
      <c r="J160" s="154">
        <f t="shared" si="14"/>
        <v>-6</v>
      </c>
      <c r="K160" s="154">
        <f t="shared" si="11"/>
        <v>-60</v>
      </c>
      <c r="L160" s="154"/>
      <c r="M160" s="156">
        <f t="shared" si="12"/>
        <v>0</v>
      </c>
    </row>
    <row r="161" spans="1:13" x14ac:dyDescent="0.25">
      <c r="A161" s="170"/>
      <c r="G161" s="140"/>
      <c r="H161" s="154">
        <v>156</v>
      </c>
      <c r="I161" s="155" t="str">
        <f t="shared" si="13"/>
        <v/>
      </c>
      <c r="J161" s="154">
        <f t="shared" si="14"/>
        <v>-6</v>
      </c>
      <c r="K161" s="154">
        <f t="shared" si="11"/>
        <v>-60</v>
      </c>
      <c r="L161" s="154"/>
      <c r="M161" s="156">
        <f t="shared" si="12"/>
        <v>0</v>
      </c>
    </row>
    <row r="162" spans="1:13" x14ac:dyDescent="0.25">
      <c r="A162" s="170"/>
      <c r="G162" s="140"/>
      <c r="H162" s="154">
        <v>157</v>
      </c>
      <c r="I162" s="155" t="str">
        <f t="shared" si="13"/>
        <v/>
      </c>
      <c r="J162" s="154">
        <f t="shared" si="14"/>
        <v>-6</v>
      </c>
      <c r="K162" s="154">
        <f t="shared" si="11"/>
        <v>-60</v>
      </c>
      <c r="L162" s="154"/>
      <c r="M162" s="156">
        <f t="shared" si="12"/>
        <v>0</v>
      </c>
    </row>
    <row r="163" spans="1:13" x14ac:dyDescent="0.25">
      <c r="A163" s="170"/>
      <c r="G163" s="140"/>
      <c r="H163" s="154">
        <v>158</v>
      </c>
      <c r="I163" s="155" t="str">
        <f t="shared" si="13"/>
        <v/>
      </c>
      <c r="J163" s="154">
        <f t="shared" si="14"/>
        <v>-6</v>
      </c>
      <c r="K163" s="154">
        <f t="shared" si="11"/>
        <v>-60</v>
      </c>
      <c r="L163" s="154"/>
      <c r="M163" s="156">
        <f t="shared" si="12"/>
        <v>0</v>
      </c>
    </row>
    <row r="164" spans="1:13" x14ac:dyDescent="0.25">
      <c r="A164" s="170"/>
      <c r="G164" s="140"/>
      <c r="H164" s="154">
        <v>159</v>
      </c>
      <c r="I164" s="155" t="str">
        <f t="shared" si="13"/>
        <v/>
      </c>
      <c r="J164" s="154">
        <f t="shared" si="14"/>
        <v>-6</v>
      </c>
      <c r="K164" s="154">
        <f t="shared" si="11"/>
        <v>-60</v>
      </c>
      <c r="L164" s="154"/>
      <c r="M164" s="156">
        <f t="shared" si="12"/>
        <v>0</v>
      </c>
    </row>
    <row r="165" spans="1:13" x14ac:dyDescent="0.25">
      <c r="A165" s="170"/>
      <c r="G165" s="140"/>
      <c r="H165" s="154">
        <v>160</v>
      </c>
      <c r="I165" s="155" t="str">
        <f t="shared" si="13"/>
        <v/>
      </c>
      <c r="J165" s="154">
        <f t="shared" si="14"/>
        <v>-6</v>
      </c>
      <c r="K165" s="154">
        <f t="shared" si="11"/>
        <v>-60</v>
      </c>
      <c r="L165" s="154"/>
      <c r="M165" s="156">
        <f t="shared" si="12"/>
        <v>0</v>
      </c>
    </row>
    <row r="166" spans="1:13" x14ac:dyDescent="0.25">
      <c r="A166" s="170"/>
      <c r="G166" s="140"/>
      <c r="H166" s="154">
        <v>161</v>
      </c>
      <c r="I166" s="155" t="str">
        <f t="shared" si="13"/>
        <v/>
      </c>
      <c r="J166" s="154">
        <f t="shared" si="14"/>
        <v>-6</v>
      </c>
      <c r="K166" s="154">
        <f t="shared" si="11"/>
        <v>-60</v>
      </c>
      <c r="L166" s="154"/>
      <c r="M166" s="156">
        <f t="shared" si="12"/>
        <v>0</v>
      </c>
    </row>
    <row r="167" spans="1:13" x14ac:dyDescent="0.25">
      <c r="A167" s="170"/>
      <c r="G167" s="140"/>
      <c r="H167" s="154">
        <v>162</v>
      </c>
      <c r="I167" s="155" t="str">
        <f t="shared" si="13"/>
        <v/>
      </c>
      <c r="J167" s="154">
        <f t="shared" si="14"/>
        <v>-6</v>
      </c>
      <c r="K167" s="154">
        <f t="shared" si="11"/>
        <v>-60</v>
      </c>
      <c r="L167" s="154"/>
      <c r="M167" s="156">
        <f t="shared" si="12"/>
        <v>0</v>
      </c>
    </row>
    <row r="168" spans="1:13" x14ac:dyDescent="0.25">
      <c r="A168" s="170"/>
      <c r="G168" s="140"/>
      <c r="H168" s="154">
        <v>163</v>
      </c>
      <c r="I168" s="155" t="str">
        <f t="shared" si="13"/>
        <v/>
      </c>
      <c r="J168" s="154">
        <f t="shared" si="14"/>
        <v>-6</v>
      </c>
      <c r="K168" s="154">
        <f t="shared" si="11"/>
        <v>-60</v>
      </c>
      <c r="L168" s="154"/>
      <c r="M168" s="156">
        <f t="shared" si="12"/>
        <v>0</v>
      </c>
    </row>
    <row r="169" spans="1:13" x14ac:dyDescent="0.25">
      <c r="A169" s="170"/>
      <c r="G169" s="140"/>
      <c r="H169" s="154">
        <v>164</v>
      </c>
      <c r="I169" s="155" t="str">
        <f t="shared" si="13"/>
        <v/>
      </c>
      <c r="J169" s="154">
        <f t="shared" si="14"/>
        <v>-6</v>
      </c>
      <c r="K169" s="154">
        <f t="shared" si="11"/>
        <v>-60</v>
      </c>
      <c r="L169" s="154"/>
      <c r="M169" s="156">
        <f t="shared" si="12"/>
        <v>0</v>
      </c>
    </row>
    <row r="170" spans="1:13" x14ac:dyDescent="0.25">
      <c r="A170" s="170"/>
      <c r="G170" s="140"/>
      <c r="H170" s="154">
        <v>165</v>
      </c>
      <c r="I170" s="155" t="str">
        <f t="shared" si="13"/>
        <v/>
      </c>
      <c r="J170" s="154">
        <f t="shared" si="14"/>
        <v>-6</v>
      </c>
      <c r="K170" s="154">
        <f t="shared" si="11"/>
        <v>-60</v>
      </c>
      <c r="L170" s="154"/>
      <c r="M170" s="156">
        <f t="shared" si="12"/>
        <v>0</v>
      </c>
    </row>
    <row r="171" spans="1:13" x14ac:dyDescent="0.25">
      <c r="A171" s="170"/>
      <c r="G171" s="140"/>
      <c r="H171" s="154">
        <v>166</v>
      </c>
      <c r="I171" s="155" t="str">
        <f t="shared" si="13"/>
        <v/>
      </c>
      <c r="J171" s="154">
        <f t="shared" si="14"/>
        <v>-6</v>
      </c>
      <c r="K171" s="154">
        <f t="shared" si="11"/>
        <v>-60</v>
      </c>
      <c r="L171" s="154"/>
      <c r="M171" s="156">
        <f t="shared" si="12"/>
        <v>0</v>
      </c>
    </row>
    <row r="172" spans="1:13" x14ac:dyDescent="0.25">
      <c r="A172" s="170"/>
      <c r="G172" s="140"/>
      <c r="H172" s="154">
        <v>167</v>
      </c>
      <c r="I172" s="155" t="str">
        <f t="shared" si="13"/>
        <v/>
      </c>
      <c r="J172" s="154">
        <f t="shared" si="14"/>
        <v>-6</v>
      </c>
      <c r="K172" s="154">
        <f t="shared" si="11"/>
        <v>-60</v>
      </c>
      <c r="L172" s="154"/>
      <c r="M172" s="156">
        <f t="shared" si="12"/>
        <v>0</v>
      </c>
    </row>
    <row r="173" spans="1:13" x14ac:dyDescent="0.25">
      <c r="A173" s="170"/>
      <c r="G173" s="140"/>
      <c r="H173" s="154">
        <v>168</v>
      </c>
      <c r="I173" s="155" t="str">
        <f t="shared" si="13"/>
        <v/>
      </c>
      <c r="J173" s="154">
        <f t="shared" si="14"/>
        <v>-6</v>
      </c>
      <c r="K173" s="154">
        <f t="shared" si="11"/>
        <v>-60</v>
      </c>
      <c r="L173" s="154"/>
      <c r="M173" s="156">
        <f t="shared" si="12"/>
        <v>0</v>
      </c>
    </row>
    <row r="174" spans="1:13" x14ac:dyDescent="0.25">
      <c r="A174" s="170"/>
      <c r="G174" s="140"/>
      <c r="H174" s="154">
        <v>169</v>
      </c>
      <c r="I174" s="155" t="str">
        <f t="shared" si="13"/>
        <v/>
      </c>
      <c r="J174" s="154">
        <f t="shared" si="14"/>
        <v>-6</v>
      </c>
      <c r="K174" s="154">
        <f t="shared" si="11"/>
        <v>-60</v>
      </c>
      <c r="L174" s="154"/>
      <c r="M174" s="156">
        <f t="shared" si="12"/>
        <v>0</v>
      </c>
    </row>
    <row r="175" spans="1:13" x14ac:dyDescent="0.25">
      <c r="A175" s="170"/>
      <c r="G175" s="140"/>
      <c r="H175" s="154">
        <v>170</v>
      </c>
      <c r="I175" s="155" t="str">
        <f t="shared" si="13"/>
        <v/>
      </c>
      <c r="J175" s="154">
        <f t="shared" si="14"/>
        <v>-6</v>
      </c>
      <c r="K175" s="154">
        <f t="shared" si="11"/>
        <v>-60</v>
      </c>
      <c r="L175" s="154"/>
      <c r="M175" s="156">
        <f t="shared" si="12"/>
        <v>0</v>
      </c>
    </row>
    <row r="176" spans="1:13" x14ac:dyDescent="0.25">
      <c r="A176" s="170"/>
      <c r="G176" s="140"/>
      <c r="H176" s="154">
        <v>171</v>
      </c>
      <c r="I176" s="155" t="str">
        <f t="shared" si="13"/>
        <v/>
      </c>
      <c r="J176" s="154">
        <f t="shared" si="14"/>
        <v>-6</v>
      </c>
      <c r="K176" s="154">
        <f t="shared" si="11"/>
        <v>-60</v>
      </c>
      <c r="L176" s="154"/>
      <c r="M176" s="156">
        <f t="shared" si="12"/>
        <v>0</v>
      </c>
    </row>
    <row r="177" spans="1:13" x14ac:dyDescent="0.25">
      <c r="A177" s="170"/>
      <c r="G177" s="140"/>
      <c r="H177" s="154">
        <v>172</v>
      </c>
      <c r="I177" s="155" t="str">
        <f t="shared" si="13"/>
        <v/>
      </c>
      <c r="J177" s="154">
        <f t="shared" si="14"/>
        <v>-6</v>
      </c>
      <c r="K177" s="154">
        <f t="shared" si="11"/>
        <v>-60</v>
      </c>
      <c r="L177" s="154"/>
      <c r="M177" s="156">
        <f t="shared" si="12"/>
        <v>0</v>
      </c>
    </row>
    <row r="178" spans="1:13" x14ac:dyDescent="0.25">
      <c r="A178" s="170"/>
      <c r="G178" s="140"/>
      <c r="H178" s="154">
        <v>173</v>
      </c>
      <c r="I178" s="155" t="str">
        <f t="shared" si="13"/>
        <v/>
      </c>
      <c r="J178" s="154">
        <f t="shared" si="14"/>
        <v>-6</v>
      </c>
      <c r="K178" s="154">
        <f t="shared" si="11"/>
        <v>-60</v>
      </c>
      <c r="L178" s="154"/>
      <c r="M178" s="156">
        <f t="shared" si="12"/>
        <v>0</v>
      </c>
    </row>
    <row r="179" spans="1:13" x14ac:dyDescent="0.25">
      <c r="A179" s="170"/>
      <c r="G179" s="140"/>
      <c r="H179" s="154">
        <v>174</v>
      </c>
      <c r="I179" s="155" t="str">
        <f t="shared" si="13"/>
        <v/>
      </c>
      <c r="J179" s="154">
        <f t="shared" si="14"/>
        <v>-6</v>
      </c>
      <c r="K179" s="154">
        <f t="shared" si="11"/>
        <v>-60</v>
      </c>
      <c r="L179" s="154"/>
      <c r="M179" s="156">
        <f t="shared" si="12"/>
        <v>0</v>
      </c>
    </row>
    <row r="180" spans="1:13" x14ac:dyDescent="0.25">
      <c r="A180" s="170"/>
      <c r="G180" s="140"/>
      <c r="H180" s="154">
        <v>175</v>
      </c>
      <c r="I180" s="155" t="str">
        <f t="shared" si="13"/>
        <v/>
      </c>
      <c r="J180" s="154">
        <f t="shared" si="14"/>
        <v>-6</v>
      </c>
      <c r="K180" s="154">
        <f t="shared" si="11"/>
        <v>-60</v>
      </c>
      <c r="L180" s="154"/>
      <c r="M180" s="156">
        <f t="shared" si="12"/>
        <v>0</v>
      </c>
    </row>
    <row r="181" spans="1:13" x14ac:dyDescent="0.25">
      <c r="A181" s="170"/>
      <c r="G181" s="140"/>
      <c r="H181" s="154">
        <v>176</v>
      </c>
      <c r="I181" s="155" t="str">
        <f t="shared" si="13"/>
        <v/>
      </c>
      <c r="J181" s="154">
        <f t="shared" si="14"/>
        <v>-6</v>
      </c>
      <c r="K181" s="154">
        <f t="shared" si="11"/>
        <v>-60</v>
      </c>
      <c r="L181" s="154"/>
      <c r="M181" s="156">
        <f t="shared" si="12"/>
        <v>0</v>
      </c>
    </row>
    <row r="182" spans="1:13" x14ac:dyDescent="0.25">
      <c r="A182" s="170"/>
      <c r="G182" s="140"/>
      <c r="H182" s="154">
        <v>177</v>
      </c>
      <c r="I182" s="155" t="str">
        <f t="shared" si="13"/>
        <v/>
      </c>
      <c r="J182" s="154">
        <f t="shared" si="14"/>
        <v>-6</v>
      </c>
      <c r="K182" s="154">
        <f t="shared" si="11"/>
        <v>-60</v>
      </c>
      <c r="L182" s="154"/>
      <c r="M182" s="156">
        <f t="shared" si="12"/>
        <v>0</v>
      </c>
    </row>
    <row r="183" spans="1:13" x14ac:dyDescent="0.25">
      <c r="A183" s="170"/>
      <c r="G183" s="140"/>
      <c r="H183" s="154">
        <v>178</v>
      </c>
      <c r="I183" s="155" t="str">
        <f t="shared" si="13"/>
        <v/>
      </c>
      <c r="J183" s="154">
        <f t="shared" si="14"/>
        <v>-6</v>
      </c>
      <c r="K183" s="154">
        <f t="shared" si="11"/>
        <v>-60</v>
      </c>
      <c r="L183" s="154"/>
      <c r="M183" s="156">
        <f t="shared" si="12"/>
        <v>0</v>
      </c>
    </row>
    <row r="184" spans="1:13" x14ac:dyDescent="0.25">
      <c r="A184" s="170"/>
      <c r="G184" s="140"/>
      <c r="H184" s="154">
        <v>179</v>
      </c>
      <c r="I184" s="155" t="str">
        <f t="shared" si="13"/>
        <v/>
      </c>
      <c r="J184" s="154">
        <f t="shared" si="14"/>
        <v>-6</v>
      </c>
      <c r="K184" s="154">
        <f t="shared" si="11"/>
        <v>-60</v>
      </c>
      <c r="L184" s="154"/>
      <c r="M184" s="156">
        <f t="shared" si="12"/>
        <v>0</v>
      </c>
    </row>
    <row r="185" spans="1:13" x14ac:dyDescent="0.25">
      <c r="A185" s="170"/>
      <c r="G185" s="140"/>
      <c r="H185" s="154">
        <v>180</v>
      </c>
      <c r="I185" s="155" t="str">
        <f t="shared" si="13"/>
        <v/>
      </c>
      <c r="J185" s="154">
        <f t="shared" si="14"/>
        <v>-6</v>
      </c>
      <c r="K185" s="154">
        <f t="shared" si="11"/>
        <v>-60</v>
      </c>
      <c r="L185" s="154"/>
      <c r="M185" s="156">
        <f t="shared" si="12"/>
        <v>0</v>
      </c>
    </row>
    <row r="186" spans="1:13" x14ac:dyDescent="0.25">
      <c r="A186" s="170"/>
      <c r="G186" s="140"/>
      <c r="H186" s="154">
        <v>181</v>
      </c>
      <c r="I186" s="155" t="str">
        <f t="shared" si="13"/>
        <v/>
      </c>
      <c r="J186" s="154">
        <f t="shared" si="14"/>
        <v>-6</v>
      </c>
      <c r="K186" s="154">
        <f t="shared" si="11"/>
        <v>-60</v>
      </c>
      <c r="L186" s="154"/>
      <c r="M186" s="156">
        <f t="shared" si="12"/>
        <v>0</v>
      </c>
    </row>
    <row r="187" spans="1:13" x14ac:dyDescent="0.25">
      <c r="A187" s="170"/>
      <c r="G187" s="140"/>
      <c r="H187" s="154">
        <v>182</v>
      </c>
      <c r="I187" s="155" t="str">
        <f t="shared" si="13"/>
        <v/>
      </c>
      <c r="J187" s="154">
        <f t="shared" si="14"/>
        <v>-6</v>
      </c>
      <c r="K187" s="154">
        <f t="shared" si="11"/>
        <v>-60</v>
      </c>
      <c r="L187" s="154"/>
      <c r="M187" s="156">
        <f t="shared" si="12"/>
        <v>0</v>
      </c>
    </row>
    <row r="188" spans="1:13" x14ac:dyDescent="0.25">
      <c r="A188" s="170"/>
      <c r="G188" s="140"/>
      <c r="H188" s="154">
        <v>183</v>
      </c>
      <c r="I188" s="155" t="str">
        <f t="shared" si="13"/>
        <v/>
      </c>
      <c r="J188" s="154">
        <f t="shared" si="14"/>
        <v>-6</v>
      </c>
      <c r="K188" s="154">
        <f t="shared" si="11"/>
        <v>-60</v>
      </c>
      <c r="L188" s="154"/>
      <c r="M188" s="156">
        <f t="shared" si="12"/>
        <v>0</v>
      </c>
    </row>
    <row r="189" spans="1:13" x14ac:dyDescent="0.25">
      <c r="A189" s="170"/>
      <c r="G189" s="140"/>
      <c r="H189" s="154">
        <v>184</v>
      </c>
      <c r="I189" s="155" t="str">
        <f t="shared" si="13"/>
        <v/>
      </c>
      <c r="J189" s="154">
        <f t="shared" si="14"/>
        <v>-6</v>
      </c>
      <c r="K189" s="154">
        <f t="shared" si="11"/>
        <v>-60</v>
      </c>
      <c r="L189" s="154"/>
      <c r="M189" s="156">
        <f t="shared" si="12"/>
        <v>0</v>
      </c>
    </row>
    <row r="190" spans="1:13" x14ac:dyDescent="0.25">
      <c r="A190" s="170"/>
      <c r="G190" s="140"/>
      <c r="H190" s="154">
        <v>185</v>
      </c>
      <c r="I190" s="155" t="str">
        <f t="shared" si="13"/>
        <v/>
      </c>
      <c r="J190" s="154">
        <f t="shared" si="14"/>
        <v>-6</v>
      </c>
      <c r="K190" s="154">
        <f t="shared" si="11"/>
        <v>-60</v>
      </c>
      <c r="L190" s="154"/>
      <c r="M190" s="156">
        <f t="shared" si="12"/>
        <v>0</v>
      </c>
    </row>
    <row r="191" spans="1:13" x14ac:dyDescent="0.25">
      <c r="A191" s="170"/>
      <c r="G191" s="140"/>
      <c r="H191" s="154">
        <v>186</v>
      </c>
      <c r="I191" s="155" t="str">
        <f t="shared" si="13"/>
        <v/>
      </c>
      <c r="J191" s="154">
        <f t="shared" si="14"/>
        <v>-6</v>
      </c>
      <c r="K191" s="154">
        <f t="shared" si="11"/>
        <v>-60</v>
      </c>
      <c r="L191" s="154"/>
      <c r="M191" s="156">
        <f t="shared" si="12"/>
        <v>0</v>
      </c>
    </row>
    <row r="192" spans="1:13" x14ac:dyDescent="0.25">
      <c r="A192" s="170"/>
      <c r="G192" s="140"/>
      <c r="H192" s="154">
        <v>187</v>
      </c>
      <c r="I192" s="155" t="str">
        <f t="shared" si="13"/>
        <v/>
      </c>
      <c r="J192" s="154">
        <f t="shared" si="14"/>
        <v>-6</v>
      </c>
      <c r="K192" s="154">
        <f t="shared" si="11"/>
        <v>-60</v>
      </c>
      <c r="L192" s="154"/>
      <c r="M192" s="156">
        <f t="shared" si="12"/>
        <v>0</v>
      </c>
    </row>
    <row r="193" spans="1:13" x14ac:dyDescent="0.25">
      <c r="A193" s="170"/>
      <c r="G193" s="140"/>
      <c r="H193" s="154">
        <v>188</v>
      </c>
      <c r="I193" s="155" t="str">
        <f t="shared" si="13"/>
        <v/>
      </c>
      <c r="J193" s="154">
        <f t="shared" si="14"/>
        <v>-6</v>
      </c>
      <c r="K193" s="154">
        <f t="shared" si="11"/>
        <v>-60</v>
      </c>
      <c r="L193" s="154"/>
      <c r="M193" s="156">
        <f t="shared" si="12"/>
        <v>0</v>
      </c>
    </row>
    <row r="194" spans="1:13" x14ac:dyDescent="0.25">
      <c r="A194" s="170"/>
      <c r="G194" s="140"/>
      <c r="H194" s="154">
        <v>189</v>
      </c>
      <c r="I194" s="155" t="str">
        <f t="shared" si="13"/>
        <v/>
      </c>
      <c r="J194" s="154">
        <f t="shared" si="14"/>
        <v>-6</v>
      </c>
      <c r="K194" s="154">
        <f t="shared" si="11"/>
        <v>-60</v>
      </c>
      <c r="L194" s="154"/>
      <c r="M194" s="156">
        <f t="shared" si="12"/>
        <v>0</v>
      </c>
    </row>
    <row r="195" spans="1:13" x14ac:dyDescent="0.25">
      <c r="A195" s="170"/>
      <c r="G195" s="140"/>
      <c r="H195" s="154">
        <v>190</v>
      </c>
      <c r="I195" s="155" t="str">
        <f t="shared" si="13"/>
        <v/>
      </c>
      <c r="J195" s="154">
        <f t="shared" si="14"/>
        <v>-6</v>
      </c>
      <c r="K195" s="154">
        <f t="shared" si="11"/>
        <v>-60</v>
      </c>
      <c r="L195" s="154"/>
      <c r="M195" s="156">
        <f t="shared" si="12"/>
        <v>0</v>
      </c>
    </row>
    <row r="196" spans="1:13" x14ac:dyDescent="0.25">
      <c r="A196" s="170"/>
      <c r="G196" s="140"/>
      <c r="H196" s="154">
        <v>191</v>
      </c>
      <c r="I196" s="155" t="str">
        <f t="shared" si="13"/>
        <v/>
      </c>
      <c r="J196" s="154">
        <f t="shared" si="14"/>
        <v>-6</v>
      </c>
      <c r="K196" s="154">
        <f t="shared" si="11"/>
        <v>-60</v>
      </c>
      <c r="L196" s="154"/>
      <c r="M196" s="156">
        <f t="shared" si="12"/>
        <v>0</v>
      </c>
    </row>
    <row r="197" spans="1:13" x14ac:dyDescent="0.25">
      <c r="A197" s="170"/>
      <c r="G197" s="140"/>
      <c r="H197" s="154">
        <v>192</v>
      </c>
      <c r="I197" s="155" t="str">
        <f t="shared" si="13"/>
        <v/>
      </c>
      <c r="J197" s="154">
        <f t="shared" si="14"/>
        <v>-6</v>
      </c>
      <c r="K197" s="154">
        <f t="shared" si="11"/>
        <v>-60</v>
      </c>
      <c r="L197" s="154"/>
      <c r="M197" s="156">
        <f t="shared" si="12"/>
        <v>0</v>
      </c>
    </row>
    <row r="198" spans="1:13" x14ac:dyDescent="0.25">
      <c r="A198" s="170"/>
      <c r="G198" s="140"/>
      <c r="H198" s="154">
        <v>193</v>
      </c>
      <c r="I198" s="155" t="str">
        <f t="shared" si="13"/>
        <v/>
      </c>
      <c r="J198" s="154">
        <f t="shared" si="14"/>
        <v>-6</v>
      </c>
      <c r="K198" s="154">
        <f t="shared" ref="K198:K261" si="15">J198*$J$2</f>
        <v>-60</v>
      </c>
      <c r="L198" s="154"/>
      <c r="M198" s="156">
        <f t="shared" ref="M198:M261" si="16">IF(I198&lt;&gt;"",K198+I198+L198,0)</f>
        <v>0</v>
      </c>
    </row>
    <row r="199" spans="1:13" x14ac:dyDescent="0.25">
      <c r="A199" s="170"/>
      <c r="G199" s="140"/>
      <c r="H199" s="154">
        <v>194</v>
      </c>
      <c r="I199" s="155" t="str">
        <f t="shared" ref="I199:I262" si="17">IF(H199&lt;$H$2+1,($I$2-($I$2-1)*(LOG(H199)/LOG($H$2))),"")</f>
        <v/>
      </c>
      <c r="J199" s="154">
        <f t="shared" ref="J199:J262" si="18">INT(LOG($H$2,2))-ROUNDUP(LOG(H199,2),0)+IF(OR($H$2=1,$H$2=2,$H$2=4,$H$2=8,$H$2=16,$H$2=32,$H$2=64,$H$2=128,$H$2=256),0,1)</f>
        <v>-6</v>
      </c>
      <c r="K199" s="154">
        <f t="shared" si="15"/>
        <v>-60</v>
      </c>
      <c r="L199" s="154"/>
      <c r="M199" s="156">
        <f t="shared" si="16"/>
        <v>0</v>
      </c>
    </row>
    <row r="200" spans="1:13" x14ac:dyDescent="0.25">
      <c r="A200" s="170"/>
      <c r="G200" s="140"/>
      <c r="H200" s="154">
        <v>195</v>
      </c>
      <c r="I200" s="155" t="str">
        <f t="shared" si="17"/>
        <v/>
      </c>
      <c r="J200" s="154">
        <f t="shared" si="18"/>
        <v>-6</v>
      </c>
      <c r="K200" s="154">
        <f t="shared" si="15"/>
        <v>-60</v>
      </c>
      <c r="L200" s="154"/>
      <c r="M200" s="156">
        <f t="shared" si="16"/>
        <v>0</v>
      </c>
    </row>
    <row r="201" spans="1:13" x14ac:dyDescent="0.25">
      <c r="A201" s="170"/>
      <c r="G201" s="140"/>
      <c r="H201" s="154">
        <v>196</v>
      </c>
      <c r="I201" s="155" t="str">
        <f t="shared" si="17"/>
        <v/>
      </c>
      <c r="J201" s="154">
        <f t="shared" si="18"/>
        <v>-6</v>
      </c>
      <c r="K201" s="154">
        <f t="shared" si="15"/>
        <v>-60</v>
      </c>
      <c r="L201" s="154"/>
      <c r="M201" s="156">
        <f t="shared" si="16"/>
        <v>0</v>
      </c>
    </row>
    <row r="202" spans="1:13" x14ac:dyDescent="0.25">
      <c r="A202" s="170"/>
      <c r="G202" s="140"/>
      <c r="H202" s="154">
        <v>197</v>
      </c>
      <c r="I202" s="155" t="str">
        <f t="shared" si="17"/>
        <v/>
      </c>
      <c r="J202" s="154">
        <f t="shared" si="18"/>
        <v>-6</v>
      </c>
      <c r="K202" s="154">
        <f t="shared" si="15"/>
        <v>-60</v>
      </c>
      <c r="L202" s="154"/>
      <c r="M202" s="156">
        <f t="shared" si="16"/>
        <v>0</v>
      </c>
    </row>
    <row r="203" spans="1:13" x14ac:dyDescent="0.25">
      <c r="A203" s="170"/>
      <c r="G203" s="140"/>
      <c r="H203" s="154">
        <v>198</v>
      </c>
      <c r="I203" s="155" t="str">
        <f t="shared" si="17"/>
        <v/>
      </c>
      <c r="J203" s="154">
        <f t="shared" si="18"/>
        <v>-6</v>
      </c>
      <c r="K203" s="154">
        <f t="shared" si="15"/>
        <v>-60</v>
      </c>
      <c r="L203" s="154"/>
      <c r="M203" s="156">
        <f t="shared" si="16"/>
        <v>0</v>
      </c>
    </row>
    <row r="204" spans="1:13" x14ac:dyDescent="0.25">
      <c r="A204" s="170"/>
      <c r="G204" s="140"/>
      <c r="H204" s="154">
        <v>199</v>
      </c>
      <c r="I204" s="155" t="str">
        <f t="shared" si="17"/>
        <v/>
      </c>
      <c r="J204" s="154">
        <f t="shared" si="18"/>
        <v>-6</v>
      </c>
      <c r="K204" s="154">
        <f t="shared" si="15"/>
        <v>-60</v>
      </c>
      <c r="L204" s="154"/>
      <c r="M204" s="156">
        <f t="shared" si="16"/>
        <v>0</v>
      </c>
    </row>
    <row r="205" spans="1:13" x14ac:dyDescent="0.25">
      <c r="A205" s="170"/>
      <c r="G205" s="140"/>
      <c r="H205" s="154">
        <v>200</v>
      </c>
      <c r="I205" s="155" t="str">
        <f t="shared" si="17"/>
        <v/>
      </c>
      <c r="J205" s="154">
        <f t="shared" si="18"/>
        <v>-6</v>
      </c>
      <c r="K205" s="154">
        <f t="shared" si="15"/>
        <v>-60</v>
      </c>
      <c r="L205" s="154"/>
      <c r="M205" s="156">
        <f t="shared" si="16"/>
        <v>0</v>
      </c>
    </row>
    <row r="206" spans="1:13" x14ac:dyDescent="0.25">
      <c r="A206" s="170"/>
      <c r="G206" s="140"/>
      <c r="H206" s="154">
        <v>201</v>
      </c>
      <c r="I206" s="155" t="str">
        <f t="shared" si="17"/>
        <v/>
      </c>
      <c r="J206" s="154">
        <f t="shared" si="18"/>
        <v>-6</v>
      </c>
      <c r="K206" s="154">
        <f t="shared" si="15"/>
        <v>-60</v>
      </c>
      <c r="L206" s="154"/>
      <c r="M206" s="156">
        <f t="shared" si="16"/>
        <v>0</v>
      </c>
    </row>
    <row r="207" spans="1:13" x14ac:dyDescent="0.25">
      <c r="A207" s="170"/>
      <c r="G207" s="140"/>
      <c r="H207" s="154">
        <v>202</v>
      </c>
      <c r="I207" s="155" t="str">
        <f t="shared" si="17"/>
        <v/>
      </c>
      <c r="J207" s="154">
        <f t="shared" si="18"/>
        <v>-6</v>
      </c>
      <c r="K207" s="154">
        <f t="shared" si="15"/>
        <v>-60</v>
      </c>
      <c r="L207" s="154"/>
      <c r="M207" s="156">
        <f t="shared" si="16"/>
        <v>0</v>
      </c>
    </row>
    <row r="208" spans="1:13" x14ac:dyDescent="0.25">
      <c r="A208" s="170"/>
      <c r="G208" s="140"/>
      <c r="H208" s="154">
        <v>203</v>
      </c>
      <c r="I208" s="155" t="str">
        <f t="shared" si="17"/>
        <v/>
      </c>
      <c r="J208" s="154">
        <f t="shared" si="18"/>
        <v>-6</v>
      </c>
      <c r="K208" s="154">
        <f t="shared" si="15"/>
        <v>-60</v>
      </c>
      <c r="L208" s="154"/>
      <c r="M208" s="156">
        <f t="shared" si="16"/>
        <v>0</v>
      </c>
    </row>
    <row r="209" spans="1:13" x14ac:dyDescent="0.25">
      <c r="A209" s="170"/>
      <c r="G209" s="140"/>
      <c r="H209" s="154">
        <v>204</v>
      </c>
      <c r="I209" s="155" t="str">
        <f t="shared" si="17"/>
        <v/>
      </c>
      <c r="J209" s="154">
        <f t="shared" si="18"/>
        <v>-6</v>
      </c>
      <c r="K209" s="154">
        <f t="shared" si="15"/>
        <v>-60</v>
      </c>
      <c r="L209" s="154"/>
      <c r="M209" s="156">
        <f t="shared" si="16"/>
        <v>0</v>
      </c>
    </row>
    <row r="210" spans="1:13" x14ac:dyDescent="0.25">
      <c r="A210" s="170"/>
      <c r="G210" s="140"/>
      <c r="H210" s="154">
        <v>205</v>
      </c>
      <c r="I210" s="155" t="str">
        <f t="shared" si="17"/>
        <v/>
      </c>
      <c r="J210" s="154">
        <f t="shared" si="18"/>
        <v>-6</v>
      </c>
      <c r="K210" s="154">
        <f t="shared" si="15"/>
        <v>-60</v>
      </c>
      <c r="L210" s="154"/>
      <c r="M210" s="156">
        <f t="shared" si="16"/>
        <v>0</v>
      </c>
    </row>
    <row r="211" spans="1:13" x14ac:dyDescent="0.25">
      <c r="A211" s="170"/>
      <c r="G211" s="140"/>
      <c r="H211" s="154">
        <v>206</v>
      </c>
      <c r="I211" s="155" t="str">
        <f t="shared" si="17"/>
        <v/>
      </c>
      <c r="J211" s="154">
        <f t="shared" si="18"/>
        <v>-6</v>
      </c>
      <c r="K211" s="154">
        <f t="shared" si="15"/>
        <v>-60</v>
      </c>
      <c r="L211" s="154"/>
      <c r="M211" s="156">
        <f t="shared" si="16"/>
        <v>0</v>
      </c>
    </row>
    <row r="212" spans="1:13" x14ac:dyDescent="0.25">
      <c r="A212" s="170"/>
      <c r="G212" s="140"/>
      <c r="H212" s="154">
        <v>207</v>
      </c>
      <c r="I212" s="155" t="str">
        <f t="shared" si="17"/>
        <v/>
      </c>
      <c r="J212" s="154">
        <f t="shared" si="18"/>
        <v>-6</v>
      </c>
      <c r="K212" s="154">
        <f t="shared" si="15"/>
        <v>-60</v>
      </c>
      <c r="L212" s="154"/>
      <c r="M212" s="156">
        <f t="shared" si="16"/>
        <v>0</v>
      </c>
    </row>
    <row r="213" spans="1:13" x14ac:dyDescent="0.25">
      <c r="A213" s="170"/>
      <c r="G213" s="140"/>
      <c r="H213" s="154">
        <v>208</v>
      </c>
      <c r="I213" s="155" t="str">
        <f t="shared" si="17"/>
        <v/>
      </c>
      <c r="J213" s="154">
        <f t="shared" si="18"/>
        <v>-6</v>
      </c>
      <c r="K213" s="154">
        <f t="shared" si="15"/>
        <v>-60</v>
      </c>
      <c r="L213" s="154"/>
      <c r="M213" s="156">
        <f t="shared" si="16"/>
        <v>0</v>
      </c>
    </row>
    <row r="214" spans="1:13" x14ac:dyDescent="0.25">
      <c r="A214" s="170"/>
      <c r="G214" s="140"/>
      <c r="H214" s="154">
        <v>209</v>
      </c>
      <c r="I214" s="155" t="str">
        <f t="shared" si="17"/>
        <v/>
      </c>
      <c r="J214" s="154">
        <f t="shared" si="18"/>
        <v>-6</v>
      </c>
      <c r="K214" s="154">
        <f t="shared" si="15"/>
        <v>-60</v>
      </c>
      <c r="L214" s="154"/>
      <c r="M214" s="156">
        <f t="shared" si="16"/>
        <v>0</v>
      </c>
    </row>
    <row r="215" spans="1:13" x14ac:dyDescent="0.25">
      <c r="A215" s="170"/>
      <c r="G215" s="140"/>
      <c r="H215" s="154">
        <v>210</v>
      </c>
      <c r="I215" s="155" t="str">
        <f t="shared" si="17"/>
        <v/>
      </c>
      <c r="J215" s="154">
        <f t="shared" si="18"/>
        <v>-6</v>
      </c>
      <c r="K215" s="154">
        <f t="shared" si="15"/>
        <v>-60</v>
      </c>
      <c r="L215" s="154"/>
      <c r="M215" s="156">
        <f t="shared" si="16"/>
        <v>0</v>
      </c>
    </row>
    <row r="216" spans="1:13" x14ac:dyDescent="0.25">
      <c r="A216" s="170"/>
      <c r="G216" s="140"/>
      <c r="H216" s="154">
        <v>211</v>
      </c>
      <c r="I216" s="155" t="str">
        <f t="shared" si="17"/>
        <v/>
      </c>
      <c r="J216" s="154">
        <f t="shared" si="18"/>
        <v>-6</v>
      </c>
      <c r="K216" s="154">
        <f t="shared" si="15"/>
        <v>-60</v>
      </c>
      <c r="L216" s="154"/>
      <c r="M216" s="156">
        <f t="shared" si="16"/>
        <v>0</v>
      </c>
    </row>
    <row r="217" spans="1:13" x14ac:dyDescent="0.25">
      <c r="A217" s="170"/>
      <c r="G217" s="140"/>
      <c r="H217" s="154">
        <v>212</v>
      </c>
      <c r="I217" s="155" t="str">
        <f t="shared" si="17"/>
        <v/>
      </c>
      <c r="J217" s="154">
        <f t="shared" si="18"/>
        <v>-6</v>
      </c>
      <c r="K217" s="154">
        <f t="shared" si="15"/>
        <v>-60</v>
      </c>
      <c r="L217" s="154"/>
      <c r="M217" s="156">
        <f t="shared" si="16"/>
        <v>0</v>
      </c>
    </row>
    <row r="218" spans="1:13" x14ac:dyDescent="0.25">
      <c r="A218" s="170"/>
      <c r="G218" s="140"/>
      <c r="H218" s="154">
        <v>213</v>
      </c>
      <c r="I218" s="155" t="str">
        <f t="shared" si="17"/>
        <v/>
      </c>
      <c r="J218" s="154">
        <f t="shared" si="18"/>
        <v>-6</v>
      </c>
      <c r="K218" s="154">
        <f t="shared" si="15"/>
        <v>-60</v>
      </c>
      <c r="L218" s="154"/>
      <c r="M218" s="156">
        <f t="shared" si="16"/>
        <v>0</v>
      </c>
    </row>
    <row r="219" spans="1:13" x14ac:dyDescent="0.25">
      <c r="A219" s="170"/>
      <c r="G219" s="140"/>
      <c r="H219" s="154">
        <v>214</v>
      </c>
      <c r="I219" s="155" t="str">
        <f t="shared" si="17"/>
        <v/>
      </c>
      <c r="J219" s="154">
        <f t="shared" si="18"/>
        <v>-6</v>
      </c>
      <c r="K219" s="154">
        <f t="shared" si="15"/>
        <v>-60</v>
      </c>
      <c r="L219" s="154"/>
      <c r="M219" s="156">
        <f t="shared" si="16"/>
        <v>0</v>
      </c>
    </row>
    <row r="220" spans="1:13" x14ac:dyDescent="0.25">
      <c r="A220" s="170"/>
      <c r="G220" s="140"/>
      <c r="H220" s="154">
        <v>215</v>
      </c>
      <c r="I220" s="155" t="str">
        <f t="shared" si="17"/>
        <v/>
      </c>
      <c r="J220" s="154">
        <f t="shared" si="18"/>
        <v>-6</v>
      </c>
      <c r="K220" s="154">
        <f t="shared" si="15"/>
        <v>-60</v>
      </c>
      <c r="L220" s="154"/>
      <c r="M220" s="156">
        <f t="shared" si="16"/>
        <v>0</v>
      </c>
    </row>
    <row r="221" spans="1:13" x14ac:dyDescent="0.25">
      <c r="A221" s="170"/>
      <c r="G221" s="140"/>
      <c r="H221" s="154">
        <v>216</v>
      </c>
      <c r="I221" s="155" t="str">
        <f t="shared" si="17"/>
        <v/>
      </c>
      <c r="J221" s="154">
        <f t="shared" si="18"/>
        <v>-6</v>
      </c>
      <c r="K221" s="154">
        <f t="shared" si="15"/>
        <v>-60</v>
      </c>
      <c r="L221" s="154"/>
      <c r="M221" s="156">
        <f t="shared" si="16"/>
        <v>0</v>
      </c>
    </row>
    <row r="222" spans="1:13" x14ac:dyDescent="0.25">
      <c r="A222" s="170"/>
      <c r="G222" s="140"/>
      <c r="H222" s="154">
        <v>217</v>
      </c>
      <c r="I222" s="155" t="str">
        <f t="shared" si="17"/>
        <v/>
      </c>
      <c r="J222" s="154">
        <f t="shared" si="18"/>
        <v>-6</v>
      </c>
      <c r="K222" s="154">
        <f t="shared" si="15"/>
        <v>-60</v>
      </c>
      <c r="L222" s="154"/>
      <c r="M222" s="156">
        <f t="shared" si="16"/>
        <v>0</v>
      </c>
    </row>
    <row r="223" spans="1:13" x14ac:dyDescent="0.25">
      <c r="A223" s="170"/>
      <c r="G223" s="140"/>
      <c r="H223" s="154">
        <v>218</v>
      </c>
      <c r="I223" s="155" t="str">
        <f t="shared" si="17"/>
        <v/>
      </c>
      <c r="J223" s="154">
        <f t="shared" si="18"/>
        <v>-6</v>
      </c>
      <c r="K223" s="154">
        <f t="shared" si="15"/>
        <v>-60</v>
      </c>
      <c r="L223" s="154"/>
      <c r="M223" s="156">
        <f t="shared" si="16"/>
        <v>0</v>
      </c>
    </row>
    <row r="224" spans="1:13" x14ac:dyDescent="0.25">
      <c r="A224" s="170"/>
      <c r="G224" s="140"/>
      <c r="H224" s="154">
        <v>219</v>
      </c>
      <c r="I224" s="155" t="str">
        <f t="shared" si="17"/>
        <v/>
      </c>
      <c r="J224" s="154">
        <f t="shared" si="18"/>
        <v>-6</v>
      </c>
      <c r="K224" s="154">
        <f t="shared" si="15"/>
        <v>-60</v>
      </c>
      <c r="L224" s="154"/>
      <c r="M224" s="156">
        <f t="shared" si="16"/>
        <v>0</v>
      </c>
    </row>
    <row r="225" spans="1:13" x14ac:dyDescent="0.25">
      <c r="A225" s="170"/>
      <c r="G225" s="140"/>
      <c r="H225" s="154">
        <v>220</v>
      </c>
      <c r="I225" s="155" t="str">
        <f t="shared" si="17"/>
        <v/>
      </c>
      <c r="J225" s="154">
        <f t="shared" si="18"/>
        <v>-6</v>
      </c>
      <c r="K225" s="154">
        <f t="shared" si="15"/>
        <v>-60</v>
      </c>
      <c r="L225" s="154"/>
      <c r="M225" s="156">
        <f t="shared" si="16"/>
        <v>0</v>
      </c>
    </row>
    <row r="226" spans="1:13" x14ac:dyDescent="0.25">
      <c r="A226" s="170"/>
      <c r="G226" s="140"/>
      <c r="H226" s="154">
        <v>221</v>
      </c>
      <c r="I226" s="155" t="str">
        <f t="shared" si="17"/>
        <v/>
      </c>
      <c r="J226" s="154">
        <f t="shared" si="18"/>
        <v>-6</v>
      </c>
      <c r="K226" s="154">
        <f t="shared" si="15"/>
        <v>-60</v>
      </c>
      <c r="L226" s="154"/>
      <c r="M226" s="156">
        <f t="shared" si="16"/>
        <v>0</v>
      </c>
    </row>
    <row r="227" spans="1:13" x14ac:dyDescent="0.25">
      <c r="A227" s="170"/>
      <c r="G227" s="140"/>
      <c r="H227" s="154">
        <v>222</v>
      </c>
      <c r="I227" s="155" t="str">
        <f t="shared" si="17"/>
        <v/>
      </c>
      <c r="J227" s="154">
        <f t="shared" si="18"/>
        <v>-6</v>
      </c>
      <c r="K227" s="154">
        <f t="shared" si="15"/>
        <v>-60</v>
      </c>
      <c r="L227" s="154"/>
      <c r="M227" s="156">
        <f t="shared" si="16"/>
        <v>0</v>
      </c>
    </row>
    <row r="228" spans="1:13" x14ac:dyDescent="0.25">
      <c r="A228" s="170"/>
      <c r="G228" s="140"/>
      <c r="H228" s="154">
        <v>223</v>
      </c>
      <c r="I228" s="155" t="str">
        <f t="shared" si="17"/>
        <v/>
      </c>
      <c r="J228" s="154">
        <f t="shared" si="18"/>
        <v>-6</v>
      </c>
      <c r="K228" s="154">
        <f t="shared" si="15"/>
        <v>-60</v>
      </c>
      <c r="L228" s="154"/>
      <c r="M228" s="156">
        <f t="shared" si="16"/>
        <v>0</v>
      </c>
    </row>
    <row r="229" spans="1:13" x14ac:dyDescent="0.25">
      <c r="A229" s="170"/>
      <c r="G229" s="140"/>
      <c r="H229" s="154">
        <v>224</v>
      </c>
      <c r="I229" s="155" t="str">
        <f t="shared" si="17"/>
        <v/>
      </c>
      <c r="J229" s="154">
        <f t="shared" si="18"/>
        <v>-6</v>
      </c>
      <c r="K229" s="154">
        <f t="shared" si="15"/>
        <v>-60</v>
      </c>
      <c r="L229" s="154"/>
      <c r="M229" s="156">
        <f t="shared" si="16"/>
        <v>0</v>
      </c>
    </row>
    <row r="230" spans="1:13" x14ac:dyDescent="0.25">
      <c r="A230" s="170"/>
      <c r="G230" s="140"/>
      <c r="H230" s="154">
        <v>225</v>
      </c>
      <c r="I230" s="155" t="str">
        <f t="shared" si="17"/>
        <v/>
      </c>
      <c r="J230" s="154">
        <f t="shared" si="18"/>
        <v>-6</v>
      </c>
      <c r="K230" s="154">
        <f t="shared" si="15"/>
        <v>-60</v>
      </c>
      <c r="L230" s="154"/>
      <c r="M230" s="156">
        <f t="shared" si="16"/>
        <v>0</v>
      </c>
    </row>
    <row r="231" spans="1:13" x14ac:dyDescent="0.25">
      <c r="A231" s="170"/>
      <c r="G231" s="140"/>
      <c r="H231" s="154">
        <v>226</v>
      </c>
      <c r="I231" s="155" t="str">
        <f t="shared" si="17"/>
        <v/>
      </c>
      <c r="J231" s="154">
        <f t="shared" si="18"/>
        <v>-6</v>
      </c>
      <c r="K231" s="154">
        <f t="shared" si="15"/>
        <v>-60</v>
      </c>
      <c r="L231" s="154"/>
      <c r="M231" s="156">
        <f t="shared" si="16"/>
        <v>0</v>
      </c>
    </row>
    <row r="232" spans="1:13" x14ac:dyDescent="0.25">
      <c r="A232" s="170"/>
      <c r="G232" s="140"/>
      <c r="H232" s="154">
        <v>227</v>
      </c>
      <c r="I232" s="155" t="str">
        <f t="shared" si="17"/>
        <v/>
      </c>
      <c r="J232" s="154">
        <f t="shared" si="18"/>
        <v>-6</v>
      </c>
      <c r="K232" s="154">
        <f t="shared" si="15"/>
        <v>-60</v>
      </c>
      <c r="L232" s="154"/>
      <c r="M232" s="156">
        <f t="shared" si="16"/>
        <v>0</v>
      </c>
    </row>
    <row r="233" spans="1:13" x14ac:dyDescent="0.25">
      <c r="A233" s="170"/>
      <c r="G233" s="140"/>
      <c r="H233" s="154">
        <v>228</v>
      </c>
      <c r="I233" s="155" t="str">
        <f t="shared" si="17"/>
        <v/>
      </c>
      <c r="J233" s="154">
        <f t="shared" si="18"/>
        <v>-6</v>
      </c>
      <c r="K233" s="154">
        <f t="shared" si="15"/>
        <v>-60</v>
      </c>
      <c r="L233" s="154"/>
      <c r="M233" s="156">
        <f t="shared" si="16"/>
        <v>0</v>
      </c>
    </row>
    <row r="234" spans="1:13" x14ac:dyDescent="0.25">
      <c r="A234" s="170"/>
      <c r="G234" s="140"/>
      <c r="H234" s="154">
        <v>229</v>
      </c>
      <c r="I234" s="155" t="str">
        <f t="shared" si="17"/>
        <v/>
      </c>
      <c r="J234" s="154">
        <f t="shared" si="18"/>
        <v>-6</v>
      </c>
      <c r="K234" s="154">
        <f t="shared" si="15"/>
        <v>-60</v>
      </c>
      <c r="L234" s="154"/>
      <c r="M234" s="156">
        <f t="shared" si="16"/>
        <v>0</v>
      </c>
    </row>
    <row r="235" spans="1:13" x14ac:dyDescent="0.25">
      <c r="A235" s="170"/>
      <c r="G235" s="140"/>
      <c r="H235" s="154">
        <v>230</v>
      </c>
      <c r="I235" s="155" t="str">
        <f t="shared" si="17"/>
        <v/>
      </c>
      <c r="J235" s="154">
        <f t="shared" si="18"/>
        <v>-6</v>
      </c>
      <c r="K235" s="154">
        <f t="shared" si="15"/>
        <v>-60</v>
      </c>
      <c r="L235" s="154"/>
      <c r="M235" s="156">
        <f t="shared" si="16"/>
        <v>0</v>
      </c>
    </row>
    <row r="236" spans="1:13" x14ac:dyDescent="0.25">
      <c r="A236" s="170"/>
      <c r="G236" s="140"/>
      <c r="H236" s="154">
        <v>231</v>
      </c>
      <c r="I236" s="155" t="str">
        <f t="shared" si="17"/>
        <v/>
      </c>
      <c r="J236" s="154">
        <f t="shared" si="18"/>
        <v>-6</v>
      </c>
      <c r="K236" s="154">
        <f t="shared" si="15"/>
        <v>-60</v>
      </c>
      <c r="L236" s="154"/>
      <c r="M236" s="156">
        <f t="shared" si="16"/>
        <v>0</v>
      </c>
    </row>
    <row r="237" spans="1:13" x14ac:dyDescent="0.25">
      <c r="A237" s="170"/>
      <c r="G237" s="140"/>
      <c r="H237" s="154">
        <v>232</v>
      </c>
      <c r="I237" s="155" t="str">
        <f t="shared" si="17"/>
        <v/>
      </c>
      <c r="J237" s="154">
        <f t="shared" si="18"/>
        <v>-6</v>
      </c>
      <c r="K237" s="154">
        <f t="shared" si="15"/>
        <v>-60</v>
      </c>
      <c r="L237" s="154"/>
      <c r="M237" s="156">
        <f t="shared" si="16"/>
        <v>0</v>
      </c>
    </row>
    <row r="238" spans="1:13" x14ac:dyDescent="0.25">
      <c r="A238" s="170"/>
      <c r="G238" s="140"/>
      <c r="H238" s="154">
        <v>233</v>
      </c>
      <c r="I238" s="155" t="str">
        <f t="shared" si="17"/>
        <v/>
      </c>
      <c r="J238" s="154">
        <f t="shared" si="18"/>
        <v>-6</v>
      </c>
      <c r="K238" s="154">
        <f t="shared" si="15"/>
        <v>-60</v>
      </c>
      <c r="L238" s="154"/>
      <c r="M238" s="156">
        <f t="shared" si="16"/>
        <v>0</v>
      </c>
    </row>
    <row r="239" spans="1:13" x14ac:dyDescent="0.25">
      <c r="A239" s="170"/>
      <c r="G239" s="140"/>
      <c r="H239" s="154">
        <v>234</v>
      </c>
      <c r="I239" s="155" t="str">
        <f t="shared" si="17"/>
        <v/>
      </c>
      <c r="J239" s="154">
        <f t="shared" si="18"/>
        <v>-6</v>
      </c>
      <c r="K239" s="154">
        <f t="shared" si="15"/>
        <v>-60</v>
      </c>
      <c r="L239" s="154"/>
      <c r="M239" s="156">
        <f t="shared" si="16"/>
        <v>0</v>
      </c>
    </row>
    <row r="240" spans="1:13" x14ac:dyDescent="0.25">
      <c r="A240" s="170"/>
      <c r="G240" s="140"/>
      <c r="H240" s="154">
        <v>235</v>
      </c>
      <c r="I240" s="155" t="str">
        <f t="shared" si="17"/>
        <v/>
      </c>
      <c r="J240" s="154">
        <f t="shared" si="18"/>
        <v>-6</v>
      </c>
      <c r="K240" s="154">
        <f t="shared" si="15"/>
        <v>-60</v>
      </c>
      <c r="L240" s="154"/>
      <c r="M240" s="156">
        <f t="shared" si="16"/>
        <v>0</v>
      </c>
    </row>
    <row r="241" spans="1:13" x14ac:dyDescent="0.25">
      <c r="A241" s="170"/>
      <c r="G241" s="140"/>
      <c r="H241" s="154">
        <v>236</v>
      </c>
      <c r="I241" s="155" t="str">
        <f t="shared" si="17"/>
        <v/>
      </c>
      <c r="J241" s="154">
        <f t="shared" si="18"/>
        <v>-6</v>
      </c>
      <c r="K241" s="154">
        <f t="shared" si="15"/>
        <v>-60</v>
      </c>
      <c r="L241" s="154"/>
      <c r="M241" s="156">
        <f t="shared" si="16"/>
        <v>0</v>
      </c>
    </row>
    <row r="242" spans="1:13" x14ac:dyDescent="0.25">
      <c r="A242" s="170"/>
      <c r="G242" s="140"/>
      <c r="H242" s="154">
        <v>237</v>
      </c>
      <c r="I242" s="155" t="str">
        <f t="shared" si="17"/>
        <v/>
      </c>
      <c r="J242" s="154">
        <f t="shared" si="18"/>
        <v>-6</v>
      </c>
      <c r="K242" s="154">
        <f t="shared" si="15"/>
        <v>-60</v>
      </c>
      <c r="L242" s="154"/>
      <c r="M242" s="156">
        <f t="shared" si="16"/>
        <v>0</v>
      </c>
    </row>
    <row r="243" spans="1:13" x14ac:dyDescent="0.25">
      <c r="A243" s="170"/>
      <c r="G243" s="140"/>
      <c r="H243" s="154">
        <v>238</v>
      </c>
      <c r="I243" s="155" t="str">
        <f t="shared" si="17"/>
        <v/>
      </c>
      <c r="J243" s="154">
        <f t="shared" si="18"/>
        <v>-6</v>
      </c>
      <c r="K243" s="154">
        <f t="shared" si="15"/>
        <v>-60</v>
      </c>
      <c r="L243" s="154"/>
      <c r="M243" s="156">
        <f t="shared" si="16"/>
        <v>0</v>
      </c>
    </row>
    <row r="244" spans="1:13" x14ac:dyDescent="0.25">
      <c r="A244" s="170"/>
      <c r="G244" s="140"/>
      <c r="H244" s="154">
        <v>239</v>
      </c>
      <c r="I244" s="155" t="str">
        <f t="shared" si="17"/>
        <v/>
      </c>
      <c r="J244" s="154">
        <f t="shared" si="18"/>
        <v>-6</v>
      </c>
      <c r="K244" s="154">
        <f t="shared" si="15"/>
        <v>-60</v>
      </c>
      <c r="L244" s="154"/>
      <c r="M244" s="156">
        <f t="shared" si="16"/>
        <v>0</v>
      </c>
    </row>
    <row r="245" spans="1:13" x14ac:dyDescent="0.25">
      <c r="A245" s="170"/>
      <c r="G245" s="140"/>
      <c r="H245" s="154">
        <v>240</v>
      </c>
      <c r="I245" s="155" t="str">
        <f t="shared" si="17"/>
        <v/>
      </c>
      <c r="J245" s="154">
        <f t="shared" si="18"/>
        <v>-6</v>
      </c>
      <c r="K245" s="154">
        <f t="shared" si="15"/>
        <v>-60</v>
      </c>
      <c r="L245" s="154"/>
      <c r="M245" s="156">
        <f t="shared" si="16"/>
        <v>0</v>
      </c>
    </row>
    <row r="246" spans="1:13" x14ac:dyDescent="0.25">
      <c r="A246" s="170"/>
      <c r="G246" s="140"/>
      <c r="H246" s="154">
        <v>241</v>
      </c>
      <c r="I246" s="155" t="str">
        <f t="shared" si="17"/>
        <v/>
      </c>
      <c r="J246" s="154">
        <f t="shared" si="18"/>
        <v>-6</v>
      </c>
      <c r="K246" s="154">
        <f t="shared" si="15"/>
        <v>-60</v>
      </c>
      <c r="L246" s="154"/>
      <c r="M246" s="156">
        <f t="shared" si="16"/>
        <v>0</v>
      </c>
    </row>
    <row r="247" spans="1:13" x14ac:dyDescent="0.25">
      <c r="A247" s="170"/>
      <c r="G247" s="140"/>
      <c r="H247" s="154">
        <v>242</v>
      </c>
      <c r="I247" s="155" t="str">
        <f t="shared" si="17"/>
        <v/>
      </c>
      <c r="J247" s="154">
        <f t="shared" si="18"/>
        <v>-6</v>
      </c>
      <c r="K247" s="154">
        <f t="shared" si="15"/>
        <v>-60</v>
      </c>
      <c r="L247" s="154"/>
      <c r="M247" s="156">
        <f t="shared" si="16"/>
        <v>0</v>
      </c>
    </row>
    <row r="248" spans="1:13" x14ac:dyDescent="0.25">
      <c r="A248" s="170"/>
      <c r="G248" s="140"/>
      <c r="H248" s="154">
        <v>243</v>
      </c>
      <c r="I248" s="155" t="str">
        <f t="shared" si="17"/>
        <v/>
      </c>
      <c r="J248" s="154">
        <f t="shared" si="18"/>
        <v>-6</v>
      </c>
      <c r="K248" s="154">
        <f t="shared" si="15"/>
        <v>-60</v>
      </c>
      <c r="L248" s="154"/>
      <c r="M248" s="156">
        <f t="shared" si="16"/>
        <v>0</v>
      </c>
    </row>
    <row r="249" spans="1:13" x14ac:dyDescent="0.25">
      <c r="A249" s="170"/>
      <c r="G249" s="140"/>
      <c r="H249" s="154">
        <v>244</v>
      </c>
      <c r="I249" s="155" t="str">
        <f t="shared" si="17"/>
        <v/>
      </c>
      <c r="J249" s="154">
        <f t="shared" si="18"/>
        <v>-6</v>
      </c>
      <c r="K249" s="154">
        <f t="shared" si="15"/>
        <v>-60</v>
      </c>
      <c r="L249" s="154"/>
      <c r="M249" s="156">
        <f t="shared" si="16"/>
        <v>0</v>
      </c>
    </row>
    <row r="250" spans="1:13" x14ac:dyDescent="0.25">
      <c r="A250" s="170"/>
      <c r="G250" s="140"/>
      <c r="H250" s="154">
        <v>245</v>
      </c>
      <c r="I250" s="155" t="str">
        <f t="shared" si="17"/>
        <v/>
      </c>
      <c r="J250" s="154">
        <f t="shared" si="18"/>
        <v>-6</v>
      </c>
      <c r="K250" s="154">
        <f t="shared" si="15"/>
        <v>-60</v>
      </c>
      <c r="L250" s="154"/>
      <c r="M250" s="156">
        <f t="shared" si="16"/>
        <v>0</v>
      </c>
    </row>
    <row r="251" spans="1:13" x14ac:dyDescent="0.25">
      <c r="A251" s="170"/>
      <c r="G251" s="140"/>
      <c r="H251" s="154">
        <v>246</v>
      </c>
      <c r="I251" s="155" t="str">
        <f t="shared" si="17"/>
        <v/>
      </c>
      <c r="J251" s="154">
        <f t="shared" si="18"/>
        <v>-6</v>
      </c>
      <c r="K251" s="154">
        <f t="shared" si="15"/>
        <v>-60</v>
      </c>
      <c r="L251" s="154"/>
      <c r="M251" s="156">
        <f t="shared" si="16"/>
        <v>0</v>
      </c>
    </row>
    <row r="252" spans="1:13" x14ac:dyDescent="0.25">
      <c r="A252" s="170"/>
      <c r="G252" s="140"/>
      <c r="H252" s="154">
        <v>247</v>
      </c>
      <c r="I252" s="155" t="str">
        <f t="shared" si="17"/>
        <v/>
      </c>
      <c r="J252" s="154">
        <f t="shared" si="18"/>
        <v>-6</v>
      </c>
      <c r="K252" s="154">
        <f t="shared" si="15"/>
        <v>-60</v>
      </c>
      <c r="L252" s="154"/>
      <c r="M252" s="156">
        <f t="shared" si="16"/>
        <v>0</v>
      </c>
    </row>
    <row r="253" spans="1:13" x14ac:dyDescent="0.25">
      <c r="A253" s="170"/>
      <c r="G253" s="140"/>
      <c r="H253" s="154">
        <v>248</v>
      </c>
      <c r="I253" s="155" t="str">
        <f t="shared" si="17"/>
        <v/>
      </c>
      <c r="J253" s="154">
        <f t="shared" si="18"/>
        <v>-6</v>
      </c>
      <c r="K253" s="154">
        <f t="shared" si="15"/>
        <v>-60</v>
      </c>
      <c r="L253" s="154"/>
      <c r="M253" s="156">
        <f t="shared" si="16"/>
        <v>0</v>
      </c>
    </row>
    <row r="254" spans="1:13" x14ac:dyDescent="0.25">
      <c r="A254" s="170"/>
      <c r="G254" s="140"/>
      <c r="H254" s="154">
        <v>249</v>
      </c>
      <c r="I254" s="155" t="str">
        <f t="shared" si="17"/>
        <v/>
      </c>
      <c r="J254" s="154">
        <f t="shared" si="18"/>
        <v>-6</v>
      </c>
      <c r="K254" s="154">
        <f t="shared" si="15"/>
        <v>-60</v>
      </c>
      <c r="L254" s="154"/>
      <c r="M254" s="156">
        <f t="shared" si="16"/>
        <v>0</v>
      </c>
    </row>
    <row r="255" spans="1:13" x14ac:dyDescent="0.25">
      <c r="A255" s="170"/>
      <c r="G255" s="140"/>
      <c r="H255" s="154">
        <v>250</v>
      </c>
      <c r="I255" s="155" t="str">
        <f t="shared" si="17"/>
        <v/>
      </c>
      <c r="J255" s="154">
        <f t="shared" si="18"/>
        <v>-6</v>
      </c>
      <c r="K255" s="154">
        <f t="shared" si="15"/>
        <v>-60</v>
      </c>
      <c r="L255" s="154"/>
      <c r="M255" s="156">
        <f t="shared" si="16"/>
        <v>0</v>
      </c>
    </row>
    <row r="256" spans="1:13" x14ac:dyDescent="0.25">
      <c r="A256" s="170"/>
      <c r="G256" s="140"/>
      <c r="H256" s="154">
        <v>251</v>
      </c>
      <c r="I256" s="155" t="str">
        <f t="shared" si="17"/>
        <v/>
      </c>
      <c r="J256" s="154">
        <f t="shared" si="18"/>
        <v>-6</v>
      </c>
      <c r="K256" s="154">
        <f t="shared" si="15"/>
        <v>-60</v>
      </c>
      <c r="L256" s="154"/>
      <c r="M256" s="156">
        <f t="shared" si="16"/>
        <v>0</v>
      </c>
    </row>
    <row r="257" spans="1:13" x14ac:dyDescent="0.25">
      <c r="A257" s="170"/>
      <c r="G257" s="140"/>
      <c r="H257" s="154">
        <v>252</v>
      </c>
      <c r="I257" s="155" t="str">
        <f t="shared" si="17"/>
        <v/>
      </c>
      <c r="J257" s="154">
        <f t="shared" si="18"/>
        <v>-6</v>
      </c>
      <c r="K257" s="154">
        <f t="shared" si="15"/>
        <v>-60</v>
      </c>
      <c r="L257" s="154"/>
      <c r="M257" s="156">
        <f t="shared" si="16"/>
        <v>0</v>
      </c>
    </row>
    <row r="258" spans="1:13" x14ac:dyDescent="0.25">
      <c r="A258" s="170"/>
      <c r="G258" s="140"/>
      <c r="H258" s="154">
        <v>253</v>
      </c>
      <c r="I258" s="155" t="str">
        <f t="shared" si="17"/>
        <v/>
      </c>
      <c r="J258" s="154">
        <f t="shared" si="18"/>
        <v>-6</v>
      </c>
      <c r="K258" s="154">
        <f t="shared" si="15"/>
        <v>-60</v>
      </c>
      <c r="L258" s="154"/>
      <c r="M258" s="156">
        <f t="shared" si="16"/>
        <v>0</v>
      </c>
    </row>
    <row r="259" spans="1:13" x14ac:dyDescent="0.25">
      <c r="A259" s="170"/>
      <c r="G259" s="140"/>
      <c r="H259" s="154">
        <v>254</v>
      </c>
      <c r="I259" s="155" t="str">
        <f t="shared" si="17"/>
        <v/>
      </c>
      <c r="J259" s="154">
        <f t="shared" si="18"/>
        <v>-6</v>
      </c>
      <c r="K259" s="154">
        <f t="shared" si="15"/>
        <v>-60</v>
      </c>
      <c r="L259" s="154"/>
      <c r="M259" s="156">
        <f t="shared" si="16"/>
        <v>0</v>
      </c>
    </row>
    <row r="260" spans="1:13" x14ac:dyDescent="0.25">
      <c r="A260" s="170"/>
      <c r="G260" s="140"/>
      <c r="H260" s="154">
        <v>255</v>
      </c>
      <c r="I260" s="155" t="str">
        <f t="shared" si="17"/>
        <v/>
      </c>
      <c r="J260" s="154">
        <f t="shared" si="18"/>
        <v>-6</v>
      </c>
      <c r="K260" s="154">
        <f t="shared" si="15"/>
        <v>-60</v>
      </c>
      <c r="L260" s="154"/>
      <c r="M260" s="156">
        <f t="shared" si="16"/>
        <v>0</v>
      </c>
    </row>
    <row r="261" spans="1:13" x14ac:dyDescent="0.25">
      <c r="A261" s="170"/>
      <c r="G261" s="140"/>
      <c r="H261" s="154">
        <v>256</v>
      </c>
      <c r="I261" s="155" t="str">
        <f t="shared" si="17"/>
        <v/>
      </c>
      <c r="J261" s="154">
        <f t="shared" si="18"/>
        <v>-6</v>
      </c>
      <c r="K261" s="154">
        <f t="shared" si="15"/>
        <v>-60</v>
      </c>
      <c r="L261" s="154"/>
      <c r="M261" s="156">
        <f t="shared" si="16"/>
        <v>0</v>
      </c>
    </row>
    <row r="262" spans="1:13" x14ac:dyDescent="0.25">
      <c r="A262" s="170"/>
      <c r="G262" s="140"/>
      <c r="H262" s="154">
        <v>257</v>
      </c>
      <c r="I262" s="155" t="str">
        <f t="shared" si="17"/>
        <v/>
      </c>
      <c r="J262" s="154">
        <f t="shared" si="18"/>
        <v>-7</v>
      </c>
      <c r="K262" s="154">
        <f t="shared" ref="K262:K305" si="19">J262*$J$2</f>
        <v>-70</v>
      </c>
      <c r="L262" s="154"/>
      <c r="M262" s="156">
        <f t="shared" ref="M262:M305" si="20">IF(I262&lt;&gt;"",K262+I262+L262,0)</f>
        <v>0</v>
      </c>
    </row>
    <row r="263" spans="1:13" x14ac:dyDescent="0.25">
      <c r="A263" s="170"/>
      <c r="G263" s="140"/>
      <c r="H263" s="154">
        <v>258</v>
      </c>
      <c r="I263" s="155" t="str">
        <f t="shared" ref="I263:I305" si="21">IF(H263&lt;$H$2+1,($I$2-($I$2-1)*(LOG(H263)/LOG($H$2))),"")</f>
        <v/>
      </c>
      <c r="J263" s="154">
        <f t="shared" ref="J263:J305" si="22">INT(LOG($H$2,2))-ROUNDUP(LOG(H263,2),0)+IF(OR($H$2=1,$H$2=2,$H$2=4,$H$2=8,$H$2=16,$H$2=32,$H$2=64,$H$2=128,$H$2=256),0,1)</f>
        <v>-7</v>
      </c>
      <c r="K263" s="154">
        <f t="shared" si="19"/>
        <v>-70</v>
      </c>
      <c r="L263" s="154"/>
      <c r="M263" s="156">
        <f t="shared" si="20"/>
        <v>0</v>
      </c>
    </row>
    <row r="264" spans="1:13" x14ac:dyDescent="0.25">
      <c r="A264" s="170"/>
      <c r="G264" s="140"/>
      <c r="H264" s="154">
        <v>259</v>
      </c>
      <c r="I264" s="155" t="str">
        <f t="shared" si="21"/>
        <v/>
      </c>
      <c r="J264" s="154">
        <f t="shared" si="22"/>
        <v>-7</v>
      </c>
      <c r="K264" s="154">
        <f t="shared" si="19"/>
        <v>-70</v>
      </c>
      <c r="L264" s="154"/>
      <c r="M264" s="156">
        <f t="shared" si="20"/>
        <v>0</v>
      </c>
    </row>
    <row r="265" spans="1:13" x14ac:dyDescent="0.25">
      <c r="A265" s="170"/>
      <c r="G265" s="140"/>
      <c r="H265" s="154">
        <v>260</v>
      </c>
      <c r="I265" s="155" t="str">
        <f t="shared" si="21"/>
        <v/>
      </c>
      <c r="J265" s="154">
        <f t="shared" si="22"/>
        <v>-7</v>
      </c>
      <c r="K265" s="154">
        <f t="shared" si="19"/>
        <v>-70</v>
      </c>
      <c r="L265" s="154"/>
      <c r="M265" s="156">
        <f t="shared" si="20"/>
        <v>0</v>
      </c>
    </row>
    <row r="266" spans="1:13" x14ac:dyDescent="0.25">
      <c r="A266" s="170"/>
      <c r="G266" s="140"/>
      <c r="H266" s="154">
        <v>261</v>
      </c>
      <c r="I266" s="155" t="str">
        <f t="shared" si="21"/>
        <v/>
      </c>
      <c r="J266" s="154">
        <f t="shared" si="22"/>
        <v>-7</v>
      </c>
      <c r="K266" s="154">
        <f t="shared" si="19"/>
        <v>-70</v>
      </c>
      <c r="L266" s="154"/>
      <c r="M266" s="156">
        <f t="shared" si="20"/>
        <v>0</v>
      </c>
    </row>
    <row r="267" spans="1:13" x14ac:dyDescent="0.25">
      <c r="A267" s="170"/>
      <c r="G267" s="140"/>
      <c r="H267" s="154">
        <v>262</v>
      </c>
      <c r="I267" s="155" t="str">
        <f t="shared" si="21"/>
        <v/>
      </c>
      <c r="J267" s="154">
        <f t="shared" si="22"/>
        <v>-7</v>
      </c>
      <c r="K267" s="154">
        <f t="shared" si="19"/>
        <v>-70</v>
      </c>
      <c r="L267" s="154"/>
      <c r="M267" s="156">
        <f t="shared" si="20"/>
        <v>0</v>
      </c>
    </row>
    <row r="268" spans="1:13" x14ac:dyDescent="0.25">
      <c r="A268" s="170"/>
      <c r="G268" s="140"/>
      <c r="H268" s="154">
        <v>263</v>
      </c>
      <c r="I268" s="155" t="str">
        <f t="shared" si="21"/>
        <v/>
      </c>
      <c r="J268" s="154">
        <f t="shared" si="22"/>
        <v>-7</v>
      </c>
      <c r="K268" s="154">
        <f t="shared" si="19"/>
        <v>-70</v>
      </c>
      <c r="L268" s="154"/>
      <c r="M268" s="156">
        <f t="shared" si="20"/>
        <v>0</v>
      </c>
    </row>
    <row r="269" spans="1:13" x14ac:dyDescent="0.25">
      <c r="A269" s="170"/>
      <c r="G269" s="140"/>
      <c r="H269" s="154">
        <v>264</v>
      </c>
      <c r="I269" s="155" t="str">
        <f t="shared" si="21"/>
        <v/>
      </c>
      <c r="J269" s="154">
        <f t="shared" si="22"/>
        <v>-7</v>
      </c>
      <c r="K269" s="154">
        <f t="shared" si="19"/>
        <v>-70</v>
      </c>
      <c r="L269" s="154"/>
      <c r="M269" s="156">
        <f t="shared" si="20"/>
        <v>0</v>
      </c>
    </row>
    <row r="270" spans="1:13" x14ac:dyDescent="0.25">
      <c r="A270" s="170"/>
      <c r="G270" s="140"/>
      <c r="H270" s="154">
        <v>265</v>
      </c>
      <c r="I270" s="155" t="str">
        <f t="shared" si="21"/>
        <v/>
      </c>
      <c r="J270" s="154">
        <f t="shared" si="22"/>
        <v>-7</v>
      </c>
      <c r="K270" s="154">
        <f t="shared" si="19"/>
        <v>-70</v>
      </c>
      <c r="L270" s="154"/>
      <c r="M270" s="156">
        <f t="shared" si="20"/>
        <v>0</v>
      </c>
    </row>
    <row r="271" spans="1:13" x14ac:dyDescent="0.25">
      <c r="A271" s="170"/>
      <c r="G271" s="140"/>
      <c r="H271" s="154">
        <v>266</v>
      </c>
      <c r="I271" s="155" t="str">
        <f t="shared" si="21"/>
        <v/>
      </c>
      <c r="J271" s="154">
        <f t="shared" si="22"/>
        <v>-7</v>
      </c>
      <c r="K271" s="154">
        <f t="shared" si="19"/>
        <v>-70</v>
      </c>
      <c r="L271" s="154"/>
      <c r="M271" s="156">
        <f t="shared" si="20"/>
        <v>0</v>
      </c>
    </row>
    <row r="272" spans="1:13" x14ac:dyDescent="0.25">
      <c r="A272" s="170"/>
      <c r="G272" s="140"/>
      <c r="H272" s="154">
        <v>267</v>
      </c>
      <c r="I272" s="155" t="str">
        <f t="shared" si="21"/>
        <v/>
      </c>
      <c r="J272" s="154">
        <f t="shared" si="22"/>
        <v>-7</v>
      </c>
      <c r="K272" s="154">
        <f t="shared" si="19"/>
        <v>-70</v>
      </c>
      <c r="L272" s="154"/>
      <c r="M272" s="156">
        <f t="shared" si="20"/>
        <v>0</v>
      </c>
    </row>
    <row r="273" spans="1:13" x14ac:dyDescent="0.25">
      <c r="A273" s="170"/>
      <c r="G273" s="140"/>
      <c r="H273" s="154">
        <v>268</v>
      </c>
      <c r="I273" s="155" t="str">
        <f t="shared" si="21"/>
        <v/>
      </c>
      <c r="J273" s="154">
        <f t="shared" si="22"/>
        <v>-7</v>
      </c>
      <c r="K273" s="154">
        <f t="shared" si="19"/>
        <v>-70</v>
      </c>
      <c r="L273" s="154"/>
      <c r="M273" s="156">
        <f t="shared" si="20"/>
        <v>0</v>
      </c>
    </row>
    <row r="274" spans="1:13" x14ac:dyDescent="0.25">
      <c r="A274" s="170"/>
      <c r="G274" s="140"/>
      <c r="H274" s="154">
        <v>269</v>
      </c>
      <c r="I274" s="155" t="str">
        <f t="shared" si="21"/>
        <v/>
      </c>
      <c r="J274" s="154">
        <f t="shared" si="22"/>
        <v>-7</v>
      </c>
      <c r="K274" s="154">
        <f t="shared" si="19"/>
        <v>-70</v>
      </c>
      <c r="L274" s="154"/>
      <c r="M274" s="156">
        <f t="shared" si="20"/>
        <v>0</v>
      </c>
    </row>
    <row r="275" spans="1:13" x14ac:dyDescent="0.25">
      <c r="A275" s="170"/>
      <c r="G275" s="140"/>
      <c r="H275" s="154">
        <v>270</v>
      </c>
      <c r="I275" s="155" t="str">
        <f t="shared" si="21"/>
        <v/>
      </c>
      <c r="J275" s="154">
        <f t="shared" si="22"/>
        <v>-7</v>
      </c>
      <c r="K275" s="154">
        <f t="shared" si="19"/>
        <v>-70</v>
      </c>
      <c r="L275" s="154"/>
      <c r="M275" s="156">
        <f t="shared" si="20"/>
        <v>0</v>
      </c>
    </row>
    <row r="276" spans="1:13" x14ac:dyDescent="0.25">
      <c r="A276" s="170"/>
      <c r="G276" s="140"/>
      <c r="H276" s="154">
        <v>271</v>
      </c>
      <c r="I276" s="155" t="str">
        <f t="shared" si="21"/>
        <v/>
      </c>
      <c r="J276" s="154">
        <f t="shared" si="22"/>
        <v>-7</v>
      </c>
      <c r="K276" s="154">
        <f t="shared" si="19"/>
        <v>-70</v>
      </c>
      <c r="L276" s="154"/>
      <c r="M276" s="156">
        <f t="shared" si="20"/>
        <v>0</v>
      </c>
    </row>
    <row r="277" spans="1:13" x14ac:dyDescent="0.25">
      <c r="A277" s="170"/>
      <c r="G277" s="140"/>
      <c r="H277" s="154">
        <v>272</v>
      </c>
      <c r="I277" s="155" t="str">
        <f t="shared" si="21"/>
        <v/>
      </c>
      <c r="J277" s="154">
        <f t="shared" si="22"/>
        <v>-7</v>
      </c>
      <c r="K277" s="154">
        <f t="shared" si="19"/>
        <v>-70</v>
      </c>
      <c r="L277" s="154"/>
      <c r="M277" s="156">
        <f t="shared" si="20"/>
        <v>0</v>
      </c>
    </row>
    <row r="278" spans="1:13" x14ac:dyDescent="0.25">
      <c r="A278" s="170"/>
      <c r="G278" s="140"/>
      <c r="H278" s="154">
        <v>273</v>
      </c>
      <c r="I278" s="155" t="str">
        <f t="shared" si="21"/>
        <v/>
      </c>
      <c r="J278" s="154">
        <f t="shared" si="22"/>
        <v>-7</v>
      </c>
      <c r="K278" s="154">
        <f t="shared" si="19"/>
        <v>-70</v>
      </c>
      <c r="L278" s="154"/>
      <c r="M278" s="156">
        <f t="shared" si="20"/>
        <v>0</v>
      </c>
    </row>
    <row r="279" spans="1:13" x14ac:dyDescent="0.25">
      <c r="A279" s="170"/>
      <c r="G279" s="140"/>
      <c r="H279" s="154">
        <v>274</v>
      </c>
      <c r="I279" s="155" t="str">
        <f t="shared" si="21"/>
        <v/>
      </c>
      <c r="J279" s="154">
        <f t="shared" si="22"/>
        <v>-7</v>
      </c>
      <c r="K279" s="154">
        <f t="shared" si="19"/>
        <v>-70</v>
      </c>
      <c r="L279" s="154"/>
      <c r="M279" s="156">
        <f t="shared" si="20"/>
        <v>0</v>
      </c>
    </row>
    <row r="280" spans="1:13" x14ac:dyDescent="0.25">
      <c r="A280" s="170"/>
      <c r="G280" s="140"/>
      <c r="H280" s="154">
        <v>275</v>
      </c>
      <c r="I280" s="155" t="str">
        <f t="shared" si="21"/>
        <v/>
      </c>
      <c r="J280" s="154">
        <f t="shared" si="22"/>
        <v>-7</v>
      </c>
      <c r="K280" s="154">
        <f t="shared" si="19"/>
        <v>-70</v>
      </c>
      <c r="L280" s="154"/>
      <c r="M280" s="156">
        <f t="shared" si="20"/>
        <v>0</v>
      </c>
    </row>
    <row r="281" spans="1:13" x14ac:dyDescent="0.25">
      <c r="A281" s="170"/>
      <c r="G281" s="140"/>
      <c r="H281" s="154">
        <v>276</v>
      </c>
      <c r="I281" s="155" t="str">
        <f t="shared" si="21"/>
        <v/>
      </c>
      <c r="J281" s="154">
        <f t="shared" si="22"/>
        <v>-7</v>
      </c>
      <c r="K281" s="154">
        <f t="shared" si="19"/>
        <v>-70</v>
      </c>
      <c r="L281" s="154"/>
      <c r="M281" s="156">
        <f t="shared" si="20"/>
        <v>0</v>
      </c>
    </row>
    <row r="282" spans="1:13" x14ac:dyDescent="0.25">
      <c r="A282" s="170"/>
      <c r="G282" s="140"/>
      <c r="H282" s="154">
        <v>277</v>
      </c>
      <c r="I282" s="155" t="str">
        <f t="shared" si="21"/>
        <v/>
      </c>
      <c r="J282" s="154">
        <f t="shared" si="22"/>
        <v>-7</v>
      </c>
      <c r="K282" s="154">
        <f t="shared" si="19"/>
        <v>-70</v>
      </c>
      <c r="L282" s="154"/>
      <c r="M282" s="156">
        <f t="shared" si="20"/>
        <v>0</v>
      </c>
    </row>
    <row r="283" spans="1:13" x14ac:dyDescent="0.25">
      <c r="A283" s="170"/>
      <c r="G283" s="140"/>
      <c r="H283" s="154">
        <v>278</v>
      </c>
      <c r="I283" s="155" t="str">
        <f t="shared" si="21"/>
        <v/>
      </c>
      <c r="J283" s="154">
        <f t="shared" si="22"/>
        <v>-7</v>
      </c>
      <c r="K283" s="154">
        <f t="shared" si="19"/>
        <v>-70</v>
      </c>
      <c r="L283" s="154"/>
      <c r="M283" s="156">
        <f t="shared" si="20"/>
        <v>0</v>
      </c>
    </row>
    <row r="284" spans="1:13" x14ac:dyDescent="0.25">
      <c r="A284" s="170"/>
      <c r="G284" s="140"/>
      <c r="H284" s="154">
        <v>279</v>
      </c>
      <c r="I284" s="155" t="str">
        <f t="shared" si="21"/>
        <v/>
      </c>
      <c r="J284" s="154">
        <f t="shared" si="22"/>
        <v>-7</v>
      </c>
      <c r="K284" s="154">
        <f t="shared" si="19"/>
        <v>-70</v>
      </c>
      <c r="L284" s="154"/>
      <c r="M284" s="156">
        <f t="shared" si="20"/>
        <v>0</v>
      </c>
    </row>
    <row r="285" spans="1:13" x14ac:dyDescent="0.25">
      <c r="A285" s="170"/>
      <c r="G285" s="140"/>
      <c r="H285" s="154">
        <v>280</v>
      </c>
      <c r="I285" s="155" t="str">
        <f t="shared" si="21"/>
        <v/>
      </c>
      <c r="J285" s="154">
        <f t="shared" si="22"/>
        <v>-7</v>
      </c>
      <c r="K285" s="154">
        <f t="shared" si="19"/>
        <v>-70</v>
      </c>
      <c r="L285" s="154"/>
      <c r="M285" s="156">
        <f t="shared" si="20"/>
        <v>0</v>
      </c>
    </row>
    <row r="286" spans="1:13" x14ac:dyDescent="0.25">
      <c r="A286" s="170"/>
      <c r="G286" s="140"/>
      <c r="H286" s="154">
        <v>281</v>
      </c>
      <c r="I286" s="155" t="str">
        <f t="shared" si="21"/>
        <v/>
      </c>
      <c r="J286" s="154">
        <f t="shared" si="22"/>
        <v>-7</v>
      </c>
      <c r="K286" s="154">
        <f t="shared" si="19"/>
        <v>-70</v>
      </c>
      <c r="L286" s="154"/>
      <c r="M286" s="156">
        <f t="shared" si="20"/>
        <v>0</v>
      </c>
    </row>
    <row r="287" spans="1:13" x14ac:dyDescent="0.25">
      <c r="A287" s="170"/>
      <c r="G287" s="140"/>
      <c r="H287" s="154">
        <v>282</v>
      </c>
      <c r="I287" s="155" t="str">
        <f t="shared" si="21"/>
        <v/>
      </c>
      <c r="J287" s="154">
        <f t="shared" si="22"/>
        <v>-7</v>
      </c>
      <c r="K287" s="154">
        <f t="shared" si="19"/>
        <v>-70</v>
      </c>
      <c r="L287" s="154"/>
      <c r="M287" s="156">
        <f t="shared" si="20"/>
        <v>0</v>
      </c>
    </row>
    <row r="288" spans="1:13" x14ac:dyDescent="0.25">
      <c r="A288" s="170"/>
      <c r="G288" s="140"/>
      <c r="H288" s="154">
        <v>283</v>
      </c>
      <c r="I288" s="155" t="str">
        <f t="shared" si="21"/>
        <v/>
      </c>
      <c r="J288" s="154">
        <f t="shared" si="22"/>
        <v>-7</v>
      </c>
      <c r="K288" s="154">
        <f t="shared" si="19"/>
        <v>-70</v>
      </c>
      <c r="L288" s="154"/>
      <c r="M288" s="156">
        <f t="shared" si="20"/>
        <v>0</v>
      </c>
    </row>
    <row r="289" spans="1:13" x14ac:dyDescent="0.25">
      <c r="A289" s="170"/>
      <c r="G289" s="140"/>
      <c r="H289" s="154">
        <v>284</v>
      </c>
      <c r="I289" s="155" t="str">
        <f t="shared" si="21"/>
        <v/>
      </c>
      <c r="J289" s="154">
        <f t="shared" si="22"/>
        <v>-7</v>
      </c>
      <c r="K289" s="154">
        <f t="shared" si="19"/>
        <v>-70</v>
      </c>
      <c r="L289" s="154"/>
      <c r="M289" s="156">
        <f t="shared" si="20"/>
        <v>0</v>
      </c>
    </row>
    <row r="290" spans="1:13" x14ac:dyDescent="0.25">
      <c r="A290" s="170"/>
      <c r="G290" s="140"/>
      <c r="H290" s="154">
        <v>285</v>
      </c>
      <c r="I290" s="155" t="str">
        <f t="shared" si="21"/>
        <v/>
      </c>
      <c r="J290" s="154">
        <f t="shared" si="22"/>
        <v>-7</v>
      </c>
      <c r="K290" s="154">
        <f t="shared" si="19"/>
        <v>-70</v>
      </c>
      <c r="L290" s="154"/>
      <c r="M290" s="156">
        <f t="shared" si="20"/>
        <v>0</v>
      </c>
    </row>
    <row r="291" spans="1:13" x14ac:dyDescent="0.25">
      <c r="A291" s="170"/>
      <c r="G291" s="140"/>
      <c r="H291" s="154">
        <v>286</v>
      </c>
      <c r="I291" s="155" t="str">
        <f t="shared" si="21"/>
        <v/>
      </c>
      <c r="J291" s="154">
        <f t="shared" si="22"/>
        <v>-7</v>
      </c>
      <c r="K291" s="154">
        <f t="shared" si="19"/>
        <v>-70</v>
      </c>
      <c r="L291" s="154"/>
      <c r="M291" s="156">
        <f t="shared" si="20"/>
        <v>0</v>
      </c>
    </row>
    <row r="292" spans="1:13" x14ac:dyDescent="0.25">
      <c r="A292" s="170"/>
      <c r="G292" s="140"/>
      <c r="H292" s="154">
        <v>287</v>
      </c>
      <c r="I292" s="155" t="str">
        <f t="shared" si="21"/>
        <v/>
      </c>
      <c r="J292" s="154">
        <f t="shared" si="22"/>
        <v>-7</v>
      </c>
      <c r="K292" s="154">
        <f t="shared" si="19"/>
        <v>-70</v>
      </c>
      <c r="L292" s="154"/>
      <c r="M292" s="156">
        <f t="shared" si="20"/>
        <v>0</v>
      </c>
    </row>
    <row r="293" spans="1:13" x14ac:dyDescent="0.25">
      <c r="A293" s="170"/>
      <c r="G293" s="140"/>
      <c r="H293" s="154">
        <v>288</v>
      </c>
      <c r="I293" s="155" t="str">
        <f t="shared" si="21"/>
        <v/>
      </c>
      <c r="J293" s="154">
        <f t="shared" si="22"/>
        <v>-7</v>
      </c>
      <c r="K293" s="154">
        <f t="shared" si="19"/>
        <v>-70</v>
      </c>
      <c r="L293" s="154"/>
      <c r="M293" s="156">
        <f t="shared" si="20"/>
        <v>0</v>
      </c>
    </row>
    <row r="294" spans="1:13" x14ac:dyDescent="0.25">
      <c r="A294" s="170"/>
      <c r="G294" s="140"/>
      <c r="H294" s="154">
        <v>289</v>
      </c>
      <c r="I294" s="155" t="str">
        <f t="shared" si="21"/>
        <v/>
      </c>
      <c r="J294" s="154">
        <f t="shared" si="22"/>
        <v>-7</v>
      </c>
      <c r="K294" s="154">
        <f t="shared" si="19"/>
        <v>-70</v>
      </c>
      <c r="L294" s="154"/>
      <c r="M294" s="156">
        <f t="shared" si="20"/>
        <v>0</v>
      </c>
    </row>
    <row r="295" spans="1:13" x14ac:dyDescent="0.25">
      <c r="A295" s="170"/>
      <c r="G295" s="140"/>
      <c r="H295" s="154">
        <v>290</v>
      </c>
      <c r="I295" s="155" t="str">
        <f t="shared" si="21"/>
        <v/>
      </c>
      <c r="J295" s="154">
        <f t="shared" si="22"/>
        <v>-7</v>
      </c>
      <c r="K295" s="154">
        <f t="shared" si="19"/>
        <v>-70</v>
      </c>
      <c r="L295" s="154"/>
      <c r="M295" s="156">
        <f t="shared" si="20"/>
        <v>0</v>
      </c>
    </row>
    <row r="296" spans="1:13" x14ac:dyDescent="0.25">
      <c r="A296" s="170"/>
      <c r="G296" s="140"/>
      <c r="H296" s="154">
        <v>291</v>
      </c>
      <c r="I296" s="155" t="str">
        <f t="shared" si="21"/>
        <v/>
      </c>
      <c r="J296" s="154">
        <f t="shared" si="22"/>
        <v>-7</v>
      </c>
      <c r="K296" s="154">
        <f t="shared" si="19"/>
        <v>-70</v>
      </c>
      <c r="L296" s="154"/>
      <c r="M296" s="156">
        <f t="shared" si="20"/>
        <v>0</v>
      </c>
    </row>
    <row r="297" spans="1:13" x14ac:dyDescent="0.25">
      <c r="A297" s="170"/>
      <c r="G297" s="140"/>
      <c r="H297" s="154">
        <v>292</v>
      </c>
      <c r="I297" s="155" t="str">
        <f t="shared" si="21"/>
        <v/>
      </c>
      <c r="J297" s="154">
        <f t="shared" si="22"/>
        <v>-7</v>
      </c>
      <c r="K297" s="154">
        <f t="shared" si="19"/>
        <v>-70</v>
      </c>
      <c r="L297" s="154"/>
      <c r="M297" s="156">
        <f t="shared" si="20"/>
        <v>0</v>
      </c>
    </row>
    <row r="298" spans="1:13" x14ac:dyDescent="0.25">
      <c r="A298" s="170"/>
      <c r="G298" s="140"/>
      <c r="H298" s="154">
        <v>293</v>
      </c>
      <c r="I298" s="155" t="str">
        <f t="shared" si="21"/>
        <v/>
      </c>
      <c r="J298" s="154">
        <f t="shared" si="22"/>
        <v>-7</v>
      </c>
      <c r="K298" s="154">
        <f t="shared" si="19"/>
        <v>-70</v>
      </c>
      <c r="L298" s="154"/>
      <c r="M298" s="156">
        <f t="shared" si="20"/>
        <v>0</v>
      </c>
    </row>
    <row r="299" spans="1:13" x14ac:dyDescent="0.25">
      <c r="A299" s="170"/>
      <c r="G299" s="140"/>
      <c r="H299" s="154">
        <v>294</v>
      </c>
      <c r="I299" s="155" t="str">
        <f t="shared" si="21"/>
        <v/>
      </c>
      <c r="J299" s="154">
        <f t="shared" si="22"/>
        <v>-7</v>
      </c>
      <c r="K299" s="154">
        <f t="shared" si="19"/>
        <v>-70</v>
      </c>
      <c r="L299" s="154"/>
      <c r="M299" s="156">
        <f t="shared" si="20"/>
        <v>0</v>
      </c>
    </row>
    <row r="300" spans="1:13" x14ac:dyDescent="0.25">
      <c r="A300" s="170"/>
      <c r="G300" s="140"/>
      <c r="H300" s="154">
        <v>295</v>
      </c>
      <c r="I300" s="155" t="str">
        <f t="shared" si="21"/>
        <v/>
      </c>
      <c r="J300" s="154">
        <f t="shared" si="22"/>
        <v>-7</v>
      </c>
      <c r="K300" s="154">
        <f t="shared" si="19"/>
        <v>-70</v>
      </c>
      <c r="L300" s="154"/>
      <c r="M300" s="156">
        <f t="shared" si="20"/>
        <v>0</v>
      </c>
    </row>
    <row r="301" spans="1:13" x14ac:dyDescent="0.25">
      <c r="A301" s="170"/>
      <c r="G301" s="140"/>
      <c r="H301" s="154">
        <v>296</v>
      </c>
      <c r="I301" s="155" t="str">
        <f t="shared" si="21"/>
        <v/>
      </c>
      <c r="J301" s="154">
        <f t="shared" si="22"/>
        <v>-7</v>
      </c>
      <c r="K301" s="154">
        <f t="shared" si="19"/>
        <v>-70</v>
      </c>
      <c r="L301" s="154"/>
      <c r="M301" s="156">
        <f t="shared" si="20"/>
        <v>0</v>
      </c>
    </row>
    <row r="302" spans="1:13" x14ac:dyDescent="0.25">
      <c r="A302" s="170"/>
      <c r="G302" s="140"/>
      <c r="H302" s="154">
        <v>297</v>
      </c>
      <c r="I302" s="155" t="str">
        <f t="shared" si="21"/>
        <v/>
      </c>
      <c r="J302" s="154">
        <f t="shared" si="22"/>
        <v>-7</v>
      </c>
      <c r="K302" s="154">
        <f t="shared" si="19"/>
        <v>-70</v>
      </c>
      <c r="L302" s="154"/>
      <c r="M302" s="156">
        <f t="shared" si="20"/>
        <v>0</v>
      </c>
    </row>
    <row r="303" spans="1:13" x14ac:dyDescent="0.25">
      <c r="A303" s="170"/>
      <c r="G303" s="140"/>
      <c r="H303" s="154">
        <v>298</v>
      </c>
      <c r="I303" s="155" t="str">
        <f t="shared" si="21"/>
        <v/>
      </c>
      <c r="J303" s="154">
        <f t="shared" si="22"/>
        <v>-7</v>
      </c>
      <c r="K303" s="154">
        <f t="shared" si="19"/>
        <v>-70</v>
      </c>
      <c r="L303" s="154"/>
      <c r="M303" s="156">
        <f t="shared" si="20"/>
        <v>0</v>
      </c>
    </row>
    <row r="304" spans="1:13" x14ac:dyDescent="0.25">
      <c r="A304" s="170"/>
      <c r="G304" s="140"/>
      <c r="H304" s="154">
        <v>299</v>
      </c>
      <c r="I304" s="155" t="str">
        <f t="shared" si="21"/>
        <v/>
      </c>
      <c r="J304" s="154">
        <f t="shared" si="22"/>
        <v>-7</v>
      </c>
      <c r="K304" s="154">
        <f t="shared" si="19"/>
        <v>-70</v>
      </c>
      <c r="L304" s="154"/>
      <c r="M304" s="156">
        <f t="shared" si="20"/>
        <v>0</v>
      </c>
    </row>
    <row r="305" spans="1:16" x14ac:dyDescent="0.25">
      <c r="A305" s="170"/>
      <c r="G305" s="140"/>
      <c r="H305" s="154">
        <v>300</v>
      </c>
      <c r="I305" s="155" t="str">
        <f t="shared" si="21"/>
        <v/>
      </c>
      <c r="J305" s="154">
        <f t="shared" si="22"/>
        <v>-7</v>
      </c>
      <c r="K305" s="154">
        <f t="shared" si="19"/>
        <v>-70</v>
      </c>
      <c r="L305" s="154"/>
      <c r="M305" s="156">
        <f t="shared" si="20"/>
        <v>0</v>
      </c>
    </row>
    <row r="306" spans="1:16" x14ac:dyDescent="0.25">
      <c r="A306" s="172"/>
    </row>
    <row r="314" spans="1:16" x14ac:dyDescent="0.25">
      <c r="L314" s="175"/>
      <c r="P314" s="165"/>
    </row>
    <row r="315" spans="1:16" x14ac:dyDescent="0.25">
      <c r="L315" s="175"/>
      <c r="P315" s="165"/>
    </row>
    <row r="316" spans="1:16" x14ac:dyDescent="0.25">
      <c r="L316" s="175"/>
      <c r="P316" s="165"/>
    </row>
    <row r="317" spans="1:16" x14ac:dyDescent="0.25">
      <c r="L317" s="175"/>
      <c r="P317" s="165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77066A8E-9C1E-44EF-A102-60A76AB7E1D3}">
      <formula1>#REF!</formula1>
    </dataValidation>
  </dataValidations>
  <hyperlinks>
    <hyperlink ref="C2" r:id="rId1" xr:uid="{AFD14611-5AB5-42DF-8C39-C7528158BD52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76B-B3B1-4161-AE9C-8EF20E32FA55}">
  <sheetPr>
    <tabColor rgb="FF92D050"/>
  </sheetPr>
  <dimension ref="A1:AM317"/>
  <sheetViews>
    <sheetView workbookViewId="0">
      <selection activeCell="C15" sqref="C15"/>
    </sheetView>
  </sheetViews>
  <sheetFormatPr defaultColWidth="8.875" defaultRowHeight="14.3" x14ac:dyDescent="0.25"/>
  <cols>
    <col min="1" max="1" width="8" style="60" customWidth="1"/>
    <col min="2" max="2" width="8.25" style="60" customWidth="1"/>
    <col min="3" max="3" width="34.75" style="60" customWidth="1"/>
    <col min="4" max="4" width="11.25" style="60" customWidth="1"/>
    <col min="5" max="6" width="8.875" style="60"/>
    <col min="7" max="7" width="0.875" style="60" customWidth="1"/>
    <col min="8" max="8" width="8.875" style="62"/>
    <col min="9" max="9" width="11" style="62" customWidth="1"/>
    <col min="10" max="10" width="14" style="62" bestFit="1" customWidth="1"/>
    <col min="11" max="11" width="8.75" style="62" customWidth="1"/>
    <col min="12" max="12" width="11" style="62" customWidth="1"/>
    <col min="13" max="13" width="11.75" style="62" customWidth="1"/>
    <col min="14" max="14" width="11.75" style="63" customWidth="1"/>
    <col min="15" max="16" width="13.875" style="16" customWidth="1"/>
    <col min="17" max="19" width="8.875" style="16"/>
    <col min="20" max="21" width="8.875" style="21"/>
    <col min="22" max="22" width="12.125" style="21" customWidth="1"/>
    <col min="23" max="23" width="27.375" style="21" customWidth="1"/>
    <col min="24" max="39" width="8.875" style="21"/>
    <col min="40" max="16384" width="8.875" style="60"/>
  </cols>
  <sheetData>
    <row r="1" spans="1:37" x14ac:dyDescent="0.25">
      <c r="A1" s="16"/>
      <c r="B1" s="16"/>
      <c r="C1" s="16"/>
      <c r="D1" s="16"/>
      <c r="E1" s="16"/>
      <c r="F1" s="16"/>
      <c r="G1" s="16"/>
      <c r="H1" s="17" t="s">
        <v>26</v>
      </c>
      <c r="I1" s="18" t="s">
        <v>27</v>
      </c>
      <c r="J1" s="18" t="s">
        <v>28</v>
      </c>
      <c r="K1" s="19" t="s">
        <v>102</v>
      </c>
      <c r="L1" s="65" t="s">
        <v>103</v>
      </c>
      <c r="M1" s="66"/>
      <c r="N1" s="20"/>
    </row>
    <row r="2" spans="1:37" x14ac:dyDescent="0.25">
      <c r="A2" s="16"/>
      <c r="B2" s="22" t="s">
        <v>30</v>
      </c>
      <c r="C2" s="289" t="s">
        <v>104</v>
      </c>
      <c r="D2" s="289"/>
      <c r="E2" s="23"/>
      <c r="F2" s="23"/>
      <c r="G2" s="23"/>
      <c r="H2" s="24">
        <v>4</v>
      </c>
      <c r="I2" s="25">
        <v>50</v>
      </c>
      <c r="J2" s="25">
        <v>10</v>
      </c>
      <c r="K2" s="26">
        <f>3*H2^(1/3)</f>
        <v>4.7622031559045981</v>
      </c>
      <c r="L2" s="67">
        <f>1.2</f>
        <v>1.2</v>
      </c>
      <c r="M2" s="20"/>
      <c r="N2" s="20"/>
    </row>
    <row r="3" spans="1:37" x14ac:dyDescent="0.25">
      <c r="A3" s="16"/>
      <c r="B3" s="27" t="s">
        <v>32</v>
      </c>
      <c r="C3" s="290" t="s">
        <v>105</v>
      </c>
      <c r="D3" s="290"/>
      <c r="E3" s="28"/>
      <c r="F3" s="28"/>
      <c r="G3" s="28"/>
      <c r="H3" s="20"/>
      <c r="I3" s="20"/>
      <c r="J3" s="29"/>
      <c r="K3" s="20"/>
      <c r="L3" s="20"/>
      <c r="M3" s="20"/>
      <c r="N3" s="20"/>
    </row>
    <row r="4" spans="1:37" ht="10.199999999999999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0"/>
    </row>
    <row r="5" spans="1:37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32" t="s">
        <v>40</v>
      </c>
      <c r="I5" s="33" t="s">
        <v>41</v>
      </c>
      <c r="J5" s="34" t="s">
        <v>42</v>
      </c>
      <c r="K5" s="33" t="s">
        <v>43</v>
      </c>
      <c r="L5" s="33" t="s">
        <v>44</v>
      </c>
      <c r="M5" s="32" t="s">
        <v>45</v>
      </c>
      <c r="N5" s="32" t="s">
        <v>106</v>
      </c>
    </row>
    <row r="6" spans="1:37" ht="14.45" customHeight="1" x14ac:dyDescent="0.25">
      <c r="A6" s="35">
        <f t="shared" ref="A6:A18" si="0">N6</f>
        <v>101.14393136125655</v>
      </c>
      <c r="B6" s="36">
        <f t="shared" ref="B6:B18" si="1">IF(H6&gt;$H$2,"",(ROW()-5))</f>
        <v>1</v>
      </c>
      <c r="C6" s="37" t="s">
        <v>19</v>
      </c>
      <c r="D6" s="37" t="s">
        <v>46</v>
      </c>
      <c r="E6" s="37"/>
      <c r="F6" s="37" t="s">
        <v>73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2">J6*$J$2</f>
        <v>20</v>
      </c>
      <c r="L6" s="40">
        <f>3*K2</f>
        <v>14.286609467713795</v>
      </c>
      <c r="M6" s="40">
        <f t="shared" ref="M6:M69" si="3">IF(I6&lt;&gt;"",K6+I6+L6,0)</f>
        <v>84.286609467713788</v>
      </c>
      <c r="N6" s="40">
        <f t="shared" ref="N6:N69" si="4">IF(I6&lt;&gt;"",M6*L$2,0)</f>
        <v>101.14393136125655</v>
      </c>
    </row>
    <row r="7" spans="1:37" ht="14.45" customHeight="1" x14ac:dyDescent="0.25">
      <c r="A7" s="41">
        <f t="shared" si="0"/>
        <v>54.029287574171029</v>
      </c>
      <c r="B7" s="42">
        <f t="shared" si="1"/>
        <v>2</v>
      </c>
      <c r="C7" s="43" t="s">
        <v>22</v>
      </c>
      <c r="D7" s="43" t="s">
        <v>56</v>
      </c>
      <c r="E7" s="43"/>
      <c r="F7" s="43" t="s">
        <v>73</v>
      </c>
      <c r="G7" s="30"/>
      <c r="H7" s="44">
        <v>2</v>
      </c>
      <c r="I7" s="45">
        <f t="shared" ref="I7:I69" si="5">IF(H7&lt;$H$2+1,($I$2-($I$2-1)*(LOG(H7)/LOG($H$2))),"")</f>
        <v>25.5</v>
      </c>
      <c r="J7" s="44">
        <f t="shared" ref="J7:J70" si="6">INT(LOG($H$2,2))-ROUNDUP(LOG(H7,2),0)+IF(OR($H$2=1,$H$2=2,$H$2=4,$H$2=8,$H$2=16,$H$2=32,$H$2=64,$H$2=128,$H$2=256),0,1)</f>
        <v>1</v>
      </c>
      <c r="K7" s="44">
        <f t="shared" si="2"/>
        <v>10</v>
      </c>
      <c r="L7" s="46">
        <f>2*K2</f>
        <v>9.5244063118091962</v>
      </c>
      <c r="M7" s="46">
        <f t="shared" si="3"/>
        <v>45.024406311809194</v>
      </c>
      <c r="N7" s="46">
        <f t="shared" si="4"/>
        <v>54.029287574171029</v>
      </c>
    </row>
    <row r="8" spans="1:37" ht="14.45" customHeight="1" x14ac:dyDescent="0.25">
      <c r="A8" s="35">
        <f t="shared" si="0"/>
        <v>19.116746265883524</v>
      </c>
      <c r="B8" s="36">
        <f t="shared" si="1"/>
        <v>3</v>
      </c>
      <c r="C8" s="37" t="s">
        <v>20</v>
      </c>
      <c r="D8" s="37"/>
      <c r="E8" s="37"/>
      <c r="F8" s="37" t="s">
        <v>73</v>
      </c>
      <c r="G8" s="30"/>
      <c r="H8" s="38">
        <v>3</v>
      </c>
      <c r="I8" s="39">
        <f t="shared" si="5"/>
        <v>11.168418732331673</v>
      </c>
      <c r="J8" s="38">
        <f t="shared" si="6"/>
        <v>0</v>
      </c>
      <c r="K8" s="38">
        <f t="shared" si="2"/>
        <v>0</v>
      </c>
      <c r="L8" s="40">
        <f>K2</f>
        <v>4.7622031559045981</v>
      </c>
      <c r="M8" s="40">
        <f t="shared" si="3"/>
        <v>15.930621888236271</v>
      </c>
      <c r="N8" s="40">
        <f t="shared" si="4"/>
        <v>19.116746265883524</v>
      </c>
    </row>
    <row r="9" spans="1:37" ht="14.45" customHeight="1" x14ac:dyDescent="0.25">
      <c r="A9" s="41">
        <f t="shared" si="0"/>
        <v>1.2</v>
      </c>
      <c r="B9" s="42">
        <f t="shared" si="1"/>
        <v>4</v>
      </c>
      <c r="C9" s="43" t="s">
        <v>21</v>
      </c>
      <c r="D9" s="43"/>
      <c r="E9" s="43"/>
      <c r="F9" s="43" t="s">
        <v>73</v>
      </c>
      <c r="G9" s="30"/>
      <c r="H9" s="44">
        <v>4</v>
      </c>
      <c r="I9" s="45">
        <f t="shared" si="5"/>
        <v>1</v>
      </c>
      <c r="J9" s="44">
        <f t="shared" si="6"/>
        <v>0</v>
      </c>
      <c r="K9" s="44">
        <f t="shared" si="2"/>
        <v>0</v>
      </c>
      <c r="L9" s="46"/>
      <c r="M9" s="46">
        <f t="shared" si="3"/>
        <v>1</v>
      </c>
      <c r="N9" s="46">
        <f t="shared" si="4"/>
        <v>1.2</v>
      </c>
      <c r="W9" s="47"/>
      <c r="AA9" s="48"/>
      <c r="AB9" s="48"/>
      <c r="AH9" s="49"/>
      <c r="AI9" s="21" t="s">
        <v>53</v>
      </c>
      <c r="AJ9" s="21">
        <v>23</v>
      </c>
    </row>
    <row r="10" spans="1:37" ht="14.45" customHeight="1" x14ac:dyDescent="0.25">
      <c r="A10" s="35">
        <f t="shared" si="0"/>
        <v>0</v>
      </c>
      <c r="B10" s="36" t="str">
        <f t="shared" si="1"/>
        <v/>
      </c>
      <c r="C10" s="37"/>
      <c r="D10" s="37"/>
      <c r="E10" s="37"/>
      <c r="F10" s="37"/>
      <c r="G10" s="30"/>
      <c r="H10" s="38">
        <v>5</v>
      </c>
      <c r="I10" s="39" t="str">
        <f t="shared" si="5"/>
        <v/>
      </c>
      <c r="J10" s="38">
        <f t="shared" si="6"/>
        <v>-1</v>
      </c>
      <c r="K10" s="38">
        <f t="shared" si="2"/>
        <v>-10</v>
      </c>
      <c r="L10" s="38"/>
      <c r="M10" s="40">
        <f t="shared" si="3"/>
        <v>0</v>
      </c>
      <c r="N10" s="40">
        <f t="shared" si="4"/>
        <v>0</v>
      </c>
      <c r="W10" s="47"/>
      <c r="AA10" s="48"/>
      <c r="AB10" s="48"/>
      <c r="AH10" s="49"/>
      <c r="AI10" s="21" t="s">
        <v>55</v>
      </c>
      <c r="AJ10" s="21">
        <v>45</v>
      </c>
    </row>
    <row r="11" spans="1:37" ht="14.45" customHeight="1" x14ac:dyDescent="0.25">
      <c r="A11" s="41">
        <f t="shared" si="0"/>
        <v>0</v>
      </c>
      <c r="B11" s="42" t="str">
        <f t="shared" si="1"/>
        <v/>
      </c>
      <c r="C11" s="43"/>
      <c r="D11" s="43"/>
      <c r="E11" s="43"/>
      <c r="F11" s="43"/>
      <c r="G11" s="30"/>
      <c r="H11" s="44">
        <v>6</v>
      </c>
      <c r="I11" s="45" t="str">
        <f t="shared" si="5"/>
        <v/>
      </c>
      <c r="J11" s="44">
        <f t="shared" si="6"/>
        <v>-1</v>
      </c>
      <c r="K11" s="44">
        <f t="shared" si="2"/>
        <v>-10</v>
      </c>
      <c r="L11" s="44"/>
      <c r="M11" s="46">
        <f t="shared" si="3"/>
        <v>0</v>
      </c>
      <c r="N11" s="46">
        <f t="shared" si="4"/>
        <v>0</v>
      </c>
      <c r="W11" s="50"/>
      <c r="AA11" s="48"/>
      <c r="AB11" s="48"/>
      <c r="AH11" s="49"/>
      <c r="AI11" s="21" t="s">
        <v>57</v>
      </c>
      <c r="AJ11" s="21">
        <v>50</v>
      </c>
    </row>
    <row r="12" spans="1:37" ht="14.45" customHeight="1" x14ac:dyDescent="0.25">
      <c r="A12" s="35">
        <f t="shared" si="0"/>
        <v>0</v>
      </c>
      <c r="B12" s="36" t="str">
        <f t="shared" si="1"/>
        <v/>
      </c>
      <c r="C12" s="37"/>
      <c r="D12" s="37"/>
      <c r="E12" s="37"/>
      <c r="F12" s="37"/>
      <c r="G12" s="30"/>
      <c r="H12" s="38">
        <v>7</v>
      </c>
      <c r="I12" s="39" t="str">
        <f t="shared" si="5"/>
        <v/>
      </c>
      <c r="J12" s="38">
        <f t="shared" si="6"/>
        <v>-1</v>
      </c>
      <c r="K12" s="38">
        <f t="shared" si="2"/>
        <v>-10</v>
      </c>
      <c r="L12" s="38"/>
      <c r="M12" s="40">
        <f t="shared" si="3"/>
        <v>0</v>
      </c>
      <c r="N12" s="40">
        <f t="shared" si="4"/>
        <v>0</v>
      </c>
      <c r="AA12" s="48"/>
      <c r="AB12" s="48"/>
      <c r="AH12" s="49"/>
      <c r="AI12" s="21" t="s">
        <v>58</v>
      </c>
      <c r="AJ12" s="21">
        <f>AJ11-1</f>
        <v>49</v>
      </c>
    </row>
    <row r="13" spans="1:37" ht="14.45" customHeight="1" x14ac:dyDescent="0.25">
      <c r="A13" s="51">
        <f t="shared" si="0"/>
        <v>0</v>
      </c>
      <c r="B13" s="42" t="str">
        <f t="shared" si="1"/>
        <v/>
      </c>
      <c r="C13" s="43"/>
      <c r="D13" s="43"/>
      <c r="E13" s="43"/>
      <c r="F13" s="43"/>
      <c r="G13" s="30"/>
      <c r="H13" s="44">
        <v>8</v>
      </c>
      <c r="I13" s="45" t="str">
        <f t="shared" si="5"/>
        <v/>
      </c>
      <c r="J13" s="44">
        <f t="shared" si="6"/>
        <v>-1</v>
      </c>
      <c r="K13" s="44">
        <f t="shared" si="2"/>
        <v>-10</v>
      </c>
      <c r="L13" s="44"/>
      <c r="M13" s="46">
        <f t="shared" si="3"/>
        <v>0</v>
      </c>
      <c r="N13" s="46">
        <f t="shared" si="4"/>
        <v>0</v>
      </c>
      <c r="Y13" s="47"/>
      <c r="AH13" s="49"/>
      <c r="AI13" s="21" t="s">
        <v>59</v>
      </c>
      <c r="AJ13" s="21">
        <f>LOG(AJ9)</f>
        <v>1.3617278360175928</v>
      </c>
    </row>
    <row r="14" spans="1:37" x14ac:dyDescent="0.25">
      <c r="A14" s="52">
        <f t="shared" si="0"/>
        <v>0</v>
      </c>
      <c r="B14" s="36" t="str">
        <f t="shared" si="1"/>
        <v/>
      </c>
      <c r="C14" s="37"/>
      <c r="D14" s="37"/>
      <c r="E14" s="37"/>
      <c r="F14" s="37"/>
      <c r="G14" s="30"/>
      <c r="H14" s="38">
        <v>9</v>
      </c>
      <c r="I14" s="39" t="str">
        <f t="shared" si="5"/>
        <v/>
      </c>
      <c r="J14" s="38">
        <f t="shared" si="6"/>
        <v>-2</v>
      </c>
      <c r="K14" s="38">
        <f t="shared" si="2"/>
        <v>-20</v>
      </c>
      <c r="L14" s="38"/>
      <c r="M14" s="40">
        <f t="shared" si="3"/>
        <v>0</v>
      </c>
      <c r="N14" s="40">
        <f t="shared" si="4"/>
        <v>0</v>
      </c>
      <c r="AI14" s="21" t="s">
        <v>65</v>
      </c>
      <c r="AJ14" s="21">
        <f>LOG(AJ10)</f>
        <v>1.6532125137753437</v>
      </c>
    </row>
    <row r="15" spans="1:37" x14ac:dyDescent="0.25">
      <c r="A15" s="51">
        <f t="shared" si="0"/>
        <v>0</v>
      </c>
      <c r="B15" s="42" t="str">
        <f t="shared" si="1"/>
        <v/>
      </c>
      <c r="C15" s="43"/>
      <c r="D15" s="43"/>
      <c r="E15" s="43"/>
      <c r="F15" s="43"/>
      <c r="G15" s="30"/>
      <c r="H15" s="44">
        <v>10</v>
      </c>
      <c r="I15" s="45" t="str">
        <f t="shared" si="5"/>
        <v/>
      </c>
      <c r="J15" s="44">
        <f t="shared" si="6"/>
        <v>-2</v>
      </c>
      <c r="K15" s="44">
        <f t="shared" si="2"/>
        <v>-20</v>
      </c>
      <c r="L15" s="44"/>
      <c r="M15" s="46">
        <f t="shared" si="3"/>
        <v>0</v>
      </c>
      <c r="N15" s="46">
        <f t="shared" si="4"/>
        <v>0</v>
      </c>
      <c r="Y15" s="47"/>
      <c r="AA15" s="48"/>
      <c r="AB15" s="48"/>
    </row>
    <row r="16" spans="1:37" x14ac:dyDescent="0.25">
      <c r="A16" s="52">
        <f t="shared" si="0"/>
        <v>0</v>
      </c>
      <c r="B16" s="36" t="str">
        <f t="shared" si="1"/>
        <v/>
      </c>
      <c r="C16" s="37"/>
      <c r="D16" s="37"/>
      <c r="E16" s="37"/>
      <c r="F16" s="37"/>
      <c r="G16" s="30"/>
      <c r="H16" s="38">
        <v>11</v>
      </c>
      <c r="I16" s="39" t="str">
        <f t="shared" si="5"/>
        <v/>
      </c>
      <c r="J16" s="38">
        <f t="shared" si="6"/>
        <v>-2</v>
      </c>
      <c r="K16" s="38">
        <f t="shared" si="2"/>
        <v>-20</v>
      </c>
      <c r="L16" s="38"/>
      <c r="M16" s="40">
        <f t="shared" si="3"/>
        <v>0</v>
      </c>
      <c r="N16" s="40">
        <f t="shared" si="4"/>
        <v>0</v>
      </c>
      <c r="AI16" s="21" t="s">
        <v>61</v>
      </c>
      <c r="AJ16" s="21">
        <f>AJ11-AJ12*AJ13/AJ14</f>
        <v>9.6393909380186855</v>
      </c>
      <c r="AK16" s="21" t="s">
        <v>62</v>
      </c>
    </row>
    <row r="17" spans="1:20" x14ac:dyDescent="0.25">
      <c r="A17" s="51">
        <f t="shared" si="0"/>
        <v>0</v>
      </c>
      <c r="B17" s="42" t="str">
        <f t="shared" si="1"/>
        <v/>
      </c>
      <c r="C17" s="43"/>
      <c r="D17" s="43"/>
      <c r="E17" s="43"/>
      <c r="F17" s="43"/>
      <c r="G17" s="30"/>
      <c r="H17" s="44">
        <v>12</v>
      </c>
      <c r="I17" s="45" t="str">
        <f t="shared" si="5"/>
        <v/>
      </c>
      <c r="J17" s="44">
        <f t="shared" si="6"/>
        <v>-2</v>
      </c>
      <c r="K17" s="44">
        <f t="shared" si="2"/>
        <v>-20</v>
      </c>
      <c r="L17" s="44"/>
      <c r="M17" s="46">
        <f t="shared" si="3"/>
        <v>0</v>
      </c>
      <c r="N17" s="46">
        <f t="shared" si="4"/>
        <v>0</v>
      </c>
    </row>
    <row r="18" spans="1:20" x14ac:dyDescent="0.25">
      <c r="A18" s="52">
        <f t="shared" si="0"/>
        <v>0</v>
      </c>
      <c r="B18" s="36" t="str">
        <f t="shared" si="1"/>
        <v/>
      </c>
      <c r="C18" s="37"/>
      <c r="D18" s="37"/>
      <c r="E18" s="37"/>
      <c r="F18" s="37"/>
      <c r="G18" s="30"/>
      <c r="H18" s="38">
        <v>13</v>
      </c>
      <c r="I18" s="39" t="str">
        <f t="shared" si="5"/>
        <v/>
      </c>
      <c r="J18" s="38">
        <f t="shared" si="6"/>
        <v>-2</v>
      </c>
      <c r="K18" s="38">
        <f t="shared" si="2"/>
        <v>-20</v>
      </c>
      <c r="L18" s="38"/>
      <c r="M18" s="40">
        <f t="shared" si="3"/>
        <v>0</v>
      </c>
      <c r="N18" s="40">
        <f t="shared" si="4"/>
        <v>0</v>
      </c>
    </row>
    <row r="19" spans="1:20" x14ac:dyDescent="0.25">
      <c r="A19" s="51">
        <f t="shared" ref="A19:A70" si="7">N19</f>
        <v>0</v>
      </c>
      <c r="B19" s="42" t="str">
        <f t="shared" ref="B19:B65" si="8">IF(H19&gt;$H$2,"",(ROW()-5))</f>
        <v/>
      </c>
      <c r="C19" s="43"/>
      <c r="D19" s="43"/>
      <c r="E19" s="43"/>
      <c r="F19" s="43"/>
      <c r="G19" s="30"/>
      <c r="H19" s="44">
        <v>14</v>
      </c>
      <c r="I19" s="45" t="str">
        <f t="shared" si="5"/>
        <v/>
      </c>
      <c r="J19" s="44">
        <f t="shared" si="6"/>
        <v>-2</v>
      </c>
      <c r="K19" s="44">
        <f t="shared" si="2"/>
        <v>-20</v>
      </c>
      <c r="L19" s="44"/>
      <c r="M19" s="46">
        <f t="shared" si="3"/>
        <v>0</v>
      </c>
      <c r="N19" s="46">
        <f t="shared" si="4"/>
        <v>0</v>
      </c>
    </row>
    <row r="20" spans="1:20" x14ac:dyDescent="0.25">
      <c r="A20" s="52">
        <f t="shared" si="7"/>
        <v>0</v>
      </c>
      <c r="B20" s="36" t="str">
        <f t="shared" si="8"/>
        <v/>
      </c>
      <c r="C20" s="37"/>
      <c r="D20" s="37"/>
      <c r="E20" s="37"/>
      <c r="F20" s="37"/>
      <c r="G20" s="30"/>
      <c r="H20" s="38">
        <v>15</v>
      </c>
      <c r="I20" s="39" t="str">
        <f t="shared" si="5"/>
        <v/>
      </c>
      <c r="J20" s="38">
        <f t="shared" si="6"/>
        <v>-2</v>
      </c>
      <c r="K20" s="38">
        <f t="shared" si="2"/>
        <v>-20</v>
      </c>
      <c r="L20" s="38"/>
      <c r="M20" s="40">
        <f t="shared" si="3"/>
        <v>0</v>
      </c>
      <c r="N20" s="40">
        <f t="shared" si="4"/>
        <v>0</v>
      </c>
      <c r="S20" s="56"/>
      <c r="T20" s="57"/>
    </row>
    <row r="21" spans="1:20" x14ac:dyDescent="0.25">
      <c r="A21" s="51">
        <f t="shared" si="7"/>
        <v>0</v>
      </c>
      <c r="B21" s="42" t="str">
        <f t="shared" si="8"/>
        <v/>
      </c>
      <c r="C21" s="43"/>
      <c r="D21" s="43"/>
      <c r="E21" s="43"/>
      <c r="F21" s="43"/>
      <c r="G21" s="30"/>
      <c r="H21" s="44">
        <v>16</v>
      </c>
      <c r="I21" s="45" t="str">
        <f t="shared" si="5"/>
        <v/>
      </c>
      <c r="J21" s="44">
        <f t="shared" si="6"/>
        <v>-2</v>
      </c>
      <c r="K21" s="44">
        <f t="shared" si="2"/>
        <v>-20</v>
      </c>
      <c r="L21" s="44"/>
      <c r="M21" s="46">
        <f t="shared" si="3"/>
        <v>0</v>
      </c>
      <c r="N21" s="46">
        <f t="shared" si="4"/>
        <v>0</v>
      </c>
    </row>
    <row r="22" spans="1:20" x14ac:dyDescent="0.25">
      <c r="A22" s="52">
        <f t="shared" si="7"/>
        <v>0</v>
      </c>
      <c r="B22" s="36" t="str">
        <f t="shared" si="8"/>
        <v/>
      </c>
      <c r="C22" s="37"/>
      <c r="D22" s="37"/>
      <c r="E22" s="37"/>
      <c r="F22" s="37"/>
      <c r="G22" s="30"/>
      <c r="H22" s="38">
        <v>17</v>
      </c>
      <c r="I22" s="39" t="str">
        <f t="shared" si="5"/>
        <v/>
      </c>
      <c r="J22" s="38">
        <f t="shared" si="6"/>
        <v>-3</v>
      </c>
      <c r="K22" s="38">
        <f t="shared" si="2"/>
        <v>-30</v>
      </c>
      <c r="L22" s="38"/>
      <c r="M22" s="40">
        <f t="shared" si="3"/>
        <v>0</v>
      </c>
      <c r="N22" s="40">
        <f t="shared" si="4"/>
        <v>0</v>
      </c>
    </row>
    <row r="23" spans="1:20" x14ac:dyDescent="0.25">
      <c r="A23" s="51">
        <f t="shared" si="7"/>
        <v>0</v>
      </c>
      <c r="B23" s="42" t="str">
        <f t="shared" si="8"/>
        <v/>
      </c>
      <c r="C23" s="43"/>
      <c r="D23" s="43"/>
      <c r="E23" s="43"/>
      <c r="F23" s="43"/>
      <c r="G23" s="30"/>
      <c r="H23" s="44">
        <v>18</v>
      </c>
      <c r="I23" s="45" t="str">
        <f t="shared" si="5"/>
        <v/>
      </c>
      <c r="J23" s="44">
        <f t="shared" si="6"/>
        <v>-3</v>
      </c>
      <c r="K23" s="44">
        <f t="shared" si="2"/>
        <v>-30</v>
      </c>
      <c r="L23" s="44"/>
      <c r="M23" s="46">
        <f t="shared" si="3"/>
        <v>0</v>
      </c>
      <c r="N23" s="46">
        <f t="shared" si="4"/>
        <v>0</v>
      </c>
    </row>
    <row r="24" spans="1:20" x14ac:dyDescent="0.25">
      <c r="A24" s="52">
        <f t="shared" si="7"/>
        <v>0</v>
      </c>
      <c r="B24" s="36" t="str">
        <f t="shared" si="8"/>
        <v/>
      </c>
      <c r="C24" s="37"/>
      <c r="D24" s="37"/>
      <c r="E24" s="37"/>
      <c r="F24" s="37"/>
      <c r="G24" s="30"/>
      <c r="H24" s="38">
        <v>19</v>
      </c>
      <c r="I24" s="39" t="str">
        <f t="shared" si="5"/>
        <v/>
      </c>
      <c r="J24" s="38">
        <f t="shared" si="6"/>
        <v>-3</v>
      </c>
      <c r="K24" s="38">
        <f t="shared" si="2"/>
        <v>-30</v>
      </c>
      <c r="L24" s="38"/>
      <c r="M24" s="40">
        <f t="shared" si="3"/>
        <v>0</v>
      </c>
      <c r="N24" s="40">
        <f t="shared" si="4"/>
        <v>0</v>
      </c>
      <c r="S24" s="56"/>
      <c r="T24" s="57"/>
    </row>
    <row r="25" spans="1:20" x14ac:dyDescent="0.25">
      <c r="A25" s="51">
        <f t="shared" si="7"/>
        <v>0</v>
      </c>
      <c r="B25" s="42" t="str">
        <f t="shared" si="8"/>
        <v/>
      </c>
      <c r="C25" s="43"/>
      <c r="D25" s="43"/>
      <c r="E25" s="43"/>
      <c r="F25" s="43"/>
      <c r="G25" s="30"/>
      <c r="H25" s="44">
        <v>20</v>
      </c>
      <c r="I25" s="45" t="str">
        <f t="shared" si="5"/>
        <v/>
      </c>
      <c r="J25" s="44">
        <f t="shared" si="6"/>
        <v>-3</v>
      </c>
      <c r="K25" s="44">
        <f t="shared" si="2"/>
        <v>-30</v>
      </c>
      <c r="L25" s="44"/>
      <c r="M25" s="46">
        <f t="shared" si="3"/>
        <v>0</v>
      </c>
      <c r="N25" s="46">
        <f t="shared" si="4"/>
        <v>0</v>
      </c>
    </row>
    <row r="26" spans="1:20" x14ac:dyDescent="0.25">
      <c r="A26" s="52">
        <f t="shared" si="7"/>
        <v>0</v>
      </c>
      <c r="B26" s="36" t="str">
        <f t="shared" si="8"/>
        <v/>
      </c>
      <c r="C26" s="37"/>
      <c r="D26" s="37"/>
      <c r="E26" s="37"/>
      <c r="F26" s="37"/>
      <c r="G26" s="30"/>
      <c r="H26" s="38">
        <v>21</v>
      </c>
      <c r="I26" s="39" t="str">
        <f t="shared" si="5"/>
        <v/>
      </c>
      <c r="J26" s="38">
        <f t="shared" si="6"/>
        <v>-3</v>
      </c>
      <c r="K26" s="38">
        <f t="shared" si="2"/>
        <v>-30</v>
      </c>
      <c r="L26" s="38"/>
      <c r="M26" s="40">
        <f t="shared" si="3"/>
        <v>0</v>
      </c>
      <c r="N26" s="40">
        <f t="shared" si="4"/>
        <v>0</v>
      </c>
    </row>
    <row r="27" spans="1:20" x14ac:dyDescent="0.25">
      <c r="A27" s="51">
        <f t="shared" si="7"/>
        <v>0</v>
      </c>
      <c r="B27" s="42" t="str">
        <f t="shared" si="8"/>
        <v/>
      </c>
      <c r="C27" s="43"/>
      <c r="D27" s="43"/>
      <c r="E27" s="43"/>
      <c r="F27" s="43"/>
      <c r="G27" s="30"/>
      <c r="H27" s="44">
        <v>22</v>
      </c>
      <c r="I27" s="45" t="str">
        <f t="shared" si="5"/>
        <v/>
      </c>
      <c r="J27" s="44">
        <f t="shared" si="6"/>
        <v>-3</v>
      </c>
      <c r="K27" s="44">
        <f t="shared" si="2"/>
        <v>-30</v>
      </c>
      <c r="L27" s="44"/>
      <c r="M27" s="46">
        <f t="shared" si="3"/>
        <v>0</v>
      </c>
      <c r="N27" s="46">
        <f t="shared" si="4"/>
        <v>0</v>
      </c>
    </row>
    <row r="28" spans="1:20" x14ac:dyDescent="0.25">
      <c r="A28" s="52">
        <f t="shared" si="7"/>
        <v>0</v>
      </c>
      <c r="B28" s="36" t="str">
        <f t="shared" si="8"/>
        <v/>
      </c>
      <c r="C28" s="37"/>
      <c r="D28" s="37"/>
      <c r="E28" s="37"/>
      <c r="F28" s="37"/>
      <c r="G28" s="30"/>
      <c r="H28" s="38">
        <v>23</v>
      </c>
      <c r="I28" s="39" t="str">
        <f t="shared" si="5"/>
        <v/>
      </c>
      <c r="J28" s="38">
        <f t="shared" si="6"/>
        <v>-3</v>
      </c>
      <c r="K28" s="38">
        <f t="shared" si="2"/>
        <v>-30</v>
      </c>
      <c r="L28" s="38"/>
      <c r="M28" s="40">
        <f t="shared" si="3"/>
        <v>0</v>
      </c>
      <c r="N28" s="40">
        <f t="shared" si="4"/>
        <v>0</v>
      </c>
      <c r="S28" s="56"/>
      <c r="T28" s="57"/>
    </row>
    <row r="29" spans="1:20" x14ac:dyDescent="0.25">
      <c r="A29" s="51">
        <f t="shared" si="7"/>
        <v>0</v>
      </c>
      <c r="B29" s="42" t="str">
        <f t="shared" si="8"/>
        <v/>
      </c>
      <c r="C29" s="43"/>
      <c r="D29" s="43"/>
      <c r="E29" s="43"/>
      <c r="F29" s="43"/>
      <c r="G29" s="16"/>
      <c r="H29" s="44">
        <v>24</v>
      </c>
      <c r="I29" s="45" t="str">
        <f t="shared" si="5"/>
        <v/>
      </c>
      <c r="J29" s="44">
        <f t="shared" si="6"/>
        <v>-3</v>
      </c>
      <c r="K29" s="44">
        <f t="shared" si="2"/>
        <v>-30</v>
      </c>
      <c r="L29" s="44"/>
      <c r="M29" s="46">
        <f t="shared" si="3"/>
        <v>0</v>
      </c>
      <c r="N29" s="46">
        <f t="shared" si="4"/>
        <v>0</v>
      </c>
    </row>
    <row r="30" spans="1:20" x14ac:dyDescent="0.25">
      <c r="A30" s="52">
        <f t="shared" si="7"/>
        <v>0</v>
      </c>
      <c r="B30" s="36" t="str">
        <f t="shared" si="8"/>
        <v/>
      </c>
      <c r="C30" s="37"/>
      <c r="D30" s="37"/>
      <c r="E30" s="37"/>
      <c r="F30" s="37"/>
      <c r="G30" s="16"/>
      <c r="H30" s="38">
        <v>25</v>
      </c>
      <c r="I30" s="39" t="str">
        <f t="shared" si="5"/>
        <v/>
      </c>
      <c r="J30" s="38">
        <f t="shared" si="6"/>
        <v>-3</v>
      </c>
      <c r="K30" s="38">
        <f t="shared" si="2"/>
        <v>-30</v>
      </c>
      <c r="L30" s="38"/>
      <c r="M30" s="40">
        <f t="shared" si="3"/>
        <v>0</v>
      </c>
      <c r="N30" s="40">
        <f t="shared" si="4"/>
        <v>0</v>
      </c>
    </row>
    <row r="31" spans="1:20" x14ac:dyDescent="0.25">
      <c r="A31" s="51">
        <f t="shared" si="7"/>
        <v>0</v>
      </c>
      <c r="B31" s="42" t="str">
        <f t="shared" si="8"/>
        <v/>
      </c>
      <c r="C31" s="43"/>
      <c r="D31" s="43"/>
      <c r="E31" s="43"/>
      <c r="F31" s="43"/>
      <c r="G31" s="16"/>
      <c r="H31" s="44">
        <v>26</v>
      </c>
      <c r="I31" s="45" t="str">
        <f t="shared" si="5"/>
        <v/>
      </c>
      <c r="J31" s="44">
        <f t="shared" si="6"/>
        <v>-3</v>
      </c>
      <c r="K31" s="44">
        <f t="shared" si="2"/>
        <v>-30</v>
      </c>
      <c r="L31" s="44"/>
      <c r="M31" s="46">
        <f t="shared" si="3"/>
        <v>0</v>
      </c>
      <c r="N31" s="46">
        <f t="shared" si="4"/>
        <v>0</v>
      </c>
    </row>
    <row r="32" spans="1:20" x14ac:dyDescent="0.25">
      <c r="A32" s="52">
        <f t="shared" si="7"/>
        <v>0</v>
      </c>
      <c r="B32" s="36" t="str">
        <f t="shared" si="8"/>
        <v/>
      </c>
      <c r="C32" s="37"/>
      <c r="D32" s="37"/>
      <c r="E32" s="37"/>
      <c r="F32" s="37"/>
      <c r="G32" s="16"/>
      <c r="H32" s="38">
        <v>27</v>
      </c>
      <c r="I32" s="39" t="str">
        <f t="shared" si="5"/>
        <v/>
      </c>
      <c r="J32" s="38">
        <f t="shared" si="6"/>
        <v>-3</v>
      </c>
      <c r="K32" s="38">
        <f t="shared" si="2"/>
        <v>-30</v>
      </c>
      <c r="L32" s="38"/>
      <c r="M32" s="40">
        <f t="shared" si="3"/>
        <v>0</v>
      </c>
      <c r="N32" s="40">
        <f t="shared" si="4"/>
        <v>0</v>
      </c>
      <c r="S32" s="56"/>
      <c r="T32" s="57"/>
    </row>
    <row r="33" spans="1:22" x14ac:dyDescent="0.25">
      <c r="A33" s="51">
        <f t="shared" si="7"/>
        <v>0</v>
      </c>
      <c r="B33" s="42" t="str">
        <f t="shared" si="8"/>
        <v/>
      </c>
      <c r="C33" s="43"/>
      <c r="D33" s="43"/>
      <c r="E33" s="43"/>
      <c r="F33" s="43"/>
      <c r="G33" s="16"/>
      <c r="H33" s="44">
        <v>28</v>
      </c>
      <c r="I33" s="45" t="str">
        <f t="shared" si="5"/>
        <v/>
      </c>
      <c r="J33" s="44">
        <f t="shared" si="6"/>
        <v>-3</v>
      </c>
      <c r="K33" s="44">
        <f t="shared" si="2"/>
        <v>-30</v>
      </c>
      <c r="L33" s="44"/>
      <c r="M33" s="46">
        <f t="shared" si="3"/>
        <v>0</v>
      </c>
      <c r="N33" s="46">
        <f t="shared" si="4"/>
        <v>0</v>
      </c>
    </row>
    <row r="34" spans="1:22" x14ac:dyDescent="0.25">
      <c r="A34" s="52">
        <f t="shared" si="7"/>
        <v>0</v>
      </c>
      <c r="B34" s="36" t="str">
        <f t="shared" si="8"/>
        <v/>
      </c>
      <c r="C34" s="37"/>
      <c r="D34" s="37"/>
      <c r="E34" s="37"/>
      <c r="F34" s="37"/>
      <c r="G34" s="16"/>
      <c r="H34" s="38">
        <v>29</v>
      </c>
      <c r="I34" s="39" t="str">
        <f t="shared" si="5"/>
        <v/>
      </c>
      <c r="J34" s="38">
        <f t="shared" si="6"/>
        <v>-3</v>
      </c>
      <c r="K34" s="38">
        <f t="shared" si="2"/>
        <v>-30</v>
      </c>
      <c r="L34" s="38"/>
      <c r="M34" s="40">
        <f t="shared" si="3"/>
        <v>0</v>
      </c>
      <c r="N34" s="40">
        <f t="shared" si="4"/>
        <v>0</v>
      </c>
    </row>
    <row r="35" spans="1:22" x14ac:dyDescent="0.25">
      <c r="A35" s="51">
        <f t="shared" si="7"/>
        <v>0</v>
      </c>
      <c r="B35" s="42" t="str">
        <f t="shared" si="8"/>
        <v/>
      </c>
      <c r="C35" s="43"/>
      <c r="D35" s="43"/>
      <c r="E35" s="43"/>
      <c r="F35" s="43"/>
      <c r="G35" s="16"/>
      <c r="H35" s="44">
        <v>30</v>
      </c>
      <c r="I35" s="45" t="str">
        <f t="shared" si="5"/>
        <v/>
      </c>
      <c r="J35" s="44">
        <f t="shared" si="6"/>
        <v>-3</v>
      </c>
      <c r="K35" s="44">
        <f t="shared" si="2"/>
        <v>-30</v>
      </c>
      <c r="L35" s="44"/>
      <c r="M35" s="46">
        <f t="shared" si="3"/>
        <v>0</v>
      </c>
      <c r="N35" s="46">
        <f t="shared" si="4"/>
        <v>0</v>
      </c>
    </row>
    <row r="36" spans="1:22" x14ac:dyDescent="0.25">
      <c r="A36" s="52">
        <f t="shared" si="7"/>
        <v>0</v>
      </c>
      <c r="B36" s="36" t="str">
        <f t="shared" si="8"/>
        <v/>
      </c>
      <c r="C36" s="37"/>
      <c r="D36" s="37"/>
      <c r="E36" s="37"/>
      <c r="F36" s="37"/>
      <c r="G36" s="16"/>
      <c r="H36" s="38">
        <v>31</v>
      </c>
      <c r="I36" s="39" t="str">
        <f t="shared" si="5"/>
        <v/>
      </c>
      <c r="J36" s="38">
        <f t="shared" si="6"/>
        <v>-3</v>
      </c>
      <c r="K36" s="38">
        <f t="shared" si="2"/>
        <v>-30</v>
      </c>
      <c r="L36" s="38"/>
      <c r="M36" s="40">
        <f t="shared" si="3"/>
        <v>0</v>
      </c>
      <c r="N36" s="40">
        <f t="shared" si="4"/>
        <v>0</v>
      </c>
      <c r="S36" s="56"/>
      <c r="T36" s="57"/>
    </row>
    <row r="37" spans="1:22" x14ac:dyDescent="0.25">
      <c r="A37" s="51">
        <f t="shared" si="7"/>
        <v>0</v>
      </c>
      <c r="B37" s="42" t="str">
        <f t="shared" si="8"/>
        <v/>
      </c>
      <c r="C37" s="43"/>
      <c r="D37" s="43"/>
      <c r="E37" s="43"/>
      <c r="F37" s="43"/>
      <c r="G37" s="16"/>
      <c r="H37" s="44">
        <v>32</v>
      </c>
      <c r="I37" s="45" t="str">
        <f t="shared" si="5"/>
        <v/>
      </c>
      <c r="J37" s="44">
        <f t="shared" si="6"/>
        <v>-3</v>
      </c>
      <c r="K37" s="44">
        <f t="shared" si="2"/>
        <v>-30</v>
      </c>
      <c r="L37" s="44"/>
      <c r="M37" s="46">
        <f t="shared" si="3"/>
        <v>0</v>
      </c>
      <c r="N37" s="46">
        <f t="shared" si="4"/>
        <v>0</v>
      </c>
    </row>
    <row r="38" spans="1:22" x14ac:dyDescent="0.25">
      <c r="A38" s="52">
        <f t="shared" si="7"/>
        <v>0</v>
      </c>
      <c r="B38" s="36" t="str">
        <f t="shared" si="8"/>
        <v/>
      </c>
      <c r="C38" s="37"/>
      <c r="D38" s="37"/>
      <c r="E38" s="37"/>
      <c r="F38" s="37"/>
      <c r="G38" s="16"/>
      <c r="H38" s="38">
        <v>33</v>
      </c>
      <c r="I38" s="39" t="str">
        <f t="shared" si="5"/>
        <v/>
      </c>
      <c r="J38" s="38">
        <f t="shared" si="6"/>
        <v>-4</v>
      </c>
      <c r="K38" s="38">
        <f t="shared" si="2"/>
        <v>-40</v>
      </c>
      <c r="L38" s="38"/>
      <c r="M38" s="40">
        <f t="shared" si="3"/>
        <v>0</v>
      </c>
      <c r="N38" s="40">
        <f t="shared" si="4"/>
        <v>0</v>
      </c>
    </row>
    <row r="39" spans="1:22" x14ac:dyDescent="0.25">
      <c r="A39" s="51">
        <f t="shared" si="7"/>
        <v>0</v>
      </c>
      <c r="B39" s="42" t="str">
        <f t="shared" si="8"/>
        <v/>
      </c>
      <c r="C39" s="43"/>
      <c r="D39" s="43"/>
      <c r="E39" s="43"/>
      <c r="F39" s="43"/>
      <c r="G39" s="16"/>
      <c r="H39" s="44">
        <v>34</v>
      </c>
      <c r="I39" s="45" t="str">
        <f t="shared" si="5"/>
        <v/>
      </c>
      <c r="J39" s="44">
        <f t="shared" si="6"/>
        <v>-4</v>
      </c>
      <c r="K39" s="44">
        <f t="shared" si="2"/>
        <v>-40</v>
      </c>
      <c r="L39" s="44"/>
      <c r="M39" s="46">
        <f t="shared" si="3"/>
        <v>0</v>
      </c>
      <c r="N39" s="46">
        <f t="shared" si="4"/>
        <v>0</v>
      </c>
    </row>
    <row r="40" spans="1:22" x14ac:dyDescent="0.25">
      <c r="A40" s="52">
        <f t="shared" si="7"/>
        <v>0</v>
      </c>
      <c r="B40" s="36" t="str">
        <f t="shared" si="8"/>
        <v/>
      </c>
      <c r="C40" s="37"/>
      <c r="D40" s="37"/>
      <c r="E40" s="37"/>
      <c r="F40" s="37"/>
      <c r="G40" s="16"/>
      <c r="H40" s="38">
        <v>35</v>
      </c>
      <c r="I40" s="39" t="str">
        <f t="shared" si="5"/>
        <v/>
      </c>
      <c r="J40" s="38">
        <f t="shared" si="6"/>
        <v>-4</v>
      </c>
      <c r="K40" s="38">
        <f t="shared" si="2"/>
        <v>-40</v>
      </c>
      <c r="L40" s="38"/>
      <c r="M40" s="40">
        <f t="shared" si="3"/>
        <v>0</v>
      </c>
      <c r="N40" s="40">
        <f t="shared" si="4"/>
        <v>0</v>
      </c>
    </row>
    <row r="41" spans="1:22" x14ac:dyDescent="0.25">
      <c r="A41" s="51">
        <f t="shared" si="7"/>
        <v>0</v>
      </c>
      <c r="B41" s="42" t="str">
        <f t="shared" si="8"/>
        <v/>
      </c>
      <c r="C41" s="43"/>
      <c r="D41" s="43"/>
      <c r="E41" s="43"/>
      <c r="F41" s="43"/>
      <c r="G41" s="16"/>
      <c r="H41" s="44">
        <v>36</v>
      </c>
      <c r="I41" s="45" t="str">
        <f t="shared" si="5"/>
        <v/>
      </c>
      <c r="J41" s="44">
        <f t="shared" si="6"/>
        <v>-4</v>
      </c>
      <c r="K41" s="44">
        <f t="shared" si="2"/>
        <v>-40</v>
      </c>
      <c r="L41" s="44"/>
      <c r="M41" s="46">
        <f t="shared" si="3"/>
        <v>0</v>
      </c>
      <c r="N41" s="46">
        <f t="shared" si="4"/>
        <v>0</v>
      </c>
      <c r="T41" s="58"/>
    </row>
    <row r="42" spans="1:22" x14ac:dyDescent="0.25">
      <c r="A42" s="52">
        <f t="shared" si="7"/>
        <v>0</v>
      </c>
      <c r="B42" s="36" t="str">
        <f t="shared" si="8"/>
        <v/>
      </c>
      <c r="C42" s="37"/>
      <c r="D42" s="37"/>
      <c r="E42" s="37"/>
      <c r="F42" s="37"/>
      <c r="G42" s="16"/>
      <c r="H42" s="38">
        <v>37</v>
      </c>
      <c r="I42" s="39" t="str">
        <f t="shared" si="5"/>
        <v/>
      </c>
      <c r="J42" s="38">
        <f t="shared" si="6"/>
        <v>-4</v>
      </c>
      <c r="K42" s="38">
        <f t="shared" si="2"/>
        <v>-40</v>
      </c>
      <c r="L42" s="38"/>
      <c r="M42" s="40">
        <f t="shared" si="3"/>
        <v>0</v>
      </c>
      <c r="N42" s="40">
        <f t="shared" si="4"/>
        <v>0</v>
      </c>
    </row>
    <row r="43" spans="1:22" x14ac:dyDescent="0.25">
      <c r="A43" s="51">
        <f t="shared" si="7"/>
        <v>0</v>
      </c>
      <c r="B43" s="42" t="str">
        <f t="shared" si="8"/>
        <v/>
      </c>
      <c r="C43" s="43"/>
      <c r="D43" s="43"/>
      <c r="E43" s="43"/>
      <c r="F43" s="43"/>
      <c r="G43" s="16"/>
      <c r="H43" s="44">
        <v>38</v>
      </c>
      <c r="I43" s="45" t="str">
        <f t="shared" si="5"/>
        <v/>
      </c>
      <c r="J43" s="44">
        <f t="shared" si="6"/>
        <v>-4</v>
      </c>
      <c r="K43" s="44">
        <f t="shared" si="2"/>
        <v>-40</v>
      </c>
      <c r="L43" s="44"/>
      <c r="M43" s="46">
        <f t="shared" si="3"/>
        <v>0</v>
      </c>
      <c r="N43" s="46">
        <f t="shared" si="4"/>
        <v>0</v>
      </c>
    </row>
    <row r="44" spans="1:22" x14ac:dyDescent="0.25">
      <c r="A44" s="52">
        <f t="shared" si="7"/>
        <v>0</v>
      </c>
      <c r="B44" s="36" t="str">
        <f t="shared" si="8"/>
        <v/>
      </c>
      <c r="C44" s="37"/>
      <c r="D44" s="37"/>
      <c r="E44" s="37"/>
      <c r="F44" s="37"/>
      <c r="G44" s="16"/>
      <c r="H44" s="38">
        <v>39</v>
      </c>
      <c r="I44" s="39" t="str">
        <f t="shared" si="5"/>
        <v/>
      </c>
      <c r="J44" s="38">
        <f t="shared" si="6"/>
        <v>-4</v>
      </c>
      <c r="K44" s="38">
        <f t="shared" si="2"/>
        <v>-40</v>
      </c>
      <c r="L44" s="38"/>
      <c r="M44" s="40">
        <f t="shared" si="3"/>
        <v>0</v>
      </c>
      <c r="N44" s="40">
        <f t="shared" si="4"/>
        <v>0</v>
      </c>
    </row>
    <row r="45" spans="1:22" x14ac:dyDescent="0.25">
      <c r="A45" s="51">
        <f t="shared" si="7"/>
        <v>0</v>
      </c>
      <c r="B45" s="42" t="str">
        <f t="shared" si="8"/>
        <v/>
      </c>
      <c r="C45" s="43"/>
      <c r="D45" s="43"/>
      <c r="E45" s="43"/>
      <c r="F45" s="43"/>
      <c r="G45" s="16"/>
      <c r="H45" s="44">
        <v>40</v>
      </c>
      <c r="I45" s="45" t="str">
        <f t="shared" si="5"/>
        <v/>
      </c>
      <c r="J45" s="44">
        <f t="shared" si="6"/>
        <v>-4</v>
      </c>
      <c r="K45" s="44">
        <f t="shared" si="2"/>
        <v>-40</v>
      </c>
      <c r="L45" s="44"/>
      <c r="M45" s="46">
        <f t="shared" si="3"/>
        <v>0</v>
      </c>
      <c r="N45" s="46">
        <f t="shared" si="4"/>
        <v>0</v>
      </c>
    </row>
    <row r="46" spans="1:22" x14ac:dyDescent="0.25">
      <c r="A46" s="52">
        <f t="shared" si="7"/>
        <v>0</v>
      </c>
      <c r="B46" s="36" t="str">
        <f t="shared" si="8"/>
        <v/>
      </c>
      <c r="C46" s="37"/>
      <c r="D46" s="37"/>
      <c r="E46" s="37"/>
      <c r="F46" s="37"/>
      <c r="G46" s="16"/>
      <c r="H46" s="38">
        <v>41</v>
      </c>
      <c r="I46" s="39" t="str">
        <f t="shared" si="5"/>
        <v/>
      </c>
      <c r="J46" s="38">
        <f t="shared" si="6"/>
        <v>-4</v>
      </c>
      <c r="K46" s="38">
        <f t="shared" si="2"/>
        <v>-40</v>
      </c>
      <c r="L46" s="38"/>
      <c r="M46" s="40">
        <f t="shared" si="3"/>
        <v>0</v>
      </c>
      <c r="N46" s="40">
        <f t="shared" si="4"/>
        <v>0</v>
      </c>
      <c r="S46" s="16">
        <f>LOG($H$2,2)</f>
        <v>2</v>
      </c>
      <c r="U46" s="21">
        <f>LOG(H38,2)</f>
        <v>5.0443941193584534</v>
      </c>
      <c r="V46" s="21">
        <f>S46-U46</f>
        <v>-3.0443941193584534</v>
      </c>
    </row>
    <row r="47" spans="1:22" x14ac:dyDescent="0.25">
      <c r="A47" s="51">
        <f t="shared" si="7"/>
        <v>0</v>
      </c>
      <c r="B47" s="42" t="str">
        <f t="shared" si="8"/>
        <v/>
      </c>
      <c r="C47" s="43"/>
      <c r="D47" s="43"/>
      <c r="E47" s="43"/>
      <c r="F47" s="43"/>
      <c r="G47" s="16"/>
      <c r="H47" s="44">
        <v>42</v>
      </c>
      <c r="I47" s="45" t="str">
        <f t="shared" si="5"/>
        <v/>
      </c>
      <c r="J47" s="44">
        <f t="shared" si="6"/>
        <v>-4</v>
      </c>
      <c r="K47" s="44">
        <f t="shared" si="2"/>
        <v>-40</v>
      </c>
      <c r="L47" s="44"/>
      <c r="M47" s="46">
        <f t="shared" si="3"/>
        <v>0</v>
      </c>
      <c r="N47" s="46">
        <f t="shared" si="4"/>
        <v>0</v>
      </c>
    </row>
    <row r="48" spans="1:22" x14ac:dyDescent="0.25">
      <c r="A48" s="52">
        <f t="shared" si="7"/>
        <v>0</v>
      </c>
      <c r="B48" s="36" t="str">
        <f t="shared" si="8"/>
        <v/>
      </c>
      <c r="C48" s="37"/>
      <c r="D48" s="37"/>
      <c r="E48" s="37"/>
      <c r="F48" s="37"/>
      <c r="G48" s="16"/>
      <c r="H48" s="38">
        <v>43</v>
      </c>
      <c r="I48" s="39" t="str">
        <f t="shared" si="5"/>
        <v/>
      </c>
      <c r="J48" s="38">
        <f t="shared" si="6"/>
        <v>-4</v>
      </c>
      <c r="K48" s="38">
        <f t="shared" si="2"/>
        <v>-40</v>
      </c>
      <c r="L48" s="38"/>
      <c r="M48" s="40">
        <f t="shared" si="3"/>
        <v>0</v>
      </c>
      <c r="N48" s="40">
        <f t="shared" si="4"/>
        <v>0</v>
      </c>
    </row>
    <row r="49" spans="1:14" x14ac:dyDescent="0.25">
      <c r="A49" s="51">
        <f t="shared" si="7"/>
        <v>0</v>
      </c>
      <c r="B49" s="42" t="str">
        <f t="shared" si="8"/>
        <v/>
      </c>
      <c r="C49" s="43"/>
      <c r="D49" s="43"/>
      <c r="E49" s="43"/>
      <c r="F49" s="43"/>
      <c r="G49" s="16"/>
      <c r="H49" s="44">
        <v>44</v>
      </c>
      <c r="I49" s="45" t="str">
        <f t="shared" si="5"/>
        <v/>
      </c>
      <c r="J49" s="44">
        <f t="shared" si="6"/>
        <v>-4</v>
      </c>
      <c r="K49" s="44">
        <f t="shared" si="2"/>
        <v>-40</v>
      </c>
      <c r="L49" s="44"/>
      <c r="M49" s="46">
        <f t="shared" si="3"/>
        <v>0</v>
      </c>
      <c r="N49" s="46">
        <f t="shared" si="4"/>
        <v>0</v>
      </c>
    </row>
    <row r="50" spans="1:14" x14ac:dyDescent="0.25">
      <c r="A50" s="52">
        <f t="shared" si="7"/>
        <v>0</v>
      </c>
      <c r="B50" s="36" t="str">
        <f t="shared" si="8"/>
        <v/>
      </c>
      <c r="C50" s="37"/>
      <c r="D50" s="37"/>
      <c r="E50" s="37"/>
      <c r="F50" s="37"/>
      <c r="G50" s="16"/>
      <c r="H50" s="38">
        <v>45</v>
      </c>
      <c r="I50" s="39" t="str">
        <f t="shared" si="5"/>
        <v/>
      </c>
      <c r="J50" s="38">
        <f t="shared" si="6"/>
        <v>-4</v>
      </c>
      <c r="K50" s="38">
        <f t="shared" si="2"/>
        <v>-40</v>
      </c>
      <c r="L50" s="38"/>
      <c r="M50" s="40">
        <f t="shared" si="3"/>
        <v>0</v>
      </c>
      <c r="N50" s="40">
        <f t="shared" si="4"/>
        <v>0</v>
      </c>
    </row>
    <row r="51" spans="1:14" x14ac:dyDescent="0.25">
      <c r="A51" s="51">
        <f t="shared" si="7"/>
        <v>0</v>
      </c>
      <c r="B51" s="42" t="str">
        <f t="shared" si="8"/>
        <v/>
      </c>
      <c r="C51" s="43"/>
      <c r="D51" s="43"/>
      <c r="E51" s="43"/>
      <c r="F51" s="43"/>
      <c r="G51" s="16"/>
      <c r="H51" s="44">
        <v>46</v>
      </c>
      <c r="I51" s="45" t="str">
        <f t="shared" si="5"/>
        <v/>
      </c>
      <c r="J51" s="44">
        <f t="shared" si="6"/>
        <v>-4</v>
      </c>
      <c r="K51" s="44">
        <f t="shared" si="2"/>
        <v>-40</v>
      </c>
      <c r="L51" s="44"/>
      <c r="M51" s="46">
        <f t="shared" si="3"/>
        <v>0</v>
      </c>
      <c r="N51" s="46">
        <f t="shared" si="4"/>
        <v>0</v>
      </c>
    </row>
    <row r="52" spans="1:14" x14ac:dyDescent="0.25">
      <c r="A52" s="52">
        <f t="shared" si="7"/>
        <v>0</v>
      </c>
      <c r="B52" s="36" t="str">
        <f t="shared" si="8"/>
        <v/>
      </c>
      <c r="C52" s="37"/>
      <c r="D52" s="37"/>
      <c r="E52" s="37"/>
      <c r="F52" s="37"/>
      <c r="G52" s="16"/>
      <c r="H52" s="38">
        <v>47</v>
      </c>
      <c r="I52" s="39" t="str">
        <f t="shared" si="5"/>
        <v/>
      </c>
      <c r="J52" s="38">
        <f t="shared" si="6"/>
        <v>-4</v>
      </c>
      <c r="K52" s="38">
        <f t="shared" si="2"/>
        <v>-40</v>
      </c>
      <c r="L52" s="38"/>
      <c r="M52" s="40">
        <f t="shared" si="3"/>
        <v>0</v>
      </c>
      <c r="N52" s="40">
        <f t="shared" si="4"/>
        <v>0</v>
      </c>
    </row>
    <row r="53" spans="1:14" x14ac:dyDescent="0.25">
      <c r="A53" s="51">
        <f t="shared" si="7"/>
        <v>0</v>
      </c>
      <c r="B53" s="42" t="str">
        <f t="shared" si="8"/>
        <v/>
      </c>
      <c r="C53" s="43"/>
      <c r="D53" s="43"/>
      <c r="E53" s="43"/>
      <c r="F53" s="43"/>
      <c r="G53" s="16"/>
      <c r="H53" s="44">
        <v>48</v>
      </c>
      <c r="I53" s="45" t="str">
        <f t="shared" si="5"/>
        <v/>
      </c>
      <c r="J53" s="44">
        <f t="shared" si="6"/>
        <v>-4</v>
      </c>
      <c r="K53" s="44">
        <f t="shared" si="2"/>
        <v>-40</v>
      </c>
      <c r="L53" s="44"/>
      <c r="M53" s="46">
        <f t="shared" si="3"/>
        <v>0</v>
      </c>
      <c r="N53" s="46">
        <f t="shared" si="4"/>
        <v>0</v>
      </c>
    </row>
    <row r="54" spans="1:14" x14ac:dyDescent="0.25">
      <c r="A54" s="52">
        <f t="shared" si="7"/>
        <v>0</v>
      </c>
      <c r="B54" s="36" t="str">
        <f t="shared" si="8"/>
        <v/>
      </c>
      <c r="C54" s="37"/>
      <c r="D54" s="37"/>
      <c r="E54" s="37"/>
      <c r="F54" s="37"/>
      <c r="G54" s="16"/>
      <c r="H54" s="38">
        <v>49</v>
      </c>
      <c r="I54" s="39" t="str">
        <f t="shared" si="5"/>
        <v/>
      </c>
      <c r="J54" s="38">
        <f t="shared" si="6"/>
        <v>-4</v>
      </c>
      <c r="K54" s="38">
        <f t="shared" si="2"/>
        <v>-40</v>
      </c>
      <c r="L54" s="38"/>
      <c r="M54" s="40">
        <f t="shared" si="3"/>
        <v>0</v>
      </c>
      <c r="N54" s="40">
        <f t="shared" si="4"/>
        <v>0</v>
      </c>
    </row>
    <row r="55" spans="1:14" x14ac:dyDescent="0.25">
      <c r="A55" s="51">
        <f t="shared" si="7"/>
        <v>0</v>
      </c>
      <c r="B55" s="42" t="str">
        <f t="shared" si="8"/>
        <v/>
      </c>
      <c r="C55" s="43"/>
      <c r="D55" s="43"/>
      <c r="E55" s="43"/>
      <c r="F55" s="43"/>
      <c r="G55" s="16"/>
      <c r="H55" s="44">
        <v>50</v>
      </c>
      <c r="I55" s="45" t="str">
        <f t="shared" si="5"/>
        <v/>
      </c>
      <c r="J55" s="44">
        <f t="shared" si="6"/>
        <v>-4</v>
      </c>
      <c r="K55" s="44">
        <f t="shared" si="2"/>
        <v>-40</v>
      </c>
      <c r="L55" s="44"/>
      <c r="M55" s="46">
        <f t="shared" si="3"/>
        <v>0</v>
      </c>
      <c r="N55" s="46">
        <f t="shared" si="4"/>
        <v>0</v>
      </c>
    </row>
    <row r="56" spans="1:14" x14ac:dyDescent="0.25">
      <c r="A56" s="52">
        <f t="shared" si="7"/>
        <v>0</v>
      </c>
      <c r="B56" s="36" t="str">
        <f t="shared" si="8"/>
        <v/>
      </c>
      <c r="C56" s="37"/>
      <c r="D56" s="37"/>
      <c r="E56" s="37"/>
      <c r="F56" s="37"/>
      <c r="G56" s="16"/>
      <c r="H56" s="38">
        <v>51</v>
      </c>
      <c r="I56" s="39" t="str">
        <f t="shared" si="5"/>
        <v/>
      </c>
      <c r="J56" s="38">
        <f t="shared" si="6"/>
        <v>-4</v>
      </c>
      <c r="K56" s="38">
        <f t="shared" si="2"/>
        <v>-40</v>
      </c>
      <c r="L56" s="38"/>
      <c r="M56" s="40">
        <f t="shared" si="3"/>
        <v>0</v>
      </c>
      <c r="N56" s="40">
        <f t="shared" si="4"/>
        <v>0</v>
      </c>
    </row>
    <row r="57" spans="1:14" x14ac:dyDescent="0.25">
      <c r="A57" s="51">
        <f t="shared" si="7"/>
        <v>0</v>
      </c>
      <c r="B57" s="42" t="str">
        <f t="shared" si="8"/>
        <v/>
      </c>
      <c r="C57" s="43"/>
      <c r="D57" s="43"/>
      <c r="E57" s="43"/>
      <c r="F57" s="43"/>
      <c r="G57" s="16"/>
      <c r="H57" s="44">
        <v>52</v>
      </c>
      <c r="I57" s="45" t="str">
        <f t="shared" si="5"/>
        <v/>
      </c>
      <c r="J57" s="44">
        <f t="shared" si="6"/>
        <v>-4</v>
      </c>
      <c r="K57" s="44">
        <f t="shared" si="2"/>
        <v>-40</v>
      </c>
      <c r="L57" s="44"/>
      <c r="M57" s="46">
        <f t="shared" si="3"/>
        <v>0</v>
      </c>
      <c r="N57" s="46">
        <f t="shared" si="4"/>
        <v>0</v>
      </c>
    </row>
    <row r="58" spans="1:14" x14ac:dyDescent="0.25">
      <c r="A58" s="52">
        <f t="shared" si="7"/>
        <v>0</v>
      </c>
      <c r="B58" s="36" t="str">
        <f t="shared" si="8"/>
        <v/>
      </c>
      <c r="C58" s="37"/>
      <c r="D58" s="37"/>
      <c r="E58" s="37"/>
      <c r="F58" s="37"/>
      <c r="G58" s="16"/>
      <c r="H58" s="38">
        <v>53</v>
      </c>
      <c r="I58" s="39" t="str">
        <f t="shared" si="5"/>
        <v/>
      </c>
      <c r="J58" s="38">
        <f t="shared" si="6"/>
        <v>-4</v>
      </c>
      <c r="K58" s="38">
        <f t="shared" si="2"/>
        <v>-40</v>
      </c>
      <c r="L58" s="38"/>
      <c r="M58" s="40">
        <f t="shared" si="3"/>
        <v>0</v>
      </c>
      <c r="N58" s="40">
        <f t="shared" si="4"/>
        <v>0</v>
      </c>
    </row>
    <row r="59" spans="1:14" x14ac:dyDescent="0.25">
      <c r="A59" s="51">
        <f t="shared" si="7"/>
        <v>0</v>
      </c>
      <c r="B59" s="42" t="str">
        <f t="shared" si="8"/>
        <v/>
      </c>
      <c r="C59" s="43"/>
      <c r="D59" s="43"/>
      <c r="E59" s="43"/>
      <c r="F59" s="43"/>
      <c r="G59" s="16"/>
      <c r="H59" s="44">
        <v>54</v>
      </c>
      <c r="I59" s="45" t="str">
        <f t="shared" si="5"/>
        <v/>
      </c>
      <c r="J59" s="44">
        <f t="shared" si="6"/>
        <v>-4</v>
      </c>
      <c r="K59" s="44">
        <f t="shared" si="2"/>
        <v>-40</v>
      </c>
      <c r="L59" s="44"/>
      <c r="M59" s="46">
        <f t="shared" si="3"/>
        <v>0</v>
      </c>
      <c r="N59" s="46">
        <f t="shared" si="4"/>
        <v>0</v>
      </c>
    </row>
    <row r="60" spans="1:14" x14ac:dyDescent="0.25">
      <c r="A60" s="52">
        <f t="shared" si="7"/>
        <v>0</v>
      </c>
      <c r="B60" s="36" t="str">
        <f t="shared" si="8"/>
        <v/>
      </c>
      <c r="C60" s="37"/>
      <c r="D60" s="37"/>
      <c r="E60" s="37"/>
      <c r="F60" s="37"/>
      <c r="G60" s="16"/>
      <c r="H60" s="38">
        <v>55</v>
      </c>
      <c r="I60" s="39" t="str">
        <f t="shared" si="5"/>
        <v/>
      </c>
      <c r="J60" s="38">
        <f t="shared" si="6"/>
        <v>-4</v>
      </c>
      <c r="K60" s="38">
        <f t="shared" si="2"/>
        <v>-40</v>
      </c>
      <c r="L60" s="38"/>
      <c r="M60" s="40">
        <f t="shared" si="3"/>
        <v>0</v>
      </c>
      <c r="N60" s="40">
        <f t="shared" si="4"/>
        <v>0</v>
      </c>
    </row>
    <row r="61" spans="1:14" x14ac:dyDescent="0.25">
      <c r="A61" s="51">
        <f t="shared" si="7"/>
        <v>0</v>
      </c>
      <c r="B61" s="42" t="str">
        <f t="shared" si="8"/>
        <v/>
      </c>
      <c r="C61" s="43"/>
      <c r="D61" s="43"/>
      <c r="E61" s="43"/>
      <c r="F61" s="43"/>
      <c r="G61" s="16"/>
      <c r="H61" s="44">
        <v>56</v>
      </c>
      <c r="I61" s="45" t="str">
        <f t="shared" si="5"/>
        <v/>
      </c>
      <c r="J61" s="44">
        <f t="shared" si="6"/>
        <v>-4</v>
      </c>
      <c r="K61" s="44">
        <f t="shared" si="2"/>
        <v>-40</v>
      </c>
      <c r="L61" s="44"/>
      <c r="M61" s="46">
        <f t="shared" si="3"/>
        <v>0</v>
      </c>
      <c r="N61" s="46">
        <f t="shared" si="4"/>
        <v>0</v>
      </c>
    </row>
    <row r="62" spans="1:14" x14ac:dyDescent="0.25">
      <c r="A62" s="52">
        <f t="shared" si="7"/>
        <v>0</v>
      </c>
      <c r="B62" s="36" t="str">
        <f t="shared" si="8"/>
        <v/>
      </c>
      <c r="C62" s="37"/>
      <c r="D62" s="37"/>
      <c r="E62" s="37"/>
      <c r="F62" s="37"/>
      <c r="G62" s="16"/>
      <c r="H62" s="38">
        <v>57</v>
      </c>
      <c r="I62" s="39" t="str">
        <f t="shared" si="5"/>
        <v/>
      </c>
      <c r="J62" s="38">
        <f t="shared" si="6"/>
        <v>-4</v>
      </c>
      <c r="K62" s="38">
        <f t="shared" si="2"/>
        <v>-40</v>
      </c>
      <c r="L62" s="38"/>
      <c r="M62" s="40">
        <f t="shared" si="3"/>
        <v>0</v>
      </c>
      <c r="N62" s="40">
        <f t="shared" si="4"/>
        <v>0</v>
      </c>
    </row>
    <row r="63" spans="1:14" x14ac:dyDescent="0.25">
      <c r="A63" s="51">
        <f t="shared" si="7"/>
        <v>0</v>
      </c>
      <c r="B63" s="42" t="str">
        <f t="shared" si="8"/>
        <v/>
      </c>
      <c r="C63" s="43"/>
      <c r="D63" s="43"/>
      <c r="E63" s="43"/>
      <c r="F63" s="43"/>
      <c r="G63" s="16"/>
      <c r="H63" s="44">
        <v>58</v>
      </c>
      <c r="I63" s="45" t="str">
        <f t="shared" si="5"/>
        <v/>
      </c>
      <c r="J63" s="44">
        <f t="shared" si="6"/>
        <v>-4</v>
      </c>
      <c r="K63" s="44">
        <f t="shared" si="2"/>
        <v>-40</v>
      </c>
      <c r="L63" s="44"/>
      <c r="M63" s="46">
        <f t="shared" si="3"/>
        <v>0</v>
      </c>
      <c r="N63" s="46">
        <f t="shared" si="4"/>
        <v>0</v>
      </c>
    </row>
    <row r="64" spans="1:14" x14ac:dyDescent="0.25">
      <c r="A64" s="52">
        <f t="shared" si="7"/>
        <v>0</v>
      </c>
      <c r="B64" s="36" t="str">
        <f t="shared" si="8"/>
        <v/>
      </c>
      <c r="C64" s="37"/>
      <c r="D64" s="37"/>
      <c r="E64" s="37"/>
      <c r="F64" s="37"/>
      <c r="G64" s="16"/>
      <c r="H64" s="38">
        <v>59</v>
      </c>
      <c r="I64" s="39" t="str">
        <f t="shared" si="5"/>
        <v/>
      </c>
      <c r="J64" s="38">
        <f t="shared" si="6"/>
        <v>-4</v>
      </c>
      <c r="K64" s="38">
        <f t="shared" si="2"/>
        <v>-40</v>
      </c>
      <c r="L64" s="38"/>
      <c r="M64" s="40">
        <f t="shared" si="3"/>
        <v>0</v>
      </c>
      <c r="N64" s="40">
        <f t="shared" si="4"/>
        <v>0</v>
      </c>
    </row>
    <row r="65" spans="1:14" x14ac:dyDescent="0.25">
      <c r="A65" s="51">
        <f t="shared" si="7"/>
        <v>0</v>
      </c>
      <c r="B65" s="42" t="str">
        <f t="shared" si="8"/>
        <v/>
      </c>
      <c r="C65" s="43"/>
      <c r="D65" s="43"/>
      <c r="E65" s="43"/>
      <c r="F65" s="43"/>
      <c r="G65" s="16"/>
      <c r="H65" s="44">
        <v>60</v>
      </c>
      <c r="I65" s="45" t="str">
        <f t="shared" si="5"/>
        <v/>
      </c>
      <c r="J65" s="44">
        <f t="shared" si="6"/>
        <v>-4</v>
      </c>
      <c r="K65" s="44">
        <f t="shared" si="2"/>
        <v>-40</v>
      </c>
      <c r="L65" s="44"/>
      <c r="M65" s="46">
        <f t="shared" si="3"/>
        <v>0</v>
      </c>
      <c r="N65" s="46">
        <f t="shared" si="4"/>
        <v>0</v>
      </c>
    </row>
    <row r="66" spans="1:14" x14ac:dyDescent="0.25">
      <c r="A66" s="59">
        <f t="shared" si="7"/>
        <v>0</v>
      </c>
      <c r="B66" s="36"/>
      <c r="G66" s="16"/>
      <c r="H66" s="38">
        <v>61</v>
      </c>
      <c r="I66" s="39" t="str">
        <f t="shared" si="5"/>
        <v/>
      </c>
      <c r="J66" s="38">
        <f t="shared" si="6"/>
        <v>-4</v>
      </c>
      <c r="K66" s="38">
        <f t="shared" si="2"/>
        <v>-40</v>
      </c>
      <c r="L66" s="38"/>
      <c r="M66" s="40">
        <f t="shared" si="3"/>
        <v>0</v>
      </c>
      <c r="N66" s="40">
        <f t="shared" si="4"/>
        <v>0</v>
      </c>
    </row>
    <row r="67" spans="1:14" x14ac:dyDescent="0.25">
      <c r="A67" s="59">
        <f t="shared" si="7"/>
        <v>0</v>
      </c>
      <c r="B67" s="42"/>
      <c r="G67" s="16"/>
      <c r="H67" s="38">
        <v>62</v>
      </c>
      <c r="I67" s="39" t="str">
        <f t="shared" si="5"/>
        <v/>
      </c>
      <c r="J67" s="38">
        <f t="shared" si="6"/>
        <v>-4</v>
      </c>
      <c r="K67" s="38">
        <f t="shared" si="2"/>
        <v>-40</v>
      </c>
      <c r="L67" s="38"/>
      <c r="M67" s="40">
        <f t="shared" si="3"/>
        <v>0</v>
      </c>
      <c r="N67" s="40">
        <f t="shared" si="4"/>
        <v>0</v>
      </c>
    </row>
    <row r="68" spans="1:14" x14ac:dyDescent="0.25">
      <c r="A68" s="59">
        <f t="shared" si="7"/>
        <v>0</v>
      </c>
      <c r="B68" s="36"/>
      <c r="G68" s="16"/>
      <c r="H68" s="38">
        <v>63</v>
      </c>
      <c r="I68" s="39" t="str">
        <f t="shared" si="5"/>
        <v/>
      </c>
      <c r="J68" s="38">
        <f t="shared" si="6"/>
        <v>-4</v>
      </c>
      <c r="K68" s="38">
        <f t="shared" si="2"/>
        <v>-40</v>
      </c>
      <c r="L68" s="38"/>
      <c r="M68" s="40">
        <f t="shared" si="3"/>
        <v>0</v>
      </c>
      <c r="N68" s="40">
        <f t="shared" si="4"/>
        <v>0</v>
      </c>
    </row>
    <row r="69" spans="1:14" x14ac:dyDescent="0.25">
      <c r="A69" s="59">
        <f t="shared" si="7"/>
        <v>0</v>
      </c>
      <c r="B69" s="42"/>
      <c r="G69" s="16"/>
      <c r="H69" s="38">
        <v>64</v>
      </c>
      <c r="I69" s="39" t="str">
        <f t="shared" si="5"/>
        <v/>
      </c>
      <c r="J69" s="38">
        <f t="shared" si="6"/>
        <v>-4</v>
      </c>
      <c r="K69" s="38">
        <f t="shared" si="2"/>
        <v>-40</v>
      </c>
      <c r="L69" s="38"/>
      <c r="M69" s="40">
        <f t="shared" si="3"/>
        <v>0</v>
      </c>
      <c r="N69" s="40">
        <f t="shared" si="4"/>
        <v>0</v>
      </c>
    </row>
    <row r="70" spans="1:14" x14ac:dyDescent="0.25">
      <c r="A70" s="59">
        <f t="shared" si="7"/>
        <v>0</v>
      </c>
      <c r="G70" s="16"/>
      <c r="H70" s="38">
        <v>65</v>
      </c>
      <c r="I70" s="39" t="str">
        <f t="shared" ref="I70:I133" si="9">IF(H70&lt;$H$2+1,($I$2-($I$2-1)*(LOG(H70)/LOG($H$2))),"")</f>
        <v/>
      </c>
      <c r="J70" s="38">
        <f t="shared" si="6"/>
        <v>-5</v>
      </c>
      <c r="K70" s="38">
        <f t="shared" ref="K70:K133" si="10">J70*$J$2</f>
        <v>-50</v>
      </c>
      <c r="L70" s="38"/>
      <c r="M70" s="40">
        <f t="shared" ref="M70:M133" si="11">IF(I70&lt;&gt;"",K70+I70+L70,0)</f>
        <v>0</v>
      </c>
      <c r="N70" s="40">
        <f t="shared" ref="N70:N133" si="12">IF(I70&lt;&gt;"",M70*L$2,0)</f>
        <v>0</v>
      </c>
    </row>
    <row r="71" spans="1:14" x14ac:dyDescent="0.25">
      <c r="A71" s="59">
        <f t="shared" ref="A71:A134" si="13">N71</f>
        <v>0</v>
      </c>
      <c r="G71" s="16"/>
      <c r="H71" s="38">
        <v>66</v>
      </c>
      <c r="I71" s="39" t="str">
        <f t="shared" si="9"/>
        <v/>
      </c>
      <c r="J71" s="38">
        <f t="shared" ref="J71:J126" si="14">INT(LOG($H$2,2))-ROUNDUP(LOG(H71,2),0)+IF(OR($H$2=1,$H$2=2,$H$2=4,$H$2=8,$H$2=16,$H$2=32,$H$2=64,$H$2=128,$H$2=256),0,1)</f>
        <v>-5</v>
      </c>
      <c r="K71" s="38">
        <f t="shared" si="10"/>
        <v>-50</v>
      </c>
      <c r="L71" s="38"/>
      <c r="M71" s="40">
        <f t="shared" si="11"/>
        <v>0</v>
      </c>
      <c r="N71" s="40">
        <f t="shared" si="12"/>
        <v>0</v>
      </c>
    </row>
    <row r="72" spans="1:14" x14ac:dyDescent="0.25">
      <c r="A72" s="59">
        <f t="shared" si="13"/>
        <v>0</v>
      </c>
      <c r="G72" s="16"/>
      <c r="H72" s="38">
        <v>67</v>
      </c>
      <c r="I72" s="39" t="str">
        <f t="shared" si="9"/>
        <v/>
      </c>
      <c r="J72" s="38">
        <f t="shared" si="14"/>
        <v>-5</v>
      </c>
      <c r="K72" s="38">
        <f t="shared" si="10"/>
        <v>-50</v>
      </c>
      <c r="L72" s="38"/>
      <c r="M72" s="40">
        <f t="shared" si="11"/>
        <v>0</v>
      </c>
      <c r="N72" s="40">
        <f t="shared" si="12"/>
        <v>0</v>
      </c>
    </row>
    <row r="73" spans="1:14" x14ac:dyDescent="0.25">
      <c r="A73" s="59">
        <f t="shared" si="13"/>
        <v>0</v>
      </c>
      <c r="G73" s="16"/>
      <c r="H73" s="38">
        <v>68</v>
      </c>
      <c r="I73" s="39" t="str">
        <f t="shared" si="9"/>
        <v/>
      </c>
      <c r="J73" s="38">
        <f t="shared" si="14"/>
        <v>-5</v>
      </c>
      <c r="K73" s="38">
        <f t="shared" si="10"/>
        <v>-50</v>
      </c>
      <c r="L73" s="38"/>
      <c r="M73" s="40">
        <f t="shared" si="11"/>
        <v>0</v>
      </c>
      <c r="N73" s="40">
        <f t="shared" si="12"/>
        <v>0</v>
      </c>
    </row>
    <row r="74" spans="1:14" x14ac:dyDescent="0.25">
      <c r="A74" s="59">
        <f t="shared" si="13"/>
        <v>0</v>
      </c>
      <c r="G74" s="16"/>
      <c r="H74" s="38">
        <v>69</v>
      </c>
      <c r="I74" s="39" t="str">
        <f t="shared" si="9"/>
        <v/>
      </c>
      <c r="J74" s="38">
        <f t="shared" si="14"/>
        <v>-5</v>
      </c>
      <c r="K74" s="38">
        <f t="shared" si="10"/>
        <v>-50</v>
      </c>
      <c r="L74" s="38"/>
      <c r="M74" s="40">
        <f t="shared" si="11"/>
        <v>0</v>
      </c>
      <c r="N74" s="40">
        <f t="shared" si="12"/>
        <v>0</v>
      </c>
    </row>
    <row r="75" spans="1:14" x14ac:dyDescent="0.25">
      <c r="A75" s="59">
        <f t="shared" si="13"/>
        <v>0</v>
      </c>
      <c r="G75" s="16"/>
      <c r="H75" s="38">
        <v>70</v>
      </c>
      <c r="I75" s="39" t="str">
        <f t="shared" si="9"/>
        <v/>
      </c>
      <c r="J75" s="38">
        <f t="shared" si="14"/>
        <v>-5</v>
      </c>
      <c r="K75" s="38">
        <f t="shared" si="10"/>
        <v>-50</v>
      </c>
      <c r="L75" s="38"/>
      <c r="M75" s="40">
        <f t="shared" si="11"/>
        <v>0</v>
      </c>
      <c r="N75" s="40">
        <f t="shared" si="12"/>
        <v>0</v>
      </c>
    </row>
    <row r="76" spans="1:14" x14ac:dyDescent="0.25">
      <c r="A76" s="59">
        <f t="shared" si="13"/>
        <v>0</v>
      </c>
      <c r="G76" s="16"/>
      <c r="H76" s="38">
        <v>71</v>
      </c>
      <c r="I76" s="39" t="str">
        <f t="shared" si="9"/>
        <v/>
      </c>
      <c r="J76" s="38">
        <f t="shared" si="14"/>
        <v>-5</v>
      </c>
      <c r="K76" s="38">
        <f t="shared" si="10"/>
        <v>-50</v>
      </c>
      <c r="L76" s="38"/>
      <c r="M76" s="40">
        <f t="shared" si="11"/>
        <v>0</v>
      </c>
      <c r="N76" s="40">
        <f t="shared" si="12"/>
        <v>0</v>
      </c>
    </row>
    <row r="77" spans="1:14" x14ac:dyDescent="0.25">
      <c r="A77" s="59">
        <f t="shared" si="13"/>
        <v>0</v>
      </c>
      <c r="G77" s="16"/>
      <c r="H77" s="38">
        <v>72</v>
      </c>
      <c r="I77" s="39" t="str">
        <f t="shared" si="9"/>
        <v/>
      </c>
      <c r="J77" s="38">
        <f t="shared" si="14"/>
        <v>-5</v>
      </c>
      <c r="K77" s="38">
        <f t="shared" si="10"/>
        <v>-50</v>
      </c>
      <c r="L77" s="38"/>
      <c r="M77" s="40">
        <f t="shared" si="11"/>
        <v>0</v>
      </c>
      <c r="N77" s="40">
        <f t="shared" si="12"/>
        <v>0</v>
      </c>
    </row>
    <row r="78" spans="1:14" x14ac:dyDescent="0.25">
      <c r="A78" s="59">
        <f t="shared" si="13"/>
        <v>0</v>
      </c>
      <c r="G78" s="16"/>
      <c r="H78" s="38">
        <v>73</v>
      </c>
      <c r="I78" s="39" t="str">
        <f t="shared" si="9"/>
        <v/>
      </c>
      <c r="J78" s="38">
        <f t="shared" si="14"/>
        <v>-5</v>
      </c>
      <c r="K78" s="38">
        <f t="shared" si="10"/>
        <v>-50</v>
      </c>
      <c r="L78" s="38"/>
      <c r="M78" s="40">
        <f t="shared" si="11"/>
        <v>0</v>
      </c>
      <c r="N78" s="40">
        <f t="shared" si="12"/>
        <v>0</v>
      </c>
    </row>
    <row r="79" spans="1:14" x14ac:dyDescent="0.25">
      <c r="A79" s="59">
        <f t="shared" si="13"/>
        <v>0</v>
      </c>
      <c r="G79" s="16"/>
      <c r="H79" s="38">
        <v>74</v>
      </c>
      <c r="I79" s="39" t="str">
        <f t="shared" si="9"/>
        <v/>
      </c>
      <c r="J79" s="38">
        <f t="shared" si="14"/>
        <v>-5</v>
      </c>
      <c r="K79" s="38">
        <f t="shared" si="10"/>
        <v>-50</v>
      </c>
      <c r="L79" s="38"/>
      <c r="M79" s="40">
        <f t="shared" si="11"/>
        <v>0</v>
      </c>
      <c r="N79" s="40">
        <f t="shared" si="12"/>
        <v>0</v>
      </c>
    </row>
    <row r="80" spans="1:14" x14ac:dyDescent="0.25">
      <c r="A80" s="59">
        <f t="shared" si="13"/>
        <v>0</v>
      </c>
      <c r="G80" s="16"/>
      <c r="H80" s="38">
        <v>75</v>
      </c>
      <c r="I80" s="39" t="str">
        <f t="shared" si="9"/>
        <v/>
      </c>
      <c r="J80" s="38">
        <f t="shared" si="14"/>
        <v>-5</v>
      </c>
      <c r="K80" s="38">
        <f t="shared" si="10"/>
        <v>-50</v>
      </c>
      <c r="L80" s="38"/>
      <c r="M80" s="40">
        <f t="shared" si="11"/>
        <v>0</v>
      </c>
      <c r="N80" s="40">
        <f t="shared" si="12"/>
        <v>0</v>
      </c>
    </row>
    <row r="81" spans="1:14" x14ac:dyDescent="0.25">
      <c r="A81" s="59">
        <f t="shared" si="13"/>
        <v>0</v>
      </c>
      <c r="G81" s="16"/>
      <c r="H81" s="38">
        <v>76</v>
      </c>
      <c r="I81" s="39" t="str">
        <f t="shared" si="9"/>
        <v/>
      </c>
      <c r="J81" s="38">
        <f t="shared" si="14"/>
        <v>-5</v>
      </c>
      <c r="K81" s="38">
        <f t="shared" si="10"/>
        <v>-50</v>
      </c>
      <c r="L81" s="38"/>
      <c r="M81" s="40">
        <f t="shared" si="11"/>
        <v>0</v>
      </c>
      <c r="N81" s="40">
        <f t="shared" si="12"/>
        <v>0</v>
      </c>
    </row>
    <row r="82" spans="1:14" x14ac:dyDescent="0.25">
      <c r="A82" s="59">
        <f t="shared" si="13"/>
        <v>0</v>
      </c>
      <c r="G82" s="16"/>
      <c r="H82" s="38">
        <v>77</v>
      </c>
      <c r="I82" s="39" t="str">
        <f t="shared" si="9"/>
        <v/>
      </c>
      <c r="J82" s="38">
        <f t="shared" si="14"/>
        <v>-5</v>
      </c>
      <c r="K82" s="38">
        <f t="shared" si="10"/>
        <v>-50</v>
      </c>
      <c r="L82" s="38"/>
      <c r="M82" s="40">
        <f t="shared" si="11"/>
        <v>0</v>
      </c>
      <c r="N82" s="40">
        <f t="shared" si="12"/>
        <v>0</v>
      </c>
    </row>
    <row r="83" spans="1:14" x14ac:dyDescent="0.25">
      <c r="A83" s="59">
        <f t="shared" si="13"/>
        <v>0</v>
      </c>
      <c r="G83" s="16"/>
      <c r="H83" s="38">
        <v>78</v>
      </c>
      <c r="I83" s="39" t="str">
        <f t="shared" si="9"/>
        <v/>
      </c>
      <c r="J83" s="38">
        <f t="shared" si="14"/>
        <v>-5</v>
      </c>
      <c r="K83" s="38">
        <f t="shared" si="10"/>
        <v>-50</v>
      </c>
      <c r="L83" s="38"/>
      <c r="M83" s="40">
        <f t="shared" si="11"/>
        <v>0</v>
      </c>
      <c r="N83" s="40">
        <f t="shared" si="12"/>
        <v>0</v>
      </c>
    </row>
    <row r="84" spans="1:14" x14ac:dyDescent="0.25">
      <c r="A84" s="59">
        <f t="shared" si="13"/>
        <v>0</v>
      </c>
      <c r="G84" s="16"/>
      <c r="H84" s="38">
        <v>79</v>
      </c>
      <c r="I84" s="39" t="str">
        <f t="shared" si="9"/>
        <v/>
      </c>
      <c r="J84" s="38">
        <f t="shared" si="14"/>
        <v>-5</v>
      </c>
      <c r="K84" s="38">
        <f t="shared" si="10"/>
        <v>-50</v>
      </c>
      <c r="L84" s="38"/>
      <c r="M84" s="40">
        <f t="shared" si="11"/>
        <v>0</v>
      </c>
      <c r="N84" s="40">
        <f t="shared" si="12"/>
        <v>0</v>
      </c>
    </row>
    <row r="85" spans="1:14" x14ac:dyDescent="0.25">
      <c r="A85" s="59">
        <f t="shared" si="13"/>
        <v>0</v>
      </c>
      <c r="G85" s="16"/>
      <c r="H85" s="38">
        <v>80</v>
      </c>
      <c r="I85" s="39" t="str">
        <f t="shared" si="9"/>
        <v/>
      </c>
      <c r="J85" s="38">
        <f t="shared" si="14"/>
        <v>-5</v>
      </c>
      <c r="K85" s="38">
        <f t="shared" si="10"/>
        <v>-50</v>
      </c>
      <c r="L85" s="38"/>
      <c r="M85" s="40">
        <f t="shared" si="11"/>
        <v>0</v>
      </c>
      <c r="N85" s="40">
        <f t="shared" si="12"/>
        <v>0</v>
      </c>
    </row>
    <row r="86" spans="1:14" x14ac:dyDescent="0.25">
      <c r="A86" s="59">
        <f t="shared" si="13"/>
        <v>0</v>
      </c>
      <c r="G86" s="16"/>
      <c r="H86" s="38">
        <v>81</v>
      </c>
      <c r="I86" s="39" t="str">
        <f t="shared" si="9"/>
        <v/>
      </c>
      <c r="J86" s="38">
        <f t="shared" si="14"/>
        <v>-5</v>
      </c>
      <c r="K86" s="38">
        <f t="shared" si="10"/>
        <v>-50</v>
      </c>
      <c r="L86" s="38"/>
      <c r="M86" s="40">
        <f t="shared" si="11"/>
        <v>0</v>
      </c>
      <c r="N86" s="40">
        <f t="shared" si="12"/>
        <v>0</v>
      </c>
    </row>
    <row r="87" spans="1:14" x14ac:dyDescent="0.25">
      <c r="A87" s="59">
        <f t="shared" si="13"/>
        <v>0</v>
      </c>
      <c r="G87" s="16"/>
      <c r="H87" s="38">
        <v>82</v>
      </c>
      <c r="I87" s="39" t="str">
        <f t="shared" si="9"/>
        <v/>
      </c>
      <c r="J87" s="38">
        <f t="shared" si="14"/>
        <v>-5</v>
      </c>
      <c r="K87" s="38">
        <f t="shared" si="10"/>
        <v>-50</v>
      </c>
      <c r="L87" s="38"/>
      <c r="M87" s="40">
        <f t="shared" si="11"/>
        <v>0</v>
      </c>
      <c r="N87" s="40">
        <f t="shared" si="12"/>
        <v>0</v>
      </c>
    </row>
    <row r="88" spans="1:14" x14ac:dyDescent="0.25">
      <c r="A88" s="59">
        <f t="shared" si="13"/>
        <v>0</v>
      </c>
      <c r="G88" s="16"/>
      <c r="H88" s="38">
        <v>83</v>
      </c>
      <c r="I88" s="39" t="str">
        <f t="shared" si="9"/>
        <v/>
      </c>
      <c r="J88" s="38">
        <f t="shared" si="14"/>
        <v>-5</v>
      </c>
      <c r="K88" s="38">
        <f t="shared" si="10"/>
        <v>-50</v>
      </c>
      <c r="L88" s="38"/>
      <c r="M88" s="40">
        <f t="shared" si="11"/>
        <v>0</v>
      </c>
      <c r="N88" s="40">
        <f t="shared" si="12"/>
        <v>0</v>
      </c>
    </row>
    <row r="89" spans="1:14" x14ac:dyDescent="0.25">
      <c r="A89" s="59">
        <f t="shared" si="13"/>
        <v>0</v>
      </c>
      <c r="G89" s="16"/>
      <c r="H89" s="38">
        <v>84</v>
      </c>
      <c r="I89" s="39" t="str">
        <f t="shared" si="9"/>
        <v/>
      </c>
      <c r="J89" s="38">
        <f t="shared" si="14"/>
        <v>-5</v>
      </c>
      <c r="K89" s="38">
        <f t="shared" si="10"/>
        <v>-50</v>
      </c>
      <c r="L89" s="38"/>
      <c r="M89" s="40">
        <f t="shared" si="11"/>
        <v>0</v>
      </c>
      <c r="N89" s="40">
        <f t="shared" si="12"/>
        <v>0</v>
      </c>
    </row>
    <row r="90" spans="1:14" x14ac:dyDescent="0.25">
      <c r="A90" s="59">
        <f t="shared" si="13"/>
        <v>0</v>
      </c>
      <c r="G90" s="16"/>
      <c r="H90" s="38">
        <v>85</v>
      </c>
      <c r="I90" s="39" t="str">
        <f t="shared" si="9"/>
        <v/>
      </c>
      <c r="J90" s="38">
        <f t="shared" si="14"/>
        <v>-5</v>
      </c>
      <c r="K90" s="38">
        <f t="shared" si="10"/>
        <v>-50</v>
      </c>
      <c r="L90" s="38"/>
      <c r="M90" s="40">
        <f t="shared" si="11"/>
        <v>0</v>
      </c>
      <c r="N90" s="40">
        <f t="shared" si="12"/>
        <v>0</v>
      </c>
    </row>
    <row r="91" spans="1:14" x14ac:dyDescent="0.25">
      <c r="A91" s="59">
        <f t="shared" si="13"/>
        <v>0</v>
      </c>
      <c r="G91" s="16"/>
      <c r="H91" s="38">
        <v>86</v>
      </c>
      <c r="I91" s="39" t="str">
        <f t="shared" si="9"/>
        <v/>
      </c>
      <c r="J91" s="38">
        <f t="shared" si="14"/>
        <v>-5</v>
      </c>
      <c r="K91" s="38">
        <f t="shared" si="10"/>
        <v>-50</v>
      </c>
      <c r="L91" s="38"/>
      <c r="M91" s="40">
        <f t="shared" si="11"/>
        <v>0</v>
      </c>
      <c r="N91" s="40">
        <f t="shared" si="12"/>
        <v>0</v>
      </c>
    </row>
    <row r="92" spans="1:14" x14ac:dyDescent="0.25">
      <c r="A92" s="59">
        <f t="shared" si="13"/>
        <v>0</v>
      </c>
      <c r="G92" s="16"/>
      <c r="H92" s="38">
        <v>87</v>
      </c>
      <c r="I92" s="39" t="str">
        <f t="shared" si="9"/>
        <v/>
      </c>
      <c r="J92" s="38">
        <f t="shared" si="14"/>
        <v>-5</v>
      </c>
      <c r="K92" s="38">
        <f t="shared" si="10"/>
        <v>-50</v>
      </c>
      <c r="L92" s="38"/>
      <c r="M92" s="40">
        <f t="shared" si="11"/>
        <v>0</v>
      </c>
      <c r="N92" s="40">
        <f t="shared" si="12"/>
        <v>0</v>
      </c>
    </row>
    <row r="93" spans="1:14" x14ac:dyDescent="0.25">
      <c r="A93" s="59">
        <f t="shared" si="13"/>
        <v>0</v>
      </c>
      <c r="G93" s="16"/>
      <c r="H93" s="38">
        <v>88</v>
      </c>
      <c r="I93" s="39" t="str">
        <f t="shared" si="9"/>
        <v/>
      </c>
      <c r="J93" s="38">
        <f t="shared" si="14"/>
        <v>-5</v>
      </c>
      <c r="K93" s="38">
        <f t="shared" si="10"/>
        <v>-50</v>
      </c>
      <c r="L93" s="38"/>
      <c r="M93" s="40">
        <f t="shared" si="11"/>
        <v>0</v>
      </c>
      <c r="N93" s="40">
        <f t="shared" si="12"/>
        <v>0</v>
      </c>
    </row>
    <row r="94" spans="1:14" x14ac:dyDescent="0.25">
      <c r="A94" s="59">
        <f t="shared" si="13"/>
        <v>0</v>
      </c>
      <c r="G94" s="16"/>
      <c r="H94" s="38">
        <v>89</v>
      </c>
      <c r="I94" s="39" t="str">
        <f t="shared" si="9"/>
        <v/>
      </c>
      <c r="J94" s="38">
        <f t="shared" si="14"/>
        <v>-5</v>
      </c>
      <c r="K94" s="38">
        <f t="shared" si="10"/>
        <v>-50</v>
      </c>
      <c r="L94" s="38"/>
      <c r="M94" s="40">
        <f t="shared" si="11"/>
        <v>0</v>
      </c>
      <c r="N94" s="40">
        <f t="shared" si="12"/>
        <v>0</v>
      </c>
    </row>
    <row r="95" spans="1:14" x14ac:dyDescent="0.25">
      <c r="A95" s="59">
        <f t="shared" si="13"/>
        <v>0</v>
      </c>
      <c r="G95" s="16"/>
      <c r="H95" s="38">
        <v>90</v>
      </c>
      <c r="I95" s="39" t="str">
        <f t="shared" si="9"/>
        <v/>
      </c>
      <c r="J95" s="38">
        <f t="shared" si="14"/>
        <v>-5</v>
      </c>
      <c r="K95" s="38">
        <f t="shared" si="10"/>
        <v>-50</v>
      </c>
      <c r="L95" s="38"/>
      <c r="M95" s="40">
        <f t="shared" si="11"/>
        <v>0</v>
      </c>
      <c r="N95" s="40">
        <f t="shared" si="12"/>
        <v>0</v>
      </c>
    </row>
    <row r="96" spans="1:14" x14ac:dyDescent="0.25">
      <c r="A96" s="59">
        <f t="shared" si="13"/>
        <v>0</v>
      </c>
      <c r="G96" s="16"/>
      <c r="H96" s="38">
        <v>91</v>
      </c>
      <c r="I96" s="39" t="str">
        <f t="shared" si="9"/>
        <v/>
      </c>
      <c r="J96" s="38">
        <f t="shared" si="14"/>
        <v>-5</v>
      </c>
      <c r="K96" s="38">
        <f t="shared" si="10"/>
        <v>-50</v>
      </c>
      <c r="L96" s="38"/>
      <c r="M96" s="40">
        <f t="shared" si="11"/>
        <v>0</v>
      </c>
      <c r="N96" s="40">
        <f t="shared" si="12"/>
        <v>0</v>
      </c>
    </row>
    <row r="97" spans="1:14" x14ac:dyDescent="0.25">
      <c r="A97" s="59">
        <f t="shared" si="13"/>
        <v>0</v>
      </c>
      <c r="G97" s="16"/>
      <c r="H97" s="38">
        <v>92</v>
      </c>
      <c r="I97" s="39" t="str">
        <f t="shared" si="9"/>
        <v/>
      </c>
      <c r="J97" s="38">
        <f t="shared" si="14"/>
        <v>-5</v>
      </c>
      <c r="K97" s="38">
        <f t="shared" si="10"/>
        <v>-50</v>
      </c>
      <c r="L97" s="38"/>
      <c r="M97" s="40">
        <f t="shared" si="11"/>
        <v>0</v>
      </c>
      <c r="N97" s="40">
        <f t="shared" si="12"/>
        <v>0</v>
      </c>
    </row>
    <row r="98" spans="1:14" x14ac:dyDescent="0.25">
      <c r="A98" s="59">
        <f t="shared" si="13"/>
        <v>0</v>
      </c>
      <c r="G98" s="16"/>
      <c r="H98" s="38">
        <v>93</v>
      </c>
      <c r="I98" s="39" t="str">
        <f t="shared" si="9"/>
        <v/>
      </c>
      <c r="J98" s="38">
        <f t="shared" si="14"/>
        <v>-5</v>
      </c>
      <c r="K98" s="38">
        <f t="shared" si="10"/>
        <v>-50</v>
      </c>
      <c r="L98" s="38"/>
      <c r="M98" s="40">
        <f t="shared" si="11"/>
        <v>0</v>
      </c>
      <c r="N98" s="40">
        <f t="shared" si="12"/>
        <v>0</v>
      </c>
    </row>
    <row r="99" spans="1:14" x14ac:dyDescent="0.25">
      <c r="A99" s="59">
        <f t="shared" si="13"/>
        <v>0</v>
      </c>
      <c r="G99" s="16"/>
      <c r="H99" s="38">
        <v>94</v>
      </c>
      <c r="I99" s="39" t="str">
        <f t="shared" si="9"/>
        <v/>
      </c>
      <c r="J99" s="38">
        <f t="shared" si="14"/>
        <v>-5</v>
      </c>
      <c r="K99" s="38">
        <f t="shared" si="10"/>
        <v>-50</v>
      </c>
      <c r="L99" s="38"/>
      <c r="M99" s="40">
        <f t="shared" si="11"/>
        <v>0</v>
      </c>
      <c r="N99" s="40">
        <f t="shared" si="12"/>
        <v>0</v>
      </c>
    </row>
    <row r="100" spans="1:14" x14ac:dyDescent="0.25">
      <c r="A100" s="59">
        <f t="shared" si="13"/>
        <v>0</v>
      </c>
      <c r="G100" s="16"/>
      <c r="H100" s="38">
        <v>95</v>
      </c>
      <c r="I100" s="39" t="str">
        <f t="shared" si="9"/>
        <v/>
      </c>
      <c r="J100" s="38">
        <f t="shared" si="14"/>
        <v>-5</v>
      </c>
      <c r="K100" s="38">
        <f t="shared" si="10"/>
        <v>-50</v>
      </c>
      <c r="L100" s="38"/>
      <c r="M100" s="40">
        <f t="shared" si="11"/>
        <v>0</v>
      </c>
      <c r="N100" s="40">
        <f t="shared" si="12"/>
        <v>0</v>
      </c>
    </row>
    <row r="101" spans="1:14" x14ac:dyDescent="0.25">
      <c r="A101" s="59">
        <f t="shared" si="13"/>
        <v>0</v>
      </c>
      <c r="G101" s="16"/>
      <c r="H101" s="38">
        <v>96</v>
      </c>
      <c r="I101" s="39" t="str">
        <f t="shared" si="9"/>
        <v/>
      </c>
      <c r="J101" s="38">
        <f t="shared" si="14"/>
        <v>-5</v>
      </c>
      <c r="K101" s="38">
        <f t="shared" si="10"/>
        <v>-50</v>
      </c>
      <c r="L101" s="38"/>
      <c r="M101" s="40">
        <f t="shared" si="11"/>
        <v>0</v>
      </c>
      <c r="N101" s="40">
        <f t="shared" si="12"/>
        <v>0</v>
      </c>
    </row>
    <row r="102" spans="1:14" x14ac:dyDescent="0.25">
      <c r="A102" s="59">
        <f t="shared" si="13"/>
        <v>0</v>
      </c>
      <c r="G102" s="16"/>
      <c r="H102" s="38">
        <v>97</v>
      </c>
      <c r="I102" s="39" t="str">
        <f t="shared" si="9"/>
        <v/>
      </c>
      <c r="J102" s="38">
        <f t="shared" si="14"/>
        <v>-5</v>
      </c>
      <c r="K102" s="38">
        <f t="shared" si="10"/>
        <v>-50</v>
      </c>
      <c r="L102" s="38"/>
      <c r="M102" s="40">
        <f t="shared" si="11"/>
        <v>0</v>
      </c>
      <c r="N102" s="40">
        <f t="shared" si="12"/>
        <v>0</v>
      </c>
    </row>
    <row r="103" spans="1:14" x14ac:dyDescent="0.25">
      <c r="A103" s="59">
        <f t="shared" si="13"/>
        <v>0</v>
      </c>
      <c r="G103" s="16"/>
      <c r="H103" s="38">
        <v>98</v>
      </c>
      <c r="I103" s="39" t="str">
        <f t="shared" si="9"/>
        <v/>
      </c>
      <c r="J103" s="38">
        <f t="shared" si="14"/>
        <v>-5</v>
      </c>
      <c r="K103" s="38">
        <f t="shared" si="10"/>
        <v>-50</v>
      </c>
      <c r="L103" s="38"/>
      <c r="M103" s="40">
        <f t="shared" si="11"/>
        <v>0</v>
      </c>
      <c r="N103" s="40">
        <f t="shared" si="12"/>
        <v>0</v>
      </c>
    </row>
    <row r="104" spans="1:14" x14ac:dyDescent="0.25">
      <c r="A104" s="59">
        <f t="shared" si="13"/>
        <v>0</v>
      </c>
      <c r="G104" s="16"/>
      <c r="H104" s="38">
        <v>99</v>
      </c>
      <c r="I104" s="39" t="str">
        <f t="shared" si="9"/>
        <v/>
      </c>
      <c r="J104" s="38">
        <f t="shared" si="14"/>
        <v>-5</v>
      </c>
      <c r="K104" s="38">
        <f t="shared" si="10"/>
        <v>-50</v>
      </c>
      <c r="L104" s="38"/>
      <c r="M104" s="40">
        <f t="shared" si="11"/>
        <v>0</v>
      </c>
      <c r="N104" s="40">
        <f t="shared" si="12"/>
        <v>0</v>
      </c>
    </row>
    <row r="105" spans="1:14" x14ac:dyDescent="0.25">
      <c r="A105" s="59">
        <f t="shared" si="13"/>
        <v>0</v>
      </c>
      <c r="G105" s="16"/>
      <c r="H105" s="38">
        <v>100</v>
      </c>
      <c r="I105" s="39" t="str">
        <f t="shared" si="9"/>
        <v/>
      </c>
      <c r="J105" s="38">
        <f t="shared" si="14"/>
        <v>-5</v>
      </c>
      <c r="K105" s="38">
        <f t="shared" si="10"/>
        <v>-50</v>
      </c>
      <c r="L105" s="38"/>
      <c r="M105" s="40">
        <f t="shared" si="11"/>
        <v>0</v>
      </c>
      <c r="N105" s="40">
        <f t="shared" si="12"/>
        <v>0</v>
      </c>
    </row>
    <row r="106" spans="1:14" x14ac:dyDescent="0.25">
      <c r="A106" s="59">
        <f t="shared" si="13"/>
        <v>0</v>
      </c>
      <c r="G106" s="16"/>
      <c r="H106" s="38">
        <v>101</v>
      </c>
      <c r="I106" s="39" t="str">
        <f t="shared" si="9"/>
        <v/>
      </c>
      <c r="J106" s="38">
        <f t="shared" si="14"/>
        <v>-5</v>
      </c>
      <c r="K106" s="38">
        <f t="shared" si="10"/>
        <v>-50</v>
      </c>
      <c r="L106" s="38"/>
      <c r="M106" s="40">
        <f t="shared" si="11"/>
        <v>0</v>
      </c>
      <c r="N106" s="40">
        <f t="shared" si="12"/>
        <v>0</v>
      </c>
    </row>
    <row r="107" spans="1:14" x14ac:dyDescent="0.25">
      <c r="A107" s="59">
        <f t="shared" si="13"/>
        <v>0</v>
      </c>
      <c r="G107" s="16"/>
      <c r="H107" s="38">
        <v>102</v>
      </c>
      <c r="I107" s="39" t="str">
        <f t="shared" si="9"/>
        <v/>
      </c>
      <c r="J107" s="38">
        <f t="shared" si="14"/>
        <v>-5</v>
      </c>
      <c r="K107" s="38">
        <f t="shared" si="10"/>
        <v>-50</v>
      </c>
      <c r="L107" s="38"/>
      <c r="M107" s="40">
        <f t="shared" si="11"/>
        <v>0</v>
      </c>
      <c r="N107" s="40">
        <f t="shared" si="12"/>
        <v>0</v>
      </c>
    </row>
    <row r="108" spans="1:14" x14ac:dyDescent="0.25">
      <c r="A108" s="59">
        <f t="shared" si="13"/>
        <v>0</v>
      </c>
      <c r="G108" s="16"/>
      <c r="H108" s="38">
        <v>103</v>
      </c>
      <c r="I108" s="39" t="str">
        <f t="shared" si="9"/>
        <v/>
      </c>
      <c r="J108" s="38">
        <f t="shared" si="14"/>
        <v>-5</v>
      </c>
      <c r="K108" s="38">
        <f t="shared" si="10"/>
        <v>-50</v>
      </c>
      <c r="L108" s="38"/>
      <c r="M108" s="40">
        <f t="shared" si="11"/>
        <v>0</v>
      </c>
      <c r="N108" s="40">
        <f t="shared" si="12"/>
        <v>0</v>
      </c>
    </row>
    <row r="109" spans="1:14" x14ac:dyDescent="0.25">
      <c r="A109" s="59">
        <f t="shared" si="13"/>
        <v>0</v>
      </c>
      <c r="G109" s="16"/>
      <c r="H109" s="38">
        <v>104</v>
      </c>
      <c r="I109" s="39" t="str">
        <f t="shared" si="9"/>
        <v/>
      </c>
      <c r="J109" s="38">
        <f t="shared" si="14"/>
        <v>-5</v>
      </c>
      <c r="K109" s="38">
        <f t="shared" si="10"/>
        <v>-50</v>
      </c>
      <c r="L109" s="38"/>
      <c r="M109" s="40">
        <f t="shared" si="11"/>
        <v>0</v>
      </c>
      <c r="N109" s="40">
        <f t="shared" si="12"/>
        <v>0</v>
      </c>
    </row>
    <row r="110" spans="1:14" x14ac:dyDescent="0.25">
      <c r="A110" s="59">
        <f t="shared" si="13"/>
        <v>0</v>
      </c>
      <c r="G110" s="16"/>
      <c r="H110" s="38">
        <v>105</v>
      </c>
      <c r="I110" s="39" t="str">
        <f t="shared" si="9"/>
        <v/>
      </c>
      <c r="J110" s="38">
        <f t="shared" si="14"/>
        <v>-5</v>
      </c>
      <c r="K110" s="38">
        <f t="shared" si="10"/>
        <v>-50</v>
      </c>
      <c r="L110" s="38"/>
      <c r="M110" s="40">
        <f t="shared" si="11"/>
        <v>0</v>
      </c>
      <c r="N110" s="40">
        <f t="shared" si="12"/>
        <v>0</v>
      </c>
    </row>
    <row r="111" spans="1:14" x14ac:dyDescent="0.25">
      <c r="A111" s="59">
        <f t="shared" si="13"/>
        <v>0</v>
      </c>
      <c r="G111" s="16"/>
      <c r="H111" s="38">
        <v>106</v>
      </c>
      <c r="I111" s="39" t="str">
        <f t="shared" si="9"/>
        <v/>
      </c>
      <c r="J111" s="38">
        <f t="shared" si="14"/>
        <v>-5</v>
      </c>
      <c r="K111" s="38">
        <f t="shared" si="10"/>
        <v>-50</v>
      </c>
      <c r="L111" s="38"/>
      <c r="M111" s="40">
        <f t="shared" si="11"/>
        <v>0</v>
      </c>
      <c r="N111" s="40">
        <f t="shared" si="12"/>
        <v>0</v>
      </c>
    </row>
    <row r="112" spans="1:14" x14ac:dyDescent="0.25">
      <c r="A112" s="59">
        <f t="shared" si="13"/>
        <v>0</v>
      </c>
      <c r="G112" s="16"/>
      <c r="H112" s="38">
        <v>107</v>
      </c>
      <c r="I112" s="39" t="str">
        <f t="shared" si="9"/>
        <v/>
      </c>
      <c r="J112" s="38">
        <f t="shared" si="14"/>
        <v>-5</v>
      </c>
      <c r="K112" s="38">
        <f t="shared" si="10"/>
        <v>-50</v>
      </c>
      <c r="L112" s="38"/>
      <c r="M112" s="40">
        <f t="shared" si="11"/>
        <v>0</v>
      </c>
      <c r="N112" s="40">
        <f t="shared" si="12"/>
        <v>0</v>
      </c>
    </row>
    <row r="113" spans="1:14" x14ac:dyDescent="0.25">
      <c r="A113" s="59">
        <f t="shared" si="13"/>
        <v>0</v>
      </c>
      <c r="G113" s="16"/>
      <c r="H113" s="38">
        <v>108</v>
      </c>
      <c r="I113" s="39" t="str">
        <f t="shared" si="9"/>
        <v/>
      </c>
      <c r="J113" s="38">
        <f t="shared" si="14"/>
        <v>-5</v>
      </c>
      <c r="K113" s="38">
        <f t="shared" si="10"/>
        <v>-50</v>
      </c>
      <c r="L113" s="38"/>
      <c r="M113" s="40">
        <f t="shared" si="11"/>
        <v>0</v>
      </c>
      <c r="N113" s="40">
        <f t="shared" si="12"/>
        <v>0</v>
      </c>
    </row>
    <row r="114" spans="1:14" x14ac:dyDescent="0.25">
      <c r="A114" s="59">
        <f t="shared" si="13"/>
        <v>0</v>
      </c>
      <c r="G114" s="16"/>
      <c r="H114" s="38">
        <v>109</v>
      </c>
      <c r="I114" s="39" t="str">
        <f t="shared" si="9"/>
        <v/>
      </c>
      <c r="J114" s="38">
        <f t="shared" si="14"/>
        <v>-5</v>
      </c>
      <c r="K114" s="38">
        <f t="shared" si="10"/>
        <v>-50</v>
      </c>
      <c r="L114" s="38"/>
      <c r="M114" s="40">
        <f t="shared" si="11"/>
        <v>0</v>
      </c>
      <c r="N114" s="40">
        <f t="shared" si="12"/>
        <v>0</v>
      </c>
    </row>
    <row r="115" spans="1:14" x14ac:dyDescent="0.25">
      <c r="A115" s="59">
        <f t="shared" si="13"/>
        <v>0</v>
      </c>
      <c r="G115" s="16"/>
      <c r="H115" s="38">
        <v>110</v>
      </c>
      <c r="I115" s="39" t="str">
        <f t="shared" si="9"/>
        <v/>
      </c>
      <c r="J115" s="38">
        <f t="shared" si="14"/>
        <v>-5</v>
      </c>
      <c r="K115" s="38">
        <f t="shared" si="10"/>
        <v>-50</v>
      </c>
      <c r="L115" s="38"/>
      <c r="M115" s="40">
        <f t="shared" si="11"/>
        <v>0</v>
      </c>
      <c r="N115" s="40">
        <f t="shared" si="12"/>
        <v>0</v>
      </c>
    </row>
    <row r="116" spans="1:14" x14ac:dyDescent="0.25">
      <c r="A116" s="59">
        <f t="shared" si="13"/>
        <v>0</v>
      </c>
      <c r="G116" s="16"/>
      <c r="H116" s="38">
        <v>111</v>
      </c>
      <c r="I116" s="39" t="str">
        <f t="shared" si="9"/>
        <v/>
      </c>
      <c r="J116" s="38">
        <f t="shared" si="14"/>
        <v>-5</v>
      </c>
      <c r="K116" s="38">
        <f t="shared" si="10"/>
        <v>-50</v>
      </c>
      <c r="L116" s="38"/>
      <c r="M116" s="40">
        <f t="shared" si="11"/>
        <v>0</v>
      </c>
      <c r="N116" s="40">
        <f t="shared" si="12"/>
        <v>0</v>
      </c>
    </row>
    <row r="117" spans="1:14" x14ac:dyDescent="0.25">
      <c r="A117" s="59">
        <f t="shared" si="13"/>
        <v>0</v>
      </c>
      <c r="G117" s="16"/>
      <c r="H117" s="38">
        <v>112</v>
      </c>
      <c r="I117" s="39" t="str">
        <f t="shared" si="9"/>
        <v/>
      </c>
      <c r="J117" s="38">
        <f t="shared" si="14"/>
        <v>-5</v>
      </c>
      <c r="K117" s="38">
        <f t="shared" si="10"/>
        <v>-50</v>
      </c>
      <c r="L117" s="38"/>
      <c r="M117" s="40">
        <f t="shared" si="11"/>
        <v>0</v>
      </c>
      <c r="N117" s="40">
        <f t="shared" si="12"/>
        <v>0</v>
      </c>
    </row>
    <row r="118" spans="1:14" x14ac:dyDescent="0.25">
      <c r="A118" s="59">
        <f t="shared" si="13"/>
        <v>0</v>
      </c>
      <c r="G118" s="16"/>
      <c r="H118" s="38">
        <v>113</v>
      </c>
      <c r="I118" s="39" t="str">
        <f t="shared" si="9"/>
        <v/>
      </c>
      <c r="J118" s="38">
        <f t="shared" si="14"/>
        <v>-5</v>
      </c>
      <c r="K118" s="38">
        <f t="shared" si="10"/>
        <v>-50</v>
      </c>
      <c r="L118" s="38"/>
      <c r="M118" s="40">
        <f t="shared" si="11"/>
        <v>0</v>
      </c>
      <c r="N118" s="40">
        <f t="shared" si="12"/>
        <v>0</v>
      </c>
    </row>
    <row r="119" spans="1:14" x14ac:dyDescent="0.25">
      <c r="A119" s="59">
        <f t="shared" si="13"/>
        <v>0</v>
      </c>
      <c r="G119" s="16"/>
      <c r="H119" s="38">
        <v>114</v>
      </c>
      <c r="I119" s="39" t="str">
        <f t="shared" si="9"/>
        <v/>
      </c>
      <c r="J119" s="38">
        <f t="shared" si="14"/>
        <v>-5</v>
      </c>
      <c r="K119" s="38">
        <f t="shared" si="10"/>
        <v>-50</v>
      </c>
      <c r="L119" s="38"/>
      <c r="M119" s="40">
        <f t="shared" si="11"/>
        <v>0</v>
      </c>
      <c r="N119" s="40">
        <f t="shared" si="12"/>
        <v>0</v>
      </c>
    </row>
    <row r="120" spans="1:14" x14ac:dyDescent="0.25">
      <c r="A120" s="59">
        <f t="shared" si="13"/>
        <v>0</v>
      </c>
      <c r="G120" s="16"/>
      <c r="H120" s="38">
        <v>115</v>
      </c>
      <c r="I120" s="39" t="str">
        <f t="shared" si="9"/>
        <v/>
      </c>
      <c r="J120" s="38">
        <f t="shared" si="14"/>
        <v>-5</v>
      </c>
      <c r="K120" s="38">
        <f t="shared" si="10"/>
        <v>-50</v>
      </c>
      <c r="L120" s="38"/>
      <c r="M120" s="40">
        <f t="shared" si="11"/>
        <v>0</v>
      </c>
      <c r="N120" s="40">
        <f t="shared" si="12"/>
        <v>0</v>
      </c>
    </row>
    <row r="121" spans="1:14" x14ac:dyDescent="0.25">
      <c r="A121" s="59">
        <f t="shared" si="13"/>
        <v>0</v>
      </c>
      <c r="G121" s="16"/>
      <c r="H121" s="38">
        <v>116</v>
      </c>
      <c r="I121" s="39" t="str">
        <f t="shared" si="9"/>
        <v/>
      </c>
      <c r="J121" s="38">
        <f t="shared" si="14"/>
        <v>-5</v>
      </c>
      <c r="K121" s="38">
        <f t="shared" si="10"/>
        <v>-50</v>
      </c>
      <c r="L121" s="38"/>
      <c r="M121" s="40">
        <f t="shared" si="11"/>
        <v>0</v>
      </c>
      <c r="N121" s="40">
        <f t="shared" si="12"/>
        <v>0</v>
      </c>
    </row>
    <row r="122" spans="1:14" x14ac:dyDescent="0.25">
      <c r="A122" s="59">
        <f t="shared" si="13"/>
        <v>0</v>
      </c>
      <c r="G122" s="16"/>
      <c r="H122" s="38">
        <v>117</v>
      </c>
      <c r="I122" s="39" t="str">
        <f t="shared" si="9"/>
        <v/>
      </c>
      <c r="J122" s="38">
        <f t="shared" si="14"/>
        <v>-5</v>
      </c>
      <c r="K122" s="38">
        <f t="shared" si="10"/>
        <v>-50</v>
      </c>
      <c r="L122" s="38"/>
      <c r="M122" s="40">
        <f t="shared" si="11"/>
        <v>0</v>
      </c>
      <c r="N122" s="40">
        <f t="shared" si="12"/>
        <v>0</v>
      </c>
    </row>
    <row r="123" spans="1:14" x14ac:dyDescent="0.25">
      <c r="A123" s="59">
        <f t="shared" si="13"/>
        <v>0</v>
      </c>
      <c r="G123" s="16"/>
      <c r="H123" s="38">
        <v>118</v>
      </c>
      <c r="I123" s="39" t="str">
        <f t="shared" si="9"/>
        <v/>
      </c>
      <c r="J123" s="38">
        <f t="shared" si="14"/>
        <v>-5</v>
      </c>
      <c r="K123" s="38">
        <f t="shared" si="10"/>
        <v>-50</v>
      </c>
      <c r="L123" s="38"/>
      <c r="M123" s="40">
        <f t="shared" si="11"/>
        <v>0</v>
      </c>
      <c r="N123" s="40">
        <f t="shared" si="12"/>
        <v>0</v>
      </c>
    </row>
    <row r="124" spans="1:14" x14ac:dyDescent="0.25">
      <c r="A124" s="59">
        <f t="shared" si="13"/>
        <v>0</v>
      </c>
      <c r="G124" s="16"/>
      <c r="H124" s="38">
        <v>119</v>
      </c>
      <c r="I124" s="39" t="str">
        <f t="shared" si="9"/>
        <v/>
      </c>
      <c r="J124" s="38">
        <f t="shared" si="14"/>
        <v>-5</v>
      </c>
      <c r="K124" s="38">
        <f t="shared" si="10"/>
        <v>-50</v>
      </c>
      <c r="L124" s="38"/>
      <c r="M124" s="40">
        <f t="shared" si="11"/>
        <v>0</v>
      </c>
      <c r="N124" s="40">
        <f t="shared" si="12"/>
        <v>0</v>
      </c>
    </row>
    <row r="125" spans="1:14" x14ac:dyDescent="0.25">
      <c r="A125" s="59">
        <f t="shared" si="13"/>
        <v>0</v>
      </c>
      <c r="G125" s="16"/>
      <c r="H125" s="38">
        <v>120</v>
      </c>
      <c r="I125" s="39" t="str">
        <f t="shared" si="9"/>
        <v/>
      </c>
      <c r="J125" s="38">
        <f t="shared" si="14"/>
        <v>-5</v>
      </c>
      <c r="K125" s="38">
        <f t="shared" si="10"/>
        <v>-50</v>
      </c>
      <c r="L125" s="38"/>
      <c r="M125" s="40">
        <f t="shared" si="11"/>
        <v>0</v>
      </c>
      <c r="N125" s="40">
        <f t="shared" si="12"/>
        <v>0</v>
      </c>
    </row>
    <row r="126" spans="1:14" x14ac:dyDescent="0.25">
      <c r="A126" s="59">
        <f t="shared" si="13"/>
        <v>0</v>
      </c>
      <c r="G126" s="16"/>
      <c r="H126" s="38">
        <v>121</v>
      </c>
      <c r="I126" s="39" t="str">
        <f t="shared" si="9"/>
        <v/>
      </c>
      <c r="J126" s="38">
        <f t="shared" si="14"/>
        <v>-5</v>
      </c>
      <c r="K126" s="38">
        <f t="shared" si="10"/>
        <v>-50</v>
      </c>
      <c r="L126" s="38"/>
      <c r="M126" s="40">
        <f t="shared" si="11"/>
        <v>0</v>
      </c>
      <c r="N126" s="40">
        <f t="shared" si="12"/>
        <v>0</v>
      </c>
    </row>
    <row r="127" spans="1:14" x14ac:dyDescent="0.25">
      <c r="A127" s="59">
        <f t="shared" si="13"/>
        <v>0</v>
      </c>
      <c r="G127" s="16"/>
      <c r="H127" s="38">
        <v>122</v>
      </c>
      <c r="I127" s="39" t="str">
        <f t="shared" si="9"/>
        <v/>
      </c>
      <c r="J127" s="38">
        <f t="shared" ref="J127:J134" si="15">INT(LOG($H$2,2))-ROUNDUP(LOG(H127,2),0)+IF(OR($H$2=1,$H$2=2,$H$2=4,$H$2=8,$H$2=16,$H$2=32,$H$2=64,$H$2=128,$H$2=256),1,0)</f>
        <v>-4</v>
      </c>
      <c r="K127" s="38">
        <f t="shared" si="10"/>
        <v>-40</v>
      </c>
      <c r="L127" s="38"/>
      <c r="M127" s="40">
        <f t="shared" si="11"/>
        <v>0</v>
      </c>
      <c r="N127" s="40">
        <f t="shared" si="12"/>
        <v>0</v>
      </c>
    </row>
    <row r="128" spans="1:14" x14ac:dyDescent="0.25">
      <c r="A128" s="59">
        <f t="shared" si="13"/>
        <v>0</v>
      </c>
      <c r="G128" s="16"/>
      <c r="H128" s="38">
        <v>123</v>
      </c>
      <c r="I128" s="39" t="str">
        <f t="shared" si="9"/>
        <v/>
      </c>
      <c r="J128" s="38">
        <f t="shared" si="15"/>
        <v>-4</v>
      </c>
      <c r="K128" s="38">
        <f t="shared" si="10"/>
        <v>-40</v>
      </c>
      <c r="L128" s="38"/>
      <c r="M128" s="40">
        <f t="shared" si="11"/>
        <v>0</v>
      </c>
      <c r="N128" s="40">
        <f t="shared" si="12"/>
        <v>0</v>
      </c>
    </row>
    <row r="129" spans="1:14" x14ac:dyDescent="0.25">
      <c r="A129" s="59">
        <f t="shared" si="13"/>
        <v>0</v>
      </c>
      <c r="G129" s="16"/>
      <c r="H129" s="38">
        <v>124</v>
      </c>
      <c r="I129" s="39" t="str">
        <f t="shared" si="9"/>
        <v/>
      </c>
      <c r="J129" s="38">
        <f t="shared" si="15"/>
        <v>-4</v>
      </c>
      <c r="K129" s="38">
        <f t="shared" si="10"/>
        <v>-40</v>
      </c>
      <c r="L129" s="38"/>
      <c r="M129" s="40">
        <f t="shared" si="11"/>
        <v>0</v>
      </c>
      <c r="N129" s="40">
        <f t="shared" si="12"/>
        <v>0</v>
      </c>
    </row>
    <row r="130" spans="1:14" x14ac:dyDescent="0.25">
      <c r="A130" s="59">
        <f t="shared" si="13"/>
        <v>0</v>
      </c>
      <c r="G130" s="16"/>
      <c r="H130" s="38">
        <v>125</v>
      </c>
      <c r="I130" s="39" t="str">
        <f t="shared" si="9"/>
        <v/>
      </c>
      <c r="J130" s="38">
        <f t="shared" si="15"/>
        <v>-4</v>
      </c>
      <c r="K130" s="38">
        <f t="shared" si="10"/>
        <v>-40</v>
      </c>
      <c r="L130" s="38"/>
      <c r="M130" s="40">
        <f t="shared" si="11"/>
        <v>0</v>
      </c>
      <c r="N130" s="40">
        <f t="shared" si="12"/>
        <v>0</v>
      </c>
    </row>
    <row r="131" spans="1:14" x14ac:dyDescent="0.25">
      <c r="A131" s="59">
        <f t="shared" si="13"/>
        <v>0</v>
      </c>
      <c r="G131" s="16"/>
      <c r="H131" s="38">
        <v>126</v>
      </c>
      <c r="I131" s="39" t="str">
        <f t="shared" si="9"/>
        <v/>
      </c>
      <c r="J131" s="38">
        <f t="shared" si="15"/>
        <v>-4</v>
      </c>
      <c r="K131" s="38">
        <f t="shared" si="10"/>
        <v>-40</v>
      </c>
      <c r="L131" s="38"/>
      <c r="M131" s="40">
        <f t="shared" si="11"/>
        <v>0</v>
      </c>
      <c r="N131" s="40">
        <f t="shared" si="12"/>
        <v>0</v>
      </c>
    </row>
    <row r="132" spans="1:14" x14ac:dyDescent="0.25">
      <c r="A132" s="59">
        <f t="shared" si="13"/>
        <v>0</v>
      </c>
      <c r="G132" s="16"/>
      <c r="H132" s="38">
        <v>127</v>
      </c>
      <c r="I132" s="39" t="str">
        <f t="shared" si="9"/>
        <v/>
      </c>
      <c r="J132" s="38">
        <f t="shared" si="15"/>
        <v>-4</v>
      </c>
      <c r="K132" s="38">
        <f t="shared" si="10"/>
        <v>-40</v>
      </c>
      <c r="L132" s="38"/>
      <c r="M132" s="40">
        <f t="shared" si="11"/>
        <v>0</v>
      </c>
      <c r="N132" s="40">
        <f t="shared" si="12"/>
        <v>0</v>
      </c>
    </row>
    <row r="133" spans="1:14" x14ac:dyDescent="0.25">
      <c r="A133" s="59">
        <f t="shared" si="13"/>
        <v>0</v>
      </c>
      <c r="G133" s="16"/>
      <c r="H133" s="38">
        <v>128</v>
      </c>
      <c r="I133" s="39" t="str">
        <f t="shared" si="9"/>
        <v/>
      </c>
      <c r="J133" s="38">
        <f t="shared" si="15"/>
        <v>-4</v>
      </c>
      <c r="K133" s="38">
        <f t="shared" si="10"/>
        <v>-40</v>
      </c>
      <c r="L133" s="38"/>
      <c r="M133" s="40">
        <f t="shared" si="11"/>
        <v>0</v>
      </c>
      <c r="N133" s="40">
        <f t="shared" si="12"/>
        <v>0</v>
      </c>
    </row>
    <row r="134" spans="1:14" x14ac:dyDescent="0.25">
      <c r="A134" s="59">
        <f t="shared" si="13"/>
        <v>0</v>
      </c>
      <c r="G134" s="16"/>
      <c r="H134" s="38">
        <v>129</v>
      </c>
      <c r="I134" s="39" t="str">
        <f t="shared" ref="I134:I197" si="16">IF(H134&lt;$H$2+1,($I$2-($I$2-1)*(LOG(H134)/LOG($H$2))),"")</f>
        <v/>
      </c>
      <c r="J134" s="38">
        <f t="shared" si="15"/>
        <v>-5</v>
      </c>
      <c r="K134" s="38">
        <f t="shared" ref="K134:K197" si="17">J134*$J$2</f>
        <v>-50</v>
      </c>
      <c r="L134" s="38"/>
      <c r="M134" s="40">
        <f t="shared" ref="M134:M197" si="18">IF(I134&lt;&gt;"",K134+I134+L134,0)</f>
        <v>0</v>
      </c>
      <c r="N134" s="40">
        <f t="shared" ref="N134:N197" si="19">IF(I134&lt;&gt;"",M134*L$2,0)</f>
        <v>0</v>
      </c>
    </row>
    <row r="135" spans="1:14" x14ac:dyDescent="0.25">
      <c r="A135" s="59">
        <f t="shared" ref="A135:A198" si="20">N135</f>
        <v>0</v>
      </c>
      <c r="G135" s="16"/>
      <c r="H135" s="38">
        <v>130</v>
      </c>
      <c r="I135" s="39" t="str">
        <f t="shared" si="16"/>
        <v/>
      </c>
      <c r="J135" s="38">
        <f t="shared" ref="J135:J198" si="21">INT(LOG($H$2,2))-ROUNDUP(LOG(H135,2),0)+IF(OR($H$2=1,$H$2=2,$H$2=4,$H$2=8,$H$2=16,$H$2=32,$H$2=64,$H$2=128,$H$2=256),1,0)</f>
        <v>-5</v>
      </c>
      <c r="K135" s="38">
        <f t="shared" si="17"/>
        <v>-50</v>
      </c>
      <c r="L135" s="38"/>
      <c r="M135" s="40">
        <f t="shared" si="18"/>
        <v>0</v>
      </c>
      <c r="N135" s="40">
        <f t="shared" si="19"/>
        <v>0</v>
      </c>
    </row>
    <row r="136" spans="1:14" x14ac:dyDescent="0.25">
      <c r="A136" s="59">
        <f t="shared" si="20"/>
        <v>0</v>
      </c>
      <c r="G136" s="16"/>
      <c r="H136" s="38">
        <v>131</v>
      </c>
      <c r="I136" s="39" t="str">
        <f t="shared" si="16"/>
        <v/>
      </c>
      <c r="J136" s="38">
        <f t="shared" si="21"/>
        <v>-5</v>
      </c>
      <c r="K136" s="38">
        <f t="shared" si="17"/>
        <v>-50</v>
      </c>
      <c r="L136" s="38"/>
      <c r="M136" s="40">
        <f t="shared" si="18"/>
        <v>0</v>
      </c>
      <c r="N136" s="40">
        <f t="shared" si="19"/>
        <v>0</v>
      </c>
    </row>
    <row r="137" spans="1:14" x14ac:dyDescent="0.25">
      <c r="A137" s="59">
        <f t="shared" si="20"/>
        <v>0</v>
      </c>
      <c r="G137" s="16"/>
      <c r="H137" s="38">
        <v>132</v>
      </c>
      <c r="I137" s="39" t="str">
        <f t="shared" si="16"/>
        <v/>
      </c>
      <c r="J137" s="38">
        <f t="shared" si="21"/>
        <v>-5</v>
      </c>
      <c r="K137" s="38">
        <f t="shared" si="17"/>
        <v>-50</v>
      </c>
      <c r="L137" s="38"/>
      <c r="M137" s="40">
        <f t="shared" si="18"/>
        <v>0</v>
      </c>
      <c r="N137" s="40">
        <f t="shared" si="19"/>
        <v>0</v>
      </c>
    </row>
    <row r="138" spans="1:14" x14ac:dyDescent="0.25">
      <c r="A138" s="59">
        <f t="shared" si="20"/>
        <v>0</v>
      </c>
      <c r="G138" s="16"/>
      <c r="H138" s="38">
        <v>133</v>
      </c>
      <c r="I138" s="39" t="str">
        <f t="shared" si="16"/>
        <v/>
      </c>
      <c r="J138" s="38">
        <f t="shared" si="21"/>
        <v>-5</v>
      </c>
      <c r="K138" s="38">
        <f t="shared" si="17"/>
        <v>-50</v>
      </c>
      <c r="L138" s="38"/>
      <c r="M138" s="40">
        <f t="shared" si="18"/>
        <v>0</v>
      </c>
      <c r="N138" s="40">
        <f t="shared" si="19"/>
        <v>0</v>
      </c>
    </row>
    <row r="139" spans="1:14" x14ac:dyDescent="0.25">
      <c r="A139" s="59">
        <f t="shared" si="20"/>
        <v>0</v>
      </c>
      <c r="G139" s="16"/>
      <c r="H139" s="38">
        <v>134</v>
      </c>
      <c r="I139" s="39" t="str">
        <f t="shared" si="16"/>
        <v/>
      </c>
      <c r="J139" s="38">
        <f t="shared" si="21"/>
        <v>-5</v>
      </c>
      <c r="K139" s="38">
        <f t="shared" si="17"/>
        <v>-50</v>
      </c>
      <c r="L139" s="38"/>
      <c r="M139" s="40">
        <f t="shared" si="18"/>
        <v>0</v>
      </c>
      <c r="N139" s="40">
        <f t="shared" si="19"/>
        <v>0</v>
      </c>
    </row>
    <row r="140" spans="1:14" x14ac:dyDescent="0.25">
      <c r="A140" s="59">
        <f t="shared" si="20"/>
        <v>0</v>
      </c>
      <c r="G140" s="16"/>
      <c r="H140" s="38">
        <v>135</v>
      </c>
      <c r="I140" s="39" t="str">
        <f t="shared" si="16"/>
        <v/>
      </c>
      <c r="J140" s="38">
        <f t="shared" si="21"/>
        <v>-5</v>
      </c>
      <c r="K140" s="38">
        <f t="shared" si="17"/>
        <v>-50</v>
      </c>
      <c r="L140" s="38"/>
      <c r="M140" s="40">
        <f t="shared" si="18"/>
        <v>0</v>
      </c>
      <c r="N140" s="40">
        <f t="shared" si="19"/>
        <v>0</v>
      </c>
    </row>
    <row r="141" spans="1:14" x14ac:dyDescent="0.25">
      <c r="A141" s="59">
        <f t="shared" si="20"/>
        <v>0</v>
      </c>
      <c r="G141" s="16"/>
      <c r="H141" s="38">
        <v>136</v>
      </c>
      <c r="I141" s="39" t="str">
        <f t="shared" si="16"/>
        <v/>
      </c>
      <c r="J141" s="38">
        <f t="shared" si="21"/>
        <v>-5</v>
      </c>
      <c r="K141" s="38">
        <f t="shared" si="17"/>
        <v>-50</v>
      </c>
      <c r="L141" s="38"/>
      <c r="M141" s="40">
        <f t="shared" si="18"/>
        <v>0</v>
      </c>
      <c r="N141" s="40">
        <f t="shared" si="19"/>
        <v>0</v>
      </c>
    </row>
    <row r="142" spans="1:14" x14ac:dyDescent="0.25">
      <c r="A142" s="59">
        <f t="shared" si="20"/>
        <v>0</v>
      </c>
      <c r="G142" s="16"/>
      <c r="H142" s="38">
        <v>137</v>
      </c>
      <c r="I142" s="39" t="str">
        <f t="shared" si="16"/>
        <v/>
      </c>
      <c r="J142" s="38">
        <f t="shared" si="21"/>
        <v>-5</v>
      </c>
      <c r="K142" s="38">
        <f t="shared" si="17"/>
        <v>-50</v>
      </c>
      <c r="L142" s="38"/>
      <c r="M142" s="40">
        <f t="shared" si="18"/>
        <v>0</v>
      </c>
      <c r="N142" s="40">
        <f t="shared" si="19"/>
        <v>0</v>
      </c>
    </row>
    <row r="143" spans="1:14" x14ac:dyDescent="0.25">
      <c r="A143" s="59">
        <f t="shared" si="20"/>
        <v>0</v>
      </c>
      <c r="G143" s="16"/>
      <c r="H143" s="38">
        <v>138</v>
      </c>
      <c r="I143" s="39" t="str">
        <f t="shared" si="16"/>
        <v/>
      </c>
      <c r="J143" s="38">
        <f t="shared" si="21"/>
        <v>-5</v>
      </c>
      <c r="K143" s="38">
        <f t="shared" si="17"/>
        <v>-50</v>
      </c>
      <c r="L143" s="38"/>
      <c r="M143" s="40">
        <f t="shared" si="18"/>
        <v>0</v>
      </c>
      <c r="N143" s="40">
        <f t="shared" si="19"/>
        <v>0</v>
      </c>
    </row>
    <row r="144" spans="1:14" x14ac:dyDescent="0.25">
      <c r="A144" s="59">
        <f t="shared" si="20"/>
        <v>0</v>
      </c>
      <c r="G144" s="16"/>
      <c r="H144" s="38">
        <v>139</v>
      </c>
      <c r="I144" s="39" t="str">
        <f t="shared" si="16"/>
        <v/>
      </c>
      <c r="J144" s="38">
        <f t="shared" si="21"/>
        <v>-5</v>
      </c>
      <c r="K144" s="38">
        <f t="shared" si="17"/>
        <v>-50</v>
      </c>
      <c r="L144" s="38"/>
      <c r="M144" s="40">
        <f t="shared" si="18"/>
        <v>0</v>
      </c>
      <c r="N144" s="40">
        <f t="shared" si="19"/>
        <v>0</v>
      </c>
    </row>
    <row r="145" spans="1:14" x14ac:dyDescent="0.25">
      <c r="A145" s="59">
        <f t="shared" si="20"/>
        <v>0</v>
      </c>
      <c r="G145" s="16"/>
      <c r="H145" s="38">
        <v>140</v>
      </c>
      <c r="I145" s="39" t="str">
        <f t="shared" si="16"/>
        <v/>
      </c>
      <c r="J145" s="38">
        <f t="shared" si="21"/>
        <v>-5</v>
      </c>
      <c r="K145" s="38">
        <f t="shared" si="17"/>
        <v>-50</v>
      </c>
      <c r="L145" s="38"/>
      <c r="M145" s="40">
        <f t="shared" si="18"/>
        <v>0</v>
      </c>
      <c r="N145" s="40">
        <f t="shared" si="19"/>
        <v>0</v>
      </c>
    </row>
    <row r="146" spans="1:14" x14ac:dyDescent="0.25">
      <c r="A146" s="59">
        <f t="shared" si="20"/>
        <v>0</v>
      </c>
      <c r="G146" s="16"/>
      <c r="H146" s="38">
        <v>141</v>
      </c>
      <c r="I146" s="39" t="str">
        <f t="shared" si="16"/>
        <v/>
      </c>
      <c r="J146" s="38">
        <f t="shared" si="21"/>
        <v>-5</v>
      </c>
      <c r="K146" s="38">
        <f t="shared" si="17"/>
        <v>-50</v>
      </c>
      <c r="L146" s="38"/>
      <c r="M146" s="40">
        <f t="shared" si="18"/>
        <v>0</v>
      </c>
      <c r="N146" s="40">
        <f t="shared" si="19"/>
        <v>0</v>
      </c>
    </row>
    <row r="147" spans="1:14" x14ac:dyDescent="0.25">
      <c r="A147" s="59">
        <f t="shared" si="20"/>
        <v>0</v>
      </c>
      <c r="G147" s="16"/>
      <c r="H147" s="38">
        <v>142</v>
      </c>
      <c r="I147" s="39" t="str">
        <f t="shared" si="16"/>
        <v/>
      </c>
      <c r="J147" s="38">
        <f t="shared" si="21"/>
        <v>-5</v>
      </c>
      <c r="K147" s="38">
        <f t="shared" si="17"/>
        <v>-50</v>
      </c>
      <c r="L147" s="38"/>
      <c r="M147" s="40">
        <f t="shared" si="18"/>
        <v>0</v>
      </c>
      <c r="N147" s="40">
        <f t="shared" si="19"/>
        <v>0</v>
      </c>
    </row>
    <row r="148" spans="1:14" x14ac:dyDescent="0.25">
      <c r="A148" s="59">
        <f t="shared" si="20"/>
        <v>0</v>
      </c>
      <c r="G148" s="16"/>
      <c r="H148" s="38">
        <v>143</v>
      </c>
      <c r="I148" s="39" t="str">
        <f t="shared" si="16"/>
        <v/>
      </c>
      <c r="J148" s="38">
        <f t="shared" si="21"/>
        <v>-5</v>
      </c>
      <c r="K148" s="38">
        <f t="shared" si="17"/>
        <v>-50</v>
      </c>
      <c r="L148" s="38"/>
      <c r="M148" s="40">
        <f t="shared" si="18"/>
        <v>0</v>
      </c>
      <c r="N148" s="40">
        <f t="shared" si="19"/>
        <v>0</v>
      </c>
    </row>
    <row r="149" spans="1:14" x14ac:dyDescent="0.25">
      <c r="A149" s="59">
        <f t="shared" si="20"/>
        <v>0</v>
      </c>
      <c r="G149" s="16"/>
      <c r="H149" s="38">
        <v>144</v>
      </c>
      <c r="I149" s="39" t="str">
        <f t="shared" si="16"/>
        <v/>
      </c>
      <c r="J149" s="38">
        <f t="shared" si="21"/>
        <v>-5</v>
      </c>
      <c r="K149" s="38">
        <f t="shared" si="17"/>
        <v>-50</v>
      </c>
      <c r="L149" s="38"/>
      <c r="M149" s="40">
        <f t="shared" si="18"/>
        <v>0</v>
      </c>
      <c r="N149" s="40">
        <f t="shared" si="19"/>
        <v>0</v>
      </c>
    </row>
    <row r="150" spans="1:14" x14ac:dyDescent="0.25">
      <c r="A150" s="59">
        <f t="shared" si="20"/>
        <v>0</v>
      </c>
      <c r="G150" s="16"/>
      <c r="H150" s="38">
        <v>145</v>
      </c>
      <c r="I150" s="39" t="str">
        <f t="shared" si="16"/>
        <v/>
      </c>
      <c r="J150" s="38">
        <f t="shared" si="21"/>
        <v>-5</v>
      </c>
      <c r="K150" s="38">
        <f t="shared" si="17"/>
        <v>-50</v>
      </c>
      <c r="L150" s="38"/>
      <c r="M150" s="40">
        <f t="shared" si="18"/>
        <v>0</v>
      </c>
      <c r="N150" s="40">
        <f t="shared" si="19"/>
        <v>0</v>
      </c>
    </row>
    <row r="151" spans="1:14" x14ac:dyDescent="0.25">
      <c r="A151" s="59">
        <f t="shared" si="20"/>
        <v>0</v>
      </c>
      <c r="G151" s="16"/>
      <c r="H151" s="38">
        <v>146</v>
      </c>
      <c r="I151" s="39" t="str">
        <f t="shared" si="16"/>
        <v/>
      </c>
      <c r="J151" s="38">
        <f t="shared" si="21"/>
        <v>-5</v>
      </c>
      <c r="K151" s="38">
        <f t="shared" si="17"/>
        <v>-50</v>
      </c>
      <c r="L151" s="38"/>
      <c r="M151" s="40">
        <f t="shared" si="18"/>
        <v>0</v>
      </c>
      <c r="N151" s="40">
        <f t="shared" si="19"/>
        <v>0</v>
      </c>
    </row>
    <row r="152" spans="1:14" x14ac:dyDescent="0.25">
      <c r="A152" s="59">
        <f t="shared" si="20"/>
        <v>0</v>
      </c>
      <c r="G152" s="16"/>
      <c r="H152" s="38">
        <v>147</v>
      </c>
      <c r="I152" s="39" t="str">
        <f t="shared" si="16"/>
        <v/>
      </c>
      <c r="J152" s="38">
        <f t="shared" si="21"/>
        <v>-5</v>
      </c>
      <c r="K152" s="38">
        <f t="shared" si="17"/>
        <v>-50</v>
      </c>
      <c r="L152" s="38"/>
      <c r="M152" s="40">
        <f t="shared" si="18"/>
        <v>0</v>
      </c>
      <c r="N152" s="40">
        <f t="shared" si="19"/>
        <v>0</v>
      </c>
    </row>
    <row r="153" spans="1:14" x14ac:dyDescent="0.25">
      <c r="A153" s="59">
        <f t="shared" si="20"/>
        <v>0</v>
      </c>
      <c r="G153" s="16"/>
      <c r="H153" s="38">
        <v>148</v>
      </c>
      <c r="I153" s="39" t="str">
        <f t="shared" si="16"/>
        <v/>
      </c>
      <c r="J153" s="38">
        <f t="shared" si="21"/>
        <v>-5</v>
      </c>
      <c r="K153" s="38">
        <f t="shared" si="17"/>
        <v>-50</v>
      </c>
      <c r="L153" s="38"/>
      <c r="M153" s="40">
        <f t="shared" si="18"/>
        <v>0</v>
      </c>
      <c r="N153" s="40">
        <f t="shared" si="19"/>
        <v>0</v>
      </c>
    </row>
    <row r="154" spans="1:14" x14ac:dyDescent="0.25">
      <c r="A154" s="59">
        <f t="shared" si="20"/>
        <v>0</v>
      </c>
      <c r="G154" s="16"/>
      <c r="H154" s="38">
        <v>149</v>
      </c>
      <c r="I154" s="39" t="str">
        <f t="shared" si="16"/>
        <v/>
      </c>
      <c r="J154" s="38">
        <f t="shared" si="21"/>
        <v>-5</v>
      </c>
      <c r="K154" s="38">
        <f t="shared" si="17"/>
        <v>-50</v>
      </c>
      <c r="L154" s="38"/>
      <c r="M154" s="40">
        <f t="shared" si="18"/>
        <v>0</v>
      </c>
      <c r="N154" s="40">
        <f t="shared" si="19"/>
        <v>0</v>
      </c>
    </row>
    <row r="155" spans="1:14" x14ac:dyDescent="0.25">
      <c r="A155" s="59">
        <f t="shared" si="20"/>
        <v>0</v>
      </c>
      <c r="G155" s="16"/>
      <c r="H155" s="38">
        <v>150</v>
      </c>
      <c r="I155" s="39" t="str">
        <f t="shared" si="16"/>
        <v/>
      </c>
      <c r="J155" s="38">
        <f t="shared" si="21"/>
        <v>-5</v>
      </c>
      <c r="K155" s="38">
        <f t="shared" si="17"/>
        <v>-50</v>
      </c>
      <c r="L155" s="38"/>
      <c r="M155" s="40">
        <f t="shared" si="18"/>
        <v>0</v>
      </c>
      <c r="N155" s="40">
        <f t="shared" si="19"/>
        <v>0</v>
      </c>
    </row>
    <row r="156" spans="1:14" x14ac:dyDescent="0.25">
      <c r="A156" s="59">
        <f t="shared" si="20"/>
        <v>0</v>
      </c>
      <c r="G156" s="16"/>
      <c r="H156" s="38">
        <v>151</v>
      </c>
      <c r="I156" s="39" t="str">
        <f t="shared" si="16"/>
        <v/>
      </c>
      <c r="J156" s="38">
        <f t="shared" si="21"/>
        <v>-5</v>
      </c>
      <c r="K156" s="38">
        <f t="shared" si="17"/>
        <v>-50</v>
      </c>
      <c r="L156" s="38"/>
      <c r="M156" s="40">
        <f t="shared" si="18"/>
        <v>0</v>
      </c>
      <c r="N156" s="40">
        <f t="shared" si="19"/>
        <v>0</v>
      </c>
    </row>
    <row r="157" spans="1:14" x14ac:dyDescent="0.25">
      <c r="A157" s="59">
        <f t="shared" si="20"/>
        <v>0</v>
      </c>
      <c r="G157" s="16"/>
      <c r="H157" s="38">
        <v>152</v>
      </c>
      <c r="I157" s="39" t="str">
        <f t="shared" si="16"/>
        <v/>
      </c>
      <c r="J157" s="38">
        <f t="shared" si="21"/>
        <v>-5</v>
      </c>
      <c r="K157" s="38">
        <f t="shared" si="17"/>
        <v>-50</v>
      </c>
      <c r="L157" s="38"/>
      <c r="M157" s="40">
        <f t="shared" si="18"/>
        <v>0</v>
      </c>
      <c r="N157" s="40">
        <f t="shared" si="19"/>
        <v>0</v>
      </c>
    </row>
    <row r="158" spans="1:14" x14ac:dyDescent="0.25">
      <c r="A158" s="59">
        <f t="shared" si="20"/>
        <v>0</v>
      </c>
      <c r="G158" s="16"/>
      <c r="H158" s="38">
        <v>153</v>
      </c>
      <c r="I158" s="39" t="str">
        <f t="shared" si="16"/>
        <v/>
      </c>
      <c r="J158" s="38">
        <f t="shared" si="21"/>
        <v>-5</v>
      </c>
      <c r="K158" s="38">
        <f t="shared" si="17"/>
        <v>-50</v>
      </c>
      <c r="L158" s="38"/>
      <c r="M158" s="40">
        <f t="shared" si="18"/>
        <v>0</v>
      </c>
      <c r="N158" s="40">
        <f t="shared" si="19"/>
        <v>0</v>
      </c>
    </row>
    <row r="159" spans="1:14" x14ac:dyDescent="0.25">
      <c r="A159" s="59">
        <f t="shared" si="20"/>
        <v>0</v>
      </c>
      <c r="G159" s="16"/>
      <c r="H159" s="38">
        <v>154</v>
      </c>
      <c r="I159" s="39" t="str">
        <f t="shared" si="16"/>
        <v/>
      </c>
      <c r="J159" s="38">
        <f t="shared" si="21"/>
        <v>-5</v>
      </c>
      <c r="K159" s="38">
        <f t="shared" si="17"/>
        <v>-50</v>
      </c>
      <c r="L159" s="38"/>
      <c r="M159" s="40">
        <f t="shared" si="18"/>
        <v>0</v>
      </c>
      <c r="N159" s="40">
        <f t="shared" si="19"/>
        <v>0</v>
      </c>
    </row>
    <row r="160" spans="1:14" x14ac:dyDescent="0.25">
      <c r="A160" s="59">
        <f t="shared" si="20"/>
        <v>0</v>
      </c>
      <c r="G160" s="16"/>
      <c r="H160" s="38">
        <v>155</v>
      </c>
      <c r="I160" s="39" t="str">
        <f t="shared" si="16"/>
        <v/>
      </c>
      <c r="J160" s="38">
        <f t="shared" si="21"/>
        <v>-5</v>
      </c>
      <c r="K160" s="38">
        <f t="shared" si="17"/>
        <v>-50</v>
      </c>
      <c r="L160" s="38"/>
      <c r="M160" s="40">
        <f t="shared" si="18"/>
        <v>0</v>
      </c>
      <c r="N160" s="40">
        <f t="shared" si="19"/>
        <v>0</v>
      </c>
    </row>
    <row r="161" spans="1:14" x14ac:dyDescent="0.25">
      <c r="A161" s="59">
        <f t="shared" si="20"/>
        <v>0</v>
      </c>
      <c r="G161" s="16"/>
      <c r="H161" s="38">
        <v>156</v>
      </c>
      <c r="I161" s="39" t="str">
        <f t="shared" si="16"/>
        <v/>
      </c>
      <c r="J161" s="38">
        <f t="shared" si="21"/>
        <v>-5</v>
      </c>
      <c r="K161" s="38">
        <f t="shared" si="17"/>
        <v>-50</v>
      </c>
      <c r="L161" s="38"/>
      <c r="M161" s="40">
        <f t="shared" si="18"/>
        <v>0</v>
      </c>
      <c r="N161" s="40">
        <f t="shared" si="19"/>
        <v>0</v>
      </c>
    </row>
    <row r="162" spans="1:14" x14ac:dyDescent="0.25">
      <c r="A162" s="59">
        <f t="shared" si="20"/>
        <v>0</v>
      </c>
      <c r="G162" s="16"/>
      <c r="H162" s="38">
        <v>157</v>
      </c>
      <c r="I162" s="39" t="str">
        <f t="shared" si="16"/>
        <v/>
      </c>
      <c r="J162" s="38">
        <f t="shared" si="21"/>
        <v>-5</v>
      </c>
      <c r="K162" s="38">
        <f t="shared" si="17"/>
        <v>-50</v>
      </c>
      <c r="L162" s="38"/>
      <c r="M162" s="40">
        <f t="shared" si="18"/>
        <v>0</v>
      </c>
      <c r="N162" s="40">
        <f t="shared" si="19"/>
        <v>0</v>
      </c>
    </row>
    <row r="163" spans="1:14" x14ac:dyDescent="0.25">
      <c r="A163" s="59">
        <f t="shared" si="20"/>
        <v>0</v>
      </c>
      <c r="G163" s="16"/>
      <c r="H163" s="38">
        <v>158</v>
      </c>
      <c r="I163" s="39" t="str">
        <f t="shared" si="16"/>
        <v/>
      </c>
      <c r="J163" s="38">
        <f t="shared" si="21"/>
        <v>-5</v>
      </c>
      <c r="K163" s="38">
        <f t="shared" si="17"/>
        <v>-50</v>
      </c>
      <c r="L163" s="38"/>
      <c r="M163" s="40">
        <f t="shared" si="18"/>
        <v>0</v>
      </c>
      <c r="N163" s="40">
        <f t="shared" si="19"/>
        <v>0</v>
      </c>
    </row>
    <row r="164" spans="1:14" x14ac:dyDescent="0.25">
      <c r="A164" s="59">
        <f t="shared" si="20"/>
        <v>0</v>
      </c>
      <c r="G164" s="16"/>
      <c r="H164" s="38">
        <v>159</v>
      </c>
      <c r="I164" s="39" t="str">
        <f t="shared" si="16"/>
        <v/>
      </c>
      <c r="J164" s="38">
        <f t="shared" si="21"/>
        <v>-5</v>
      </c>
      <c r="K164" s="38">
        <f t="shared" si="17"/>
        <v>-50</v>
      </c>
      <c r="L164" s="38"/>
      <c r="M164" s="40">
        <f t="shared" si="18"/>
        <v>0</v>
      </c>
      <c r="N164" s="40">
        <f t="shared" si="19"/>
        <v>0</v>
      </c>
    </row>
    <row r="165" spans="1:14" x14ac:dyDescent="0.25">
      <c r="A165" s="59">
        <f t="shared" si="20"/>
        <v>0</v>
      </c>
      <c r="G165" s="16"/>
      <c r="H165" s="38">
        <v>160</v>
      </c>
      <c r="I165" s="39" t="str">
        <f t="shared" si="16"/>
        <v/>
      </c>
      <c r="J165" s="38">
        <f t="shared" si="21"/>
        <v>-5</v>
      </c>
      <c r="K165" s="38">
        <f t="shared" si="17"/>
        <v>-50</v>
      </c>
      <c r="L165" s="38"/>
      <c r="M165" s="40">
        <f t="shared" si="18"/>
        <v>0</v>
      </c>
      <c r="N165" s="40">
        <f t="shared" si="19"/>
        <v>0</v>
      </c>
    </row>
    <row r="166" spans="1:14" x14ac:dyDescent="0.25">
      <c r="A166" s="59">
        <f t="shared" si="20"/>
        <v>0</v>
      </c>
      <c r="G166" s="16"/>
      <c r="H166" s="38">
        <v>161</v>
      </c>
      <c r="I166" s="39" t="str">
        <f t="shared" si="16"/>
        <v/>
      </c>
      <c r="J166" s="38">
        <f t="shared" si="21"/>
        <v>-5</v>
      </c>
      <c r="K166" s="38">
        <f t="shared" si="17"/>
        <v>-50</v>
      </c>
      <c r="L166" s="38"/>
      <c r="M166" s="40">
        <f t="shared" si="18"/>
        <v>0</v>
      </c>
      <c r="N166" s="40">
        <f t="shared" si="19"/>
        <v>0</v>
      </c>
    </row>
    <row r="167" spans="1:14" x14ac:dyDescent="0.25">
      <c r="A167" s="59">
        <f t="shared" si="20"/>
        <v>0</v>
      </c>
      <c r="G167" s="16"/>
      <c r="H167" s="38">
        <v>162</v>
      </c>
      <c r="I167" s="39" t="str">
        <f t="shared" si="16"/>
        <v/>
      </c>
      <c r="J167" s="38">
        <f t="shared" si="21"/>
        <v>-5</v>
      </c>
      <c r="K167" s="38">
        <f t="shared" si="17"/>
        <v>-50</v>
      </c>
      <c r="L167" s="38"/>
      <c r="M167" s="40">
        <f t="shared" si="18"/>
        <v>0</v>
      </c>
      <c r="N167" s="40">
        <f t="shared" si="19"/>
        <v>0</v>
      </c>
    </row>
    <row r="168" spans="1:14" x14ac:dyDescent="0.25">
      <c r="A168" s="59">
        <f t="shared" si="20"/>
        <v>0</v>
      </c>
      <c r="G168" s="16"/>
      <c r="H168" s="38">
        <v>163</v>
      </c>
      <c r="I168" s="39" t="str">
        <f t="shared" si="16"/>
        <v/>
      </c>
      <c r="J168" s="38">
        <f t="shared" si="21"/>
        <v>-5</v>
      </c>
      <c r="K168" s="38">
        <f t="shared" si="17"/>
        <v>-50</v>
      </c>
      <c r="L168" s="38"/>
      <c r="M168" s="40">
        <f t="shared" si="18"/>
        <v>0</v>
      </c>
      <c r="N168" s="40">
        <f t="shared" si="19"/>
        <v>0</v>
      </c>
    </row>
    <row r="169" spans="1:14" x14ac:dyDescent="0.25">
      <c r="A169" s="59">
        <f t="shared" si="20"/>
        <v>0</v>
      </c>
      <c r="G169" s="16"/>
      <c r="H169" s="38">
        <v>164</v>
      </c>
      <c r="I169" s="39" t="str">
        <f t="shared" si="16"/>
        <v/>
      </c>
      <c r="J169" s="38">
        <f t="shared" si="21"/>
        <v>-5</v>
      </c>
      <c r="K169" s="38">
        <f t="shared" si="17"/>
        <v>-50</v>
      </c>
      <c r="L169" s="38"/>
      <c r="M169" s="40">
        <f t="shared" si="18"/>
        <v>0</v>
      </c>
      <c r="N169" s="40">
        <f t="shared" si="19"/>
        <v>0</v>
      </c>
    </row>
    <row r="170" spans="1:14" x14ac:dyDescent="0.25">
      <c r="A170" s="59">
        <f t="shared" si="20"/>
        <v>0</v>
      </c>
      <c r="G170" s="16"/>
      <c r="H170" s="38">
        <v>165</v>
      </c>
      <c r="I170" s="39" t="str">
        <f t="shared" si="16"/>
        <v/>
      </c>
      <c r="J170" s="38">
        <f t="shared" si="21"/>
        <v>-5</v>
      </c>
      <c r="K170" s="38">
        <f t="shared" si="17"/>
        <v>-50</v>
      </c>
      <c r="L170" s="38"/>
      <c r="M170" s="40">
        <f t="shared" si="18"/>
        <v>0</v>
      </c>
      <c r="N170" s="40">
        <f t="shared" si="19"/>
        <v>0</v>
      </c>
    </row>
    <row r="171" spans="1:14" x14ac:dyDescent="0.25">
      <c r="A171" s="59">
        <f t="shared" si="20"/>
        <v>0</v>
      </c>
      <c r="G171" s="16"/>
      <c r="H171" s="38">
        <v>166</v>
      </c>
      <c r="I171" s="39" t="str">
        <f t="shared" si="16"/>
        <v/>
      </c>
      <c r="J171" s="38">
        <f t="shared" si="21"/>
        <v>-5</v>
      </c>
      <c r="K171" s="38">
        <f t="shared" si="17"/>
        <v>-50</v>
      </c>
      <c r="L171" s="38"/>
      <c r="M171" s="40">
        <f t="shared" si="18"/>
        <v>0</v>
      </c>
      <c r="N171" s="40">
        <f t="shared" si="19"/>
        <v>0</v>
      </c>
    </row>
    <row r="172" spans="1:14" x14ac:dyDescent="0.25">
      <c r="A172" s="59">
        <f t="shared" si="20"/>
        <v>0</v>
      </c>
      <c r="G172" s="16"/>
      <c r="H172" s="38">
        <v>167</v>
      </c>
      <c r="I172" s="39" t="str">
        <f t="shared" si="16"/>
        <v/>
      </c>
      <c r="J172" s="38">
        <f t="shared" si="21"/>
        <v>-5</v>
      </c>
      <c r="K172" s="38">
        <f t="shared" si="17"/>
        <v>-50</v>
      </c>
      <c r="L172" s="38"/>
      <c r="M172" s="40">
        <f t="shared" si="18"/>
        <v>0</v>
      </c>
      <c r="N172" s="40">
        <f t="shared" si="19"/>
        <v>0</v>
      </c>
    </row>
    <row r="173" spans="1:14" x14ac:dyDescent="0.25">
      <c r="A173" s="59">
        <f t="shared" si="20"/>
        <v>0</v>
      </c>
      <c r="G173" s="16"/>
      <c r="H173" s="38">
        <v>168</v>
      </c>
      <c r="I173" s="39" t="str">
        <f t="shared" si="16"/>
        <v/>
      </c>
      <c r="J173" s="38">
        <f t="shared" si="21"/>
        <v>-5</v>
      </c>
      <c r="K173" s="38">
        <f t="shared" si="17"/>
        <v>-50</v>
      </c>
      <c r="L173" s="38"/>
      <c r="M173" s="40">
        <f t="shared" si="18"/>
        <v>0</v>
      </c>
      <c r="N173" s="40">
        <f t="shared" si="19"/>
        <v>0</v>
      </c>
    </row>
    <row r="174" spans="1:14" x14ac:dyDescent="0.25">
      <c r="A174" s="59">
        <f t="shared" si="20"/>
        <v>0</v>
      </c>
      <c r="G174" s="16"/>
      <c r="H174" s="38">
        <v>169</v>
      </c>
      <c r="I174" s="39" t="str">
        <f t="shared" si="16"/>
        <v/>
      </c>
      <c r="J174" s="38">
        <f t="shared" si="21"/>
        <v>-5</v>
      </c>
      <c r="K174" s="38">
        <f t="shared" si="17"/>
        <v>-50</v>
      </c>
      <c r="L174" s="38"/>
      <c r="M174" s="40">
        <f t="shared" si="18"/>
        <v>0</v>
      </c>
      <c r="N174" s="40">
        <f t="shared" si="19"/>
        <v>0</v>
      </c>
    </row>
    <row r="175" spans="1:14" x14ac:dyDescent="0.25">
      <c r="A175" s="59">
        <f t="shared" si="20"/>
        <v>0</v>
      </c>
      <c r="G175" s="16"/>
      <c r="H175" s="38">
        <v>170</v>
      </c>
      <c r="I175" s="39" t="str">
        <f t="shared" si="16"/>
        <v/>
      </c>
      <c r="J175" s="38">
        <f t="shared" si="21"/>
        <v>-5</v>
      </c>
      <c r="K175" s="38">
        <f t="shared" si="17"/>
        <v>-50</v>
      </c>
      <c r="L175" s="38"/>
      <c r="M175" s="40">
        <f t="shared" si="18"/>
        <v>0</v>
      </c>
      <c r="N175" s="40">
        <f t="shared" si="19"/>
        <v>0</v>
      </c>
    </row>
    <row r="176" spans="1:14" x14ac:dyDescent="0.25">
      <c r="A176" s="59">
        <f t="shared" si="20"/>
        <v>0</v>
      </c>
      <c r="G176" s="16"/>
      <c r="H176" s="38">
        <v>171</v>
      </c>
      <c r="I176" s="39" t="str">
        <f t="shared" si="16"/>
        <v/>
      </c>
      <c r="J176" s="38">
        <f t="shared" si="21"/>
        <v>-5</v>
      </c>
      <c r="K176" s="38">
        <f t="shared" si="17"/>
        <v>-50</v>
      </c>
      <c r="L176" s="38"/>
      <c r="M176" s="40">
        <f t="shared" si="18"/>
        <v>0</v>
      </c>
      <c r="N176" s="40">
        <f t="shared" si="19"/>
        <v>0</v>
      </c>
    </row>
    <row r="177" spans="1:14" x14ac:dyDescent="0.25">
      <c r="A177" s="59">
        <f t="shared" si="20"/>
        <v>0</v>
      </c>
      <c r="G177" s="16"/>
      <c r="H177" s="38">
        <v>172</v>
      </c>
      <c r="I177" s="39" t="str">
        <f t="shared" si="16"/>
        <v/>
      </c>
      <c r="J177" s="38">
        <f t="shared" si="21"/>
        <v>-5</v>
      </c>
      <c r="K177" s="38">
        <f t="shared" si="17"/>
        <v>-50</v>
      </c>
      <c r="L177" s="38"/>
      <c r="M177" s="40">
        <f t="shared" si="18"/>
        <v>0</v>
      </c>
      <c r="N177" s="40">
        <f t="shared" si="19"/>
        <v>0</v>
      </c>
    </row>
    <row r="178" spans="1:14" x14ac:dyDescent="0.25">
      <c r="A178" s="59">
        <f t="shared" si="20"/>
        <v>0</v>
      </c>
      <c r="G178" s="16"/>
      <c r="H178" s="38">
        <v>173</v>
      </c>
      <c r="I178" s="39" t="str">
        <f t="shared" si="16"/>
        <v/>
      </c>
      <c r="J178" s="38">
        <f t="shared" si="21"/>
        <v>-5</v>
      </c>
      <c r="K178" s="38">
        <f t="shared" si="17"/>
        <v>-50</v>
      </c>
      <c r="L178" s="38"/>
      <c r="M178" s="40">
        <f t="shared" si="18"/>
        <v>0</v>
      </c>
      <c r="N178" s="40">
        <f t="shared" si="19"/>
        <v>0</v>
      </c>
    </row>
    <row r="179" spans="1:14" x14ac:dyDescent="0.25">
      <c r="A179" s="59">
        <f t="shared" si="20"/>
        <v>0</v>
      </c>
      <c r="G179" s="16"/>
      <c r="H179" s="38">
        <v>174</v>
      </c>
      <c r="I179" s="39" t="str">
        <f t="shared" si="16"/>
        <v/>
      </c>
      <c r="J179" s="38">
        <f t="shared" si="21"/>
        <v>-5</v>
      </c>
      <c r="K179" s="38">
        <f t="shared" si="17"/>
        <v>-50</v>
      </c>
      <c r="L179" s="38"/>
      <c r="M179" s="40">
        <f t="shared" si="18"/>
        <v>0</v>
      </c>
      <c r="N179" s="40">
        <f t="shared" si="19"/>
        <v>0</v>
      </c>
    </row>
    <row r="180" spans="1:14" x14ac:dyDescent="0.25">
      <c r="A180" s="59">
        <f t="shared" si="20"/>
        <v>0</v>
      </c>
      <c r="G180" s="16"/>
      <c r="H180" s="38">
        <v>175</v>
      </c>
      <c r="I180" s="39" t="str">
        <f t="shared" si="16"/>
        <v/>
      </c>
      <c r="J180" s="38">
        <f t="shared" si="21"/>
        <v>-5</v>
      </c>
      <c r="K180" s="38">
        <f t="shared" si="17"/>
        <v>-50</v>
      </c>
      <c r="L180" s="38"/>
      <c r="M180" s="40">
        <f t="shared" si="18"/>
        <v>0</v>
      </c>
      <c r="N180" s="40">
        <f t="shared" si="19"/>
        <v>0</v>
      </c>
    </row>
    <row r="181" spans="1:14" x14ac:dyDescent="0.25">
      <c r="A181" s="59">
        <f t="shared" si="20"/>
        <v>0</v>
      </c>
      <c r="G181" s="16"/>
      <c r="H181" s="38">
        <v>176</v>
      </c>
      <c r="I181" s="39" t="str">
        <f t="shared" si="16"/>
        <v/>
      </c>
      <c r="J181" s="38">
        <f t="shared" si="21"/>
        <v>-5</v>
      </c>
      <c r="K181" s="38">
        <f t="shared" si="17"/>
        <v>-50</v>
      </c>
      <c r="L181" s="38"/>
      <c r="M181" s="40">
        <f t="shared" si="18"/>
        <v>0</v>
      </c>
      <c r="N181" s="40">
        <f t="shared" si="19"/>
        <v>0</v>
      </c>
    </row>
    <row r="182" spans="1:14" x14ac:dyDescent="0.25">
      <c r="A182" s="59">
        <f t="shared" si="20"/>
        <v>0</v>
      </c>
      <c r="G182" s="16"/>
      <c r="H182" s="38">
        <v>177</v>
      </c>
      <c r="I182" s="39" t="str">
        <f t="shared" si="16"/>
        <v/>
      </c>
      <c r="J182" s="38">
        <f t="shared" si="21"/>
        <v>-5</v>
      </c>
      <c r="K182" s="38">
        <f t="shared" si="17"/>
        <v>-50</v>
      </c>
      <c r="L182" s="38"/>
      <c r="M182" s="40">
        <f t="shared" si="18"/>
        <v>0</v>
      </c>
      <c r="N182" s="40">
        <f t="shared" si="19"/>
        <v>0</v>
      </c>
    </row>
    <row r="183" spans="1:14" x14ac:dyDescent="0.25">
      <c r="A183" s="59">
        <f t="shared" si="20"/>
        <v>0</v>
      </c>
      <c r="G183" s="16"/>
      <c r="H183" s="38">
        <v>178</v>
      </c>
      <c r="I183" s="39" t="str">
        <f t="shared" si="16"/>
        <v/>
      </c>
      <c r="J183" s="38">
        <f t="shared" si="21"/>
        <v>-5</v>
      </c>
      <c r="K183" s="38">
        <f t="shared" si="17"/>
        <v>-50</v>
      </c>
      <c r="L183" s="38"/>
      <c r="M183" s="40">
        <f t="shared" si="18"/>
        <v>0</v>
      </c>
      <c r="N183" s="40">
        <f t="shared" si="19"/>
        <v>0</v>
      </c>
    </row>
    <row r="184" spans="1:14" x14ac:dyDescent="0.25">
      <c r="A184" s="59">
        <f t="shared" si="20"/>
        <v>0</v>
      </c>
      <c r="G184" s="16"/>
      <c r="H184" s="38">
        <v>179</v>
      </c>
      <c r="I184" s="39" t="str">
        <f t="shared" si="16"/>
        <v/>
      </c>
      <c r="J184" s="38">
        <f t="shared" si="21"/>
        <v>-5</v>
      </c>
      <c r="K184" s="38">
        <f t="shared" si="17"/>
        <v>-50</v>
      </c>
      <c r="L184" s="38"/>
      <c r="M184" s="40">
        <f t="shared" si="18"/>
        <v>0</v>
      </c>
      <c r="N184" s="40">
        <f t="shared" si="19"/>
        <v>0</v>
      </c>
    </row>
    <row r="185" spans="1:14" x14ac:dyDescent="0.25">
      <c r="A185" s="59">
        <f t="shared" si="20"/>
        <v>0</v>
      </c>
      <c r="G185" s="16"/>
      <c r="H185" s="38">
        <v>180</v>
      </c>
      <c r="I185" s="39" t="str">
        <f t="shared" si="16"/>
        <v/>
      </c>
      <c r="J185" s="38">
        <f t="shared" si="21"/>
        <v>-5</v>
      </c>
      <c r="K185" s="38">
        <f t="shared" si="17"/>
        <v>-50</v>
      </c>
      <c r="L185" s="38"/>
      <c r="M185" s="40">
        <f t="shared" si="18"/>
        <v>0</v>
      </c>
      <c r="N185" s="40">
        <f t="shared" si="19"/>
        <v>0</v>
      </c>
    </row>
    <row r="186" spans="1:14" x14ac:dyDescent="0.25">
      <c r="A186" s="59">
        <f t="shared" si="20"/>
        <v>0</v>
      </c>
      <c r="G186" s="16"/>
      <c r="H186" s="38">
        <v>181</v>
      </c>
      <c r="I186" s="39" t="str">
        <f t="shared" si="16"/>
        <v/>
      </c>
      <c r="J186" s="38">
        <f t="shared" si="21"/>
        <v>-5</v>
      </c>
      <c r="K186" s="38">
        <f t="shared" si="17"/>
        <v>-50</v>
      </c>
      <c r="L186" s="38"/>
      <c r="M186" s="40">
        <f t="shared" si="18"/>
        <v>0</v>
      </c>
      <c r="N186" s="40">
        <f t="shared" si="19"/>
        <v>0</v>
      </c>
    </row>
    <row r="187" spans="1:14" x14ac:dyDescent="0.25">
      <c r="A187" s="59">
        <f t="shared" si="20"/>
        <v>0</v>
      </c>
      <c r="G187" s="16"/>
      <c r="H187" s="38">
        <v>182</v>
      </c>
      <c r="I187" s="39" t="str">
        <f t="shared" si="16"/>
        <v/>
      </c>
      <c r="J187" s="38">
        <f t="shared" si="21"/>
        <v>-5</v>
      </c>
      <c r="K187" s="38">
        <f t="shared" si="17"/>
        <v>-50</v>
      </c>
      <c r="L187" s="38"/>
      <c r="M187" s="40">
        <f t="shared" si="18"/>
        <v>0</v>
      </c>
      <c r="N187" s="40">
        <f t="shared" si="19"/>
        <v>0</v>
      </c>
    </row>
    <row r="188" spans="1:14" x14ac:dyDescent="0.25">
      <c r="A188" s="59">
        <f t="shared" si="20"/>
        <v>0</v>
      </c>
      <c r="G188" s="16"/>
      <c r="H188" s="38">
        <v>183</v>
      </c>
      <c r="I188" s="39" t="str">
        <f t="shared" si="16"/>
        <v/>
      </c>
      <c r="J188" s="38">
        <f t="shared" si="21"/>
        <v>-5</v>
      </c>
      <c r="K188" s="38">
        <f t="shared" si="17"/>
        <v>-50</v>
      </c>
      <c r="L188" s="38"/>
      <c r="M188" s="40">
        <f t="shared" si="18"/>
        <v>0</v>
      </c>
      <c r="N188" s="40">
        <f t="shared" si="19"/>
        <v>0</v>
      </c>
    </row>
    <row r="189" spans="1:14" x14ac:dyDescent="0.25">
      <c r="A189" s="59">
        <f t="shared" si="20"/>
        <v>0</v>
      </c>
      <c r="G189" s="16"/>
      <c r="H189" s="38">
        <v>184</v>
      </c>
      <c r="I189" s="39" t="str">
        <f t="shared" si="16"/>
        <v/>
      </c>
      <c r="J189" s="38">
        <f t="shared" si="21"/>
        <v>-5</v>
      </c>
      <c r="K189" s="38">
        <f t="shared" si="17"/>
        <v>-50</v>
      </c>
      <c r="L189" s="38"/>
      <c r="M189" s="40">
        <f t="shared" si="18"/>
        <v>0</v>
      </c>
      <c r="N189" s="40">
        <f t="shared" si="19"/>
        <v>0</v>
      </c>
    </row>
    <row r="190" spans="1:14" x14ac:dyDescent="0.25">
      <c r="A190" s="59">
        <f t="shared" si="20"/>
        <v>0</v>
      </c>
      <c r="G190" s="16"/>
      <c r="H190" s="38">
        <v>185</v>
      </c>
      <c r="I190" s="39" t="str">
        <f t="shared" si="16"/>
        <v/>
      </c>
      <c r="J190" s="38">
        <f t="shared" si="21"/>
        <v>-5</v>
      </c>
      <c r="K190" s="38">
        <f t="shared" si="17"/>
        <v>-50</v>
      </c>
      <c r="L190" s="38"/>
      <c r="M190" s="40">
        <f t="shared" si="18"/>
        <v>0</v>
      </c>
      <c r="N190" s="40">
        <f t="shared" si="19"/>
        <v>0</v>
      </c>
    </row>
    <row r="191" spans="1:14" x14ac:dyDescent="0.25">
      <c r="A191" s="59">
        <f t="shared" si="20"/>
        <v>0</v>
      </c>
      <c r="G191" s="16"/>
      <c r="H191" s="38">
        <v>186</v>
      </c>
      <c r="I191" s="39" t="str">
        <f t="shared" si="16"/>
        <v/>
      </c>
      <c r="J191" s="38">
        <f t="shared" si="21"/>
        <v>-5</v>
      </c>
      <c r="K191" s="38">
        <f t="shared" si="17"/>
        <v>-50</v>
      </c>
      <c r="L191" s="38"/>
      <c r="M191" s="40">
        <f t="shared" si="18"/>
        <v>0</v>
      </c>
      <c r="N191" s="40">
        <f t="shared" si="19"/>
        <v>0</v>
      </c>
    </row>
    <row r="192" spans="1:14" x14ac:dyDescent="0.25">
      <c r="A192" s="59">
        <f t="shared" si="20"/>
        <v>0</v>
      </c>
      <c r="G192" s="16"/>
      <c r="H192" s="38">
        <v>187</v>
      </c>
      <c r="I192" s="39" t="str">
        <f t="shared" si="16"/>
        <v/>
      </c>
      <c r="J192" s="38">
        <f t="shared" si="21"/>
        <v>-5</v>
      </c>
      <c r="K192" s="38">
        <f t="shared" si="17"/>
        <v>-50</v>
      </c>
      <c r="L192" s="38"/>
      <c r="M192" s="40">
        <f t="shared" si="18"/>
        <v>0</v>
      </c>
      <c r="N192" s="40">
        <f t="shared" si="19"/>
        <v>0</v>
      </c>
    </row>
    <row r="193" spans="1:14" x14ac:dyDescent="0.25">
      <c r="A193" s="59">
        <f t="shared" si="20"/>
        <v>0</v>
      </c>
      <c r="G193" s="16"/>
      <c r="H193" s="38">
        <v>188</v>
      </c>
      <c r="I193" s="39" t="str">
        <f t="shared" si="16"/>
        <v/>
      </c>
      <c r="J193" s="38">
        <f t="shared" si="21"/>
        <v>-5</v>
      </c>
      <c r="K193" s="38">
        <f t="shared" si="17"/>
        <v>-50</v>
      </c>
      <c r="L193" s="38"/>
      <c r="M193" s="40">
        <f t="shared" si="18"/>
        <v>0</v>
      </c>
      <c r="N193" s="40">
        <f t="shared" si="19"/>
        <v>0</v>
      </c>
    </row>
    <row r="194" spans="1:14" x14ac:dyDescent="0.25">
      <c r="A194" s="59">
        <f t="shared" si="20"/>
        <v>0</v>
      </c>
      <c r="G194" s="16"/>
      <c r="H194" s="38">
        <v>189</v>
      </c>
      <c r="I194" s="39" t="str">
        <f t="shared" si="16"/>
        <v/>
      </c>
      <c r="J194" s="38">
        <f t="shared" si="21"/>
        <v>-5</v>
      </c>
      <c r="K194" s="38">
        <f t="shared" si="17"/>
        <v>-50</v>
      </c>
      <c r="L194" s="38"/>
      <c r="M194" s="40">
        <f t="shared" si="18"/>
        <v>0</v>
      </c>
      <c r="N194" s="40">
        <f t="shared" si="19"/>
        <v>0</v>
      </c>
    </row>
    <row r="195" spans="1:14" x14ac:dyDescent="0.25">
      <c r="A195" s="59">
        <f t="shared" si="20"/>
        <v>0</v>
      </c>
      <c r="G195" s="16"/>
      <c r="H195" s="38">
        <v>190</v>
      </c>
      <c r="I195" s="39" t="str">
        <f t="shared" si="16"/>
        <v/>
      </c>
      <c r="J195" s="38">
        <f t="shared" si="21"/>
        <v>-5</v>
      </c>
      <c r="K195" s="38">
        <f t="shared" si="17"/>
        <v>-50</v>
      </c>
      <c r="L195" s="38"/>
      <c r="M195" s="40">
        <f t="shared" si="18"/>
        <v>0</v>
      </c>
      <c r="N195" s="40">
        <f t="shared" si="19"/>
        <v>0</v>
      </c>
    </row>
    <row r="196" spans="1:14" x14ac:dyDescent="0.25">
      <c r="A196" s="59">
        <f t="shared" si="20"/>
        <v>0</v>
      </c>
      <c r="G196" s="16"/>
      <c r="H196" s="38">
        <v>191</v>
      </c>
      <c r="I196" s="39" t="str">
        <f t="shared" si="16"/>
        <v/>
      </c>
      <c r="J196" s="38">
        <f t="shared" si="21"/>
        <v>-5</v>
      </c>
      <c r="K196" s="38">
        <f t="shared" si="17"/>
        <v>-50</v>
      </c>
      <c r="L196" s="38"/>
      <c r="M196" s="40">
        <f t="shared" si="18"/>
        <v>0</v>
      </c>
      <c r="N196" s="40">
        <f t="shared" si="19"/>
        <v>0</v>
      </c>
    </row>
    <row r="197" spans="1:14" x14ac:dyDescent="0.25">
      <c r="A197" s="59">
        <f t="shared" si="20"/>
        <v>0</v>
      </c>
      <c r="G197" s="16"/>
      <c r="H197" s="38">
        <v>192</v>
      </c>
      <c r="I197" s="39" t="str">
        <f t="shared" si="16"/>
        <v/>
      </c>
      <c r="J197" s="38">
        <f t="shared" si="21"/>
        <v>-5</v>
      </c>
      <c r="K197" s="38">
        <f t="shared" si="17"/>
        <v>-50</v>
      </c>
      <c r="L197" s="38"/>
      <c r="M197" s="40">
        <f t="shared" si="18"/>
        <v>0</v>
      </c>
      <c r="N197" s="40">
        <f t="shared" si="19"/>
        <v>0</v>
      </c>
    </row>
    <row r="198" spans="1:14" x14ac:dyDescent="0.25">
      <c r="A198" s="59">
        <f t="shared" si="20"/>
        <v>0</v>
      </c>
      <c r="G198" s="16"/>
      <c r="H198" s="38">
        <v>193</v>
      </c>
      <c r="I198" s="39" t="str">
        <f t="shared" ref="I198:I261" si="22">IF(H198&lt;$H$2+1,($I$2-($I$2-1)*(LOG(H198)/LOG($H$2))),"")</f>
        <v/>
      </c>
      <c r="J198" s="38">
        <f t="shared" si="21"/>
        <v>-5</v>
      </c>
      <c r="K198" s="38">
        <f t="shared" ref="K198:K261" si="23">J198*$J$2</f>
        <v>-50</v>
      </c>
      <c r="L198" s="38"/>
      <c r="M198" s="40">
        <f t="shared" ref="M198:M261" si="24">IF(I198&lt;&gt;"",K198+I198+L198,0)</f>
        <v>0</v>
      </c>
      <c r="N198" s="40">
        <f t="shared" ref="N198:N261" si="25">IF(I198&lt;&gt;"",M198*L$2,0)</f>
        <v>0</v>
      </c>
    </row>
    <row r="199" spans="1:14" x14ac:dyDescent="0.25">
      <c r="A199" s="59">
        <f t="shared" ref="A199:A262" si="26">N199</f>
        <v>0</v>
      </c>
      <c r="G199" s="16"/>
      <c r="H199" s="38">
        <v>194</v>
      </c>
      <c r="I199" s="39" t="str">
        <f t="shared" si="22"/>
        <v/>
      </c>
      <c r="J199" s="38">
        <f t="shared" ref="J199:J262" si="27">INT(LOG($H$2,2))-ROUNDUP(LOG(H199,2),0)+IF(OR($H$2=1,$H$2=2,$H$2=4,$H$2=8,$H$2=16,$H$2=32,$H$2=64,$H$2=128,$H$2=256),1,0)</f>
        <v>-5</v>
      </c>
      <c r="K199" s="38">
        <f t="shared" si="23"/>
        <v>-50</v>
      </c>
      <c r="L199" s="38"/>
      <c r="M199" s="40">
        <f t="shared" si="24"/>
        <v>0</v>
      </c>
      <c r="N199" s="40">
        <f t="shared" si="25"/>
        <v>0</v>
      </c>
    </row>
    <row r="200" spans="1:14" x14ac:dyDescent="0.25">
      <c r="A200" s="59">
        <f t="shared" si="26"/>
        <v>0</v>
      </c>
      <c r="G200" s="16"/>
      <c r="H200" s="38">
        <v>195</v>
      </c>
      <c r="I200" s="39" t="str">
        <f t="shared" si="22"/>
        <v/>
      </c>
      <c r="J200" s="38">
        <f t="shared" si="27"/>
        <v>-5</v>
      </c>
      <c r="K200" s="38">
        <f t="shared" si="23"/>
        <v>-50</v>
      </c>
      <c r="L200" s="38"/>
      <c r="M200" s="40">
        <f t="shared" si="24"/>
        <v>0</v>
      </c>
      <c r="N200" s="40">
        <f t="shared" si="25"/>
        <v>0</v>
      </c>
    </row>
    <row r="201" spans="1:14" x14ac:dyDescent="0.25">
      <c r="A201" s="59">
        <f t="shared" si="26"/>
        <v>0</v>
      </c>
      <c r="G201" s="16"/>
      <c r="H201" s="38">
        <v>196</v>
      </c>
      <c r="I201" s="39" t="str">
        <f t="shared" si="22"/>
        <v/>
      </c>
      <c r="J201" s="38">
        <f t="shared" si="27"/>
        <v>-5</v>
      </c>
      <c r="K201" s="38">
        <f t="shared" si="23"/>
        <v>-50</v>
      </c>
      <c r="L201" s="38"/>
      <c r="M201" s="40">
        <f t="shared" si="24"/>
        <v>0</v>
      </c>
      <c r="N201" s="40">
        <f t="shared" si="25"/>
        <v>0</v>
      </c>
    </row>
    <row r="202" spans="1:14" x14ac:dyDescent="0.25">
      <c r="A202" s="59">
        <f t="shared" si="26"/>
        <v>0</v>
      </c>
      <c r="G202" s="16"/>
      <c r="H202" s="38">
        <v>197</v>
      </c>
      <c r="I202" s="39" t="str">
        <f t="shared" si="22"/>
        <v/>
      </c>
      <c r="J202" s="38">
        <f t="shared" si="27"/>
        <v>-5</v>
      </c>
      <c r="K202" s="38">
        <f t="shared" si="23"/>
        <v>-50</v>
      </c>
      <c r="L202" s="38"/>
      <c r="M202" s="40">
        <f t="shared" si="24"/>
        <v>0</v>
      </c>
      <c r="N202" s="40">
        <f t="shared" si="25"/>
        <v>0</v>
      </c>
    </row>
    <row r="203" spans="1:14" x14ac:dyDescent="0.25">
      <c r="A203" s="59">
        <f t="shared" si="26"/>
        <v>0</v>
      </c>
      <c r="G203" s="16"/>
      <c r="H203" s="38">
        <v>198</v>
      </c>
      <c r="I203" s="39" t="str">
        <f t="shared" si="22"/>
        <v/>
      </c>
      <c r="J203" s="38">
        <f t="shared" si="27"/>
        <v>-5</v>
      </c>
      <c r="K203" s="38">
        <f t="shared" si="23"/>
        <v>-50</v>
      </c>
      <c r="L203" s="38"/>
      <c r="M203" s="40">
        <f t="shared" si="24"/>
        <v>0</v>
      </c>
      <c r="N203" s="40">
        <f t="shared" si="25"/>
        <v>0</v>
      </c>
    </row>
    <row r="204" spans="1:14" x14ac:dyDescent="0.25">
      <c r="A204" s="59">
        <f t="shared" si="26"/>
        <v>0</v>
      </c>
      <c r="G204" s="16"/>
      <c r="H204" s="38">
        <v>199</v>
      </c>
      <c r="I204" s="39" t="str">
        <f t="shared" si="22"/>
        <v/>
      </c>
      <c r="J204" s="38">
        <f t="shared" si="27"/>
        <v>-5</v>
      </c>
      <c r="K204" s="38">
        <f t="shared" si="23"/>
        <v>-50</v>
      </c>
      <c r="L204" s="38"/>
      <c r="M204" s="40">
        <f t="shared" si="24"/>
        <v>0</v>
      </c>
      <c r="N204" s="40">
        <f t="shared" si="25"/>
        <v>0</v>
      </c>
    </row>
    <row r="205" spans="1:14" x14ac:dyDescent="0.25">
      <c r="A205" s="59">
        <f t="shared" si="26"/>
        <v>0</v>
      </c>
      <c r="G205" s="16"/>
      <c r="H205" s="38">
        <v>200</v>
      </c>
      <c r="I205" s="39" t="str">
        <f t="shared" si="22"/>
        <v/>
      </c>
      <c r="J205" s="38">
        <f t="shared" si="27"/>
        <v>-5</v>
      </c>
      <c r="K205" s="38">
        <f t="shared" si="23"/>
        <v>-50</v>
      </c>
      <c r="L205" s="38"/>
      <c r="M205" s="40">
        <f t="shared" si="24"/>
        <v>0</v>
      </c>
      <c r="N205" s="40">
        <f t="shared" si="25"/>
        <v>0</v>
      </c>
    </row>
    <row r="206" spans="1:14" x14ac:dyDescent="0.25">
      <c r="A206" s="59">
        <f t="shared" si="26"/>
        <v>0</v>
      </c>
      <c r="G206" s="16"/>
      <c r="H206" s="38">
        <v>201</v>
      </c>
      <c r="I206" s="39" t="str">
        <f t="shared" si="22"/>
        <v/>
      </c>
      <c r="J206" s="38">
        <f t="shared" si="27"/>
        <v>-5</v>
      </c>
      <c r="K206" s="38">
        <f t="shared" si="23"/>
        <v>-50</v>
      </c>
      <c r="L206" s="38"/>
      <c r="M206" s="40">
        <f t="shared" si="24"/>
        <v>0</v>
      </c>
      <c r="N206" s="40">
        <f t="shared" si="25"/>
        <v>0</v>
      </c>
    </row>
    <row r="207" spans="1:14" x14ac:dyDescent="0.25">
      <c r="A207" s="59">
        <f t="shared" si="26"/>
        <v>0</v>
      </c>
      <c r="G207" s="16"/>
      <c r="H207" s="38">
        <v>202</v>
      </c>
      <c r="I207" s="39" t="str">
        <f t="shared" si="22"/>
        <v/>
      </c>
      <c r="J207" s="38">
        <f t="shared" si="27"/>
        <v>-5</v>
      </c>
      <c r="K207" s="38">
        <f t="shared" si="23"/>
        <v>-50</v>
      </c>
      <c r="L207" s="38"/>
      <c r="M207" s="40">
        <f t="shared" si="24"/>
        <v>0</v>
      </c>
      <c r="N207" s="40">
        <f t="shared" si="25"/>
        <v>0</v>
      </c>
    </row>
    <row r="208" spans="1:14" x14ac:dyDescent="0.25">
      <c r="A208" s="59">
        <f t="shared" si="26"/>
        <v>0</v>
      </c>
      <c r="G208" s="16"/>
      <c r="H208" s="38">
        <v>203</v>
      </c>
      <c r="I208" s="39" t="str">
        <f t="shared" si="22"/>
        <v/>
      </c>
      <c r="J208" s="38">
        <f t="shared" si="27"/>
        <v>-5</v>
      </c>
      <c r="K208" s="38">
        <f t="shared" si="23"/>
        <v>-50</v>
      </c>
      <c r="L208" s="38"/>
      <c r="M208" s="40">
        <f t="shared" si="24"/>
        <v>0</v>
      </c>
      <c r="N208" s="40">
        <f t="shared" si="25"/>
        <v>0</v>
      </c>
    </row>
    <row r="209" spans="1:14" x14ac:dyDescent="0.25">
      <c r="A209" s="59">
        <f t="shared" si="26"/>
        <v>0</v>
      </c>
      <c r="G209" s="16"/>
      <c r="H209" s="38">
        <v>204</v>
      </c>
      <c r="I209" s="39" t="str">
        <f t="shared" si="22"/>
        <v/>
      </c>
      <c r="J209" s="38">
        <f t="shared" si="27"/>
        <v>-5</v>
      </c>
      <c r="K209" s="38">
        <f t="shared" si="23"/>
        <v>-50</v>
      </c>
      <c r="L209" s="38"/>
      <c r="M209" s="40">
        <f t="shared" si="24"/>
        <v>0</v>
      </c>
      <c r="N209" s="40">
        <f t="shared" si="25"/>
        <v>0</v>
      </c>
    </row>
    <row r="210" spans="1:14" x14ac:dyDescent="0.25">
      <c r="A210" s="59">
        <f t="shared" si="26"/>
        <v>0</v>
      </c>
      <c r="G210" s="16"/>
      <c r="H210" s="38">
        <v>205</v>
      </c>
      <c r="I210" s="39" t="str">
        <f t="shared" si="22"/>
        <v/>
      </c>
      <c r="J210" s="38">
        <f t="shared" si="27"/>
        <v>-5</v>
      </c>
      <c r="K210" s="38">
        <f t="shared" si="23"/>
        <v>-50</v>
      </c>
      <c r="L210" s="38"/>
      <c r="M210" s="40">
        <f t="shared" si="24"/>
        <v>0</v>
      </c>
      <c r="N210" s="40">
        <f t="shared" si="25"/>
        <v>0</v>
      </c>
    </row>
    <row r="211" spans="1:14" x14ac:dyDescent="0.25">
      <c r="A211" s="59">
        <f t="shared" si="26"/>
        <v>0</v>
      </c>
      <c r="G211" s="16"/>
      <c r="H211" s="38">
        <v>206</v>
      </c>
      <c r="I211" s="39" t="str">
        <f t="shared" si="22"/>
        <v/>
      </c>
      <c r="J211" s="38">
        <f t="shared" si="27"/>
        <v>-5</v>
      </c>
      <c r="K211" s="38">
        <f t="shared" si="23"/>
        <v>-50</v>
      </c>
      <c r="L211" s="38"/>
      <c r="M211" s="40">
        <f t="shared" si="24"/>
        <v>0</v>
      </c>
      <c r="N211" s="40">
        <f t="shared" si="25"/>
        <v>0</v>
      </c>
    </row>
    <row r="212" spans="1:14" x14ac:dyDescent="0.25">
      <c r="A212" s="59">
        <f t="shared" si="26"/>
        <v>0</v>
      </c>
      <c r="G212" s="16"/>
      <c r="H212" s="38">
        <v>207</v>
      </c>
      <c r="I212" s="39" t="str">
        <f t="shared" si="22"/>
        <v/>
      </c>
      <c r="J212" s="38">
        <f t="shared" si="27"/>
        <v>-5</v>
      </c>
      <c r="K212" s="38">
        <f t="shared" si="23"/>
        <v>-50</v>
      </c>
      <c r="L212" s="38"/>
      <c r="M212" s="40">
        <f t="shared" si="24"/>
        <v>0</v>
      </c>
      <c r="N212" s="40">
        <f t="shared" si="25"/>
        <v>0</v>
      </c>
    </row>
    <row r="213" spans="1:14" x14ac:dyDescent="0.25">
      <c r="A213" s="59">
        <f t="shared" si="26"/>
        <v>0</v>
      </c>
      <c r="G213" s="16"/>
      <c r="H213" s="38">
        <v>208</v>
      </c>
      <c r="I213" s="39" t="str">
        <f t="shared" si="22"/>
        <v/>
      </c>
      <c r="J213" s="38">
        <f t="shared" si="27"/>
        <v>-5</v>
      </c>
      <c r="K213" s="38">
        <f t="shared" si="23"/>
        <v>-50</v>
      </c>
      <c r="L213" s="38"/>
      <c r="M213" s="40">
        <f t="shared" si="24"/>
        <v>0</v>
      </c>
      <c r="N213" s="40">
        <f t="shared" si="25"/>
        <v>0</v>
      </c>
    </row>
    <row r="214" spans="1:14" x14ac:dyDescent="0.25">
      <c r="A214" s="59">
        <f t="shared" si="26"/>
        <v>0</v>
      </c>
      <c r="G214" s="16"/>
      <c r="H214" s="38">
        <v>209</v>
      </c>
      <c r="I214" s="39" t="str">
        <f t="shared" si="22"/>
        <v/>
      </c>
      <c r="J214" s="38">
        <f t="shared" si="27"/>
        <v>-5</v>
      </c>
      <c r="K214" s="38">
        <f t="shared" si="23"/>
        <v>-50</v>
      </c>
      <c r="L214" s="38"/>
      <c r="M214" s="40">
        <f t="shared" si="24"/>
        <v>0</v>
      </c>
      <c r="N214" s="40">
        <f t="shared" si="25"/>
        <v>0</v>
      </c>
    </row>
    <row r="215" spans="1:14" x14ac:dyDescent="0.25">
      <c r="A215" s="59">
        <f t="shared" si="26"/>
        <v>0</v>
      </c>
      <c r="G215" s="16"/>
      <c r="H215" s="38">
        <v>210</v>
      </c>
      <c r="I215" s="39" t="str">
        <f t="shared" si="22"/>
        <v/>
      </c>
      <c r="J215" s="38">
        <f t="shared" si="27"/>
        <v>-5</v>
      </c>
      <c r="K215" s="38">
        <f t="shared" si="23"/>
        <v>-50</v>
      </c>
      <c r="L215" s="38"/>
      <c r="M215" s="40">
        <f t="shared" si="24"/>
        <v>0</v>
      </c>
      <c r="N215" s="40">
        <f t="shared" si="25"/>
        <v>0</v>
      </c>
    </row>
    <row r="216" spans="1:14" x14ac:dyDescent="0.25">
      <c r="A216" s="59">
        <f t="shared" si="26"/>
        <v>0</v>
      </c>
      <c r="G216" s="16"/>
      <c r="H216" s="38">
        <v>211</v>
      </c>
      <c r="I216" s="39" t="str">
        <f t="shared" si="22"/>
        <v/>
      </c>
      <c r="J216" s="38">
        <f t="shared" si="27"/>
        <v>-5</v>
      </c>
      <c r="K216" s="38">
        <f t="shared" si="23"/>
        <v>-50</v>
      </c>
      <c r="L216" s="38"/>
      <c r="M216" s="40">
        <f t="shared" si="24"/>
        <v>0</v>
      </c>
      <c r="N216" s="40">
        <f t="shared" si="25"/>
        <v>0</v>
      </c>
    </row>
    <row r="217" spans="1:14" x14ac:dyDescent="0.25">
      <c r="A217" s="59">
        <f t="shared" si="26"/>
        <v>0</v>
      </c>
      <c r="G217" s="16"/>
      <c r="H217" s="38">
        <v>212</v>
      </c>
      <c r="I217" s="39" t="str">
        <f t="shared" si="22"/>
        <v/>
      </c>
      <c r="J217" s="38">
        <f t="shared" si="27"/>
        <v>-5</v>
      </c>
      <c r="K217" s="38">
        <f t="shared" si="23"/>
        <v>-50</v>
      </c>
      <c r="L217" s="38"/>
      <c r="M217" s="40">
        <f t="shared" si="24"/>
        <v>0</v>
      </c>
      <c r="N217" s="40">
        <f t="shared" si="25"/>
        <v>0</v>
      </c>
    </row>
    <row r="218" spans="1:14" x14ac:dyDescent="0.25">
      <c r="A218" s="59">
        <f t="shared" si="26"/>
        <v>0</v>
      </c>
      <c r="G218" s="16"/>
      <c r="H218" s="38">
        <v>213</v>
      </c>
      <c r="I218" s="39" t="str">
        <f t="shared" si="22"/>
        <v/>
      </c>
      <c r="J218" s="38">
        <f t="shared" si="27"/>
        <v>-5</v>
      </c>
      <c r="K218" s="38">
        <f t="shared" si="23"/>
        <v>-50</v>
      </c>
      <c r="L218" s="38"/>
      <c r="M218" s="40">
        <f t="shared" si="24"/>
        <v>0</v>
      </c>
      <c r="N218" s="40">
        <f t="shared" si="25"/>
        <v>0</v>
      </c>
    </row>
    <row r="219" spans="1:14" x14ac:dyDescent="0.25">
      <c r="A219" s="59">
        <f t="shared" si="26"/>
        <v>0</v>
      </c>
      <c r="G219" s="16"/>
      <c r="H219" s="38">
        <v>214</v>
      </c>
      <c r="I219" s="39" t="str">
        <f t="shared" si="22"/>
        <v/>
      </c>
      <c r="J219" s="38">
        <f t="shared" si="27"/>
        <v>-5</v>
      </c>
      <c r="K219" s="38">
        <f t="shared" si="23"/>
        <v>-50</v>
      </c>
      <c r="L219" s="38"/>
      <c r="M219" s="40">
        <f t="shared" si="24"/>
        <v>0</v>
      </c>
      <c r="N219" s="40">
        <f t="shared" si="25"/>
        <v>0</v>
      </c>
    </row>
    <row r="220" spans="1:14" x14ac:dyDescent="0.25">
      <c r="A220" s="59">
        <f t="shared" si="26"/>
        <v>0</v>
      </c>
      <c r="G220" s="16"/>
      <c r="H220" s="38">
        <v>215</v>
      </c>
      <c r="I220" s="39" t="str">
        <f t="shared" si="22"/>
        <v/>
      </c>
      <c r="J220" s="38">
        <f t="shared" si="27"/>
        <v>-5</v>
      </c>
      <c r="K220" s="38">
        <f t="shared" si="23"/>
        <v>-50</v>
      </c>
      <c r="L220" s="38"/>
      <c r="M220" s="40">
        <f t="shared" si="24"/>
        <v>0</v>
      </c>
      <c r="N220" s="40">
        <f t="shared" si="25"/>
        <v>0</v>
      </c>
    </row>
    <row r="221" spans="1:14" x14ac:dyDescent="0.25">
      <c r="A221" s="59">
        <f t="shared" si="26"/>
        <v>0</v>
      </c>
      <c r="G221" s="16"/>
      <c r="H221" s="38">
        <v>216</v>
      </c>
      <c r="I221" s="39" t="str">
        <f t="shared" si="22"/>
        <v/>
      </c>
      <c r="J221" s="38">
        <f t="shared" si="27"/>
        <v>-5</v>
      </c>
      <c r="K221" s="38">
        <f t="shared" si="23"/>
        <v>-50</v>
      </c>
      <c r="L221" s="38"/>
      <c r="M221" s="40">
        <f t="shared" si="24"/>
        <v>0</v>
      </c>
      <c r="N221" s="40">
        <f t="shared" si="25"/>
        <v>0</v>
      </c>
    </row>
    <row r="222" spans="1:14" x14ac:dyDescent="0.25">
      <c r="A222" s="59">
        <f t="shared" si="26"/>
        <v>0</v>
      </c>
      <c r="G222" s="16"/>
      <c r="H222" s="38">
        <v>217</v>
      </c>
      <c r="I222" s="39" t="str">
        <f t="shared" si="22"/>
        <v/>
      </c>
      <c r="J222" s="38">
        <f t="shared" si="27"/>
        <v>-5</v>
      </c>
      <c r="K222" s="38">
        <f t="shared" si="23"/>
        <v>-50</v>
      </c>
      <c r="L222" s="38"/>
      <c r="M222" s="40">
        <f t="shared" si="24"/>
        <v>0</v>
      </c>
      <c r="N222" s="40">
        <f t="shared" si="25"/>
        <v>0</v>
      </c>
    </row>
    <row r="223" spans="1:14" x14ac:dyDescent="0.25">
      <c r="A223" s="59">
        <f t="shared" si="26"/>
        <v>0</v>
      </c>
      <c r="G223" s="16"/>
      <c r="H223" s="38">
        <v>218</v>
      </c>
      <c r="I223" s="39" t="str">
        <f t="shared" si="22"/>
        <v/>
      </c>
      <c r="J223" s="38">
        <f t="shared" si="27"/>
        <v>-5</v>
      </c>
      <c r="K223" s="38">
        <f t="shared" si="23"/>
        <v>-50</v>
      </c>
      <c r="L223" s="38"/>
      <c r="M223" s="40">
        <f t="shared" si="24"/>
        <v>0</v>
      </c>
      <c r="N223" s="40">
        <f t="shared" si="25"/>
        <v>0</v>
      </c>
    </row>
    <row r="224" spans="1:14" x14ac:dyDescent="0.25">
      <c r="A224" s="59">
        <f t="shared" si="26"/>
        <v>0</v>
      </c>
      <c r="G224" s="16"/>
      <c r="H224" s="38">
        <v>219</v>
      </c>
      <c r="I224" s="39" t="str">
        <f t="shared" si="22"/>
        <v/>
      </c>
      <c r="J224" s="38">
        <f t="shared" si="27"/>
        <v>-5</v>
      </c>
      <c r="K224" s="38">
        <f t="shared" si="23"/>
        <v>-50</v>
      </c>
      <c r="L224" s="38"/>
      <c r="M224" s="40">
        <f t="shared" si="24"/>
        <v>0</v>
      </c>
      <c r="N224" s="40">
        <f t="shared" si="25"/>
        <v>0</v>
      </c>
    </row>
    <row r="225" spans="1:14" x14ac:dyDescent="0.25">
      <c r="A225" s="59">
        <f t="shared" si="26"/>
        <v>0</v>
      </c>
      <c r="G225" s="16"/>
      <c r="H225" s="38">
        <v>220</v>
      </c>
      <c r="I225" s="39" t="str">
        <f t="shared" si="22"/>
        <v/>
      </c>
      <c r="J225" s="38">
        <f t="shared" si="27"/>
        <v>-5</v>
      </c>
      <c r="K225" s="38">
        <f t="shared" si="23"/>
        <v>-50</v>
      </c>
      <c r="L225" s="38"/>
      <c r="M225" s="40">
        <f t="shared" si="24"/>
        <v>0</v>
      </c>
      <c r="N225" s="40">
        <f t="shared" si="25"/>
        <v>0</v>
      </c>
    </row>
    <row r="226" spans="1:14" x14ac:dyDescent="0.25">
      <c r="A226" s="59">
        <f t="shared" si="26"/>
        <v>0</v>
      </c>
      <c r="G226" s="16"/>
      <c r="H226" s="38">
        <v>221</v>
      </c>
      <c r="I226" s="39" t="str">
        <f t="shared" si="22"/>
        <v/>
      </c>
      <c r="J226" s="38">
        <f t="shared" si="27"/>
        <v>-5</v>
      </c>
      <c r="K226" s="38">
        <f t="shared" si="23"/>
        <v>-50</v>
      </c>
      <c r="L226" s="38"/>
      <c r="M226" s="40">
        <f t="shared" si="24"/>
        <v>0</v>
      </c>
      <c r="N226" s="40">
        <f t="shared" si="25"/>
        <v>0</v>
      </c>
    </row>
    <row r="227" spans="1:14" x14ac:dyDescent="0.25">
      <c r="A227" s="59">
        <f t="shared" si="26"/>
        <v>0</v>
      </c>
      <c r="G227" s="16"/>
      <c r="H227" s="38">
        <v>222</v>
      </c>
      <c r="I227" s="39" t="str">
        <f t="shared" si="22"/>
        <v/>
      </c>
      <c r="J227" s="38">
        <f t="shared" si="27"/>
        <v>-5</v>
      </c>
      <c r="K227" s="38">
        <f t="shared" si="23"/>
        <v>-50</v>
      </c>
      <c r="L227" s="38"/>
      <c r="M227" s="40">
        <f t="shared" si="24"/>
        <v>0</v>
      </c>
      <c r="N227" s="40">
        <f t="shared" si="25"/>
        <v>0</v>
      </c>
    </row>
    <row r="228" spans="1:14" x14ac:dyDescent="0.25">
      <c r="A228" s="59">
        <f t="shared" si="26"/>
        <v>0</v>
      </c>
      <c r="G228" s="16"/>
      <c r="H228" s="38">
        <v>223</v>
      </c>
      <c r="I228" s="39" t="str">
        <f t="shared" si="22"/>
        <v/>
      </c>
      <c r="J228" s="38">
        <f t="shared" si="27"/>
        <v>-5</v>
      </c>
      <c r="K228" s="38">
        <f t="shared" si="23"/>
        <v>-50</v>
      </c>
      <c r="L228" s="38"/>
      <c r="M228" s="40">
        <f t="shared" si="24"/>
        <v>0</v>
      </c>
      <c r="N228" s="40">
        <f t="shared" si="25"/>
        <v>0</v>
      </c>
    </row>
    <row r="229" spans="1:14" x14ac:dyDescent="0.25">
      <c r="A229" s="59">
        <f t="shared" si="26"/>
        <v>0</v>
      </c>
      <c r="G229" s="16"/>
      <c r="H229" s="38">
        <v>224</v>
      </c>
      <c r="I229" s="39" t="str">
        <f t="shared" si="22"/>
        <v/>
      </c>
      <c r="J229" s="38">
        <f t="shared" si="27"/>
        <v>-5</v>
      </c>
      <c r="K229" s="38">
        <f t="shared" si="23"/>
        <v>-50</v>
      </c>
      <c r="L229" s="38"/>
      <c r="M229" s="40">
        <f t="shared" si="24"/>
        <v>0</v>
      </c>
      <c r="N229" s="40">
        <f t="shared" si="25"/>
        <v>0</v>
      </c>
    </row>
    <row r="230" spans="1:14" x14ac:dyDescent="0.25">
      <c r="A230" s="59">
        <f t="shared" si="26"/>
        <v>0</v>
      </c>
      <c r="G230" s="16"/>
      <c r="H230" s="38">
        <v>225</v>
      </c>
      <c r="I230" s="39" t="str">
        <f t="shared" si="22"/>
        <v/>
      </c>
      <c r="J230" s="38">
        <f t="shared" si="27"/>
        <v>-5</v>
      </c>
      <c r="K230" s="38">
        <f t="shared" si="23"/>
        <v>-50</v>
      </c>
      <c r="L230" s="38"/>
      <c r="M230" s="40">
        <f t="shared" si="24"/>
        <v>0</v>
      </c>
      <c r="N230" s="40">
        <f t="shared" si="25"/>
        <v>0</v>
      </c>
    </row>
    <row r="231" spans="1:14" x14ac:dyDescent="0.25">
      <c r="A231" s="59">
        <f t="shared" si="26"/>
        <v>0</v>
      </c>
      <c r="G231" s="16"/>
      <c r="H231" s="38">
        <v>226</v>
      </c>
      <c r="I231" s="39" t="str">
        <f t="shared" si="22"/>
        <v/>
      </c>
      <c r="J231" s="38">
        <f t="shared" si="27"/>
        <v>-5</v>
      </c>
      <c r="K231" s="38">
        <f t="shared" si="23"/>
        <v>-50</v>
      </c>
      <c r="L231" s="38"/>
      <c r="M231" s="40">
        <f t="shared" si="24"/>
        <v>0</v>
      </c>
      <c r="N231" s="40">
        <f t="shared" si="25"/>
        <v>0</v>
      </c>
    </row>
    <row r="232" spans="1:14" x14ac:dyDescent="0.25">
      <c r="A232" s="59">
        <f t="shared" si="26"/>
        <v>0</v>
      </c>
      <c r="G232" s="16"/>
      <c r="H232" s="38">
        <v>227</v>
      </c>
      <c r="I232" s="39" t="str">
        <f t="shared" si="22"/>
        <v/>
      </c>
      <c r="J232" s="38">
        <f t="shared" si="27"/>
        <v>-5</v>
      </c>
      <c r="K232" s="38">
        <f t="shared" si="23"/>
        <v>-50</v>
      </c>
      <c r="L232" s="38"/>
      <c r="M232" s="40">
        <f t="shared" si="24"/>
        <v>0</v>
      </c>
      <c r="N232" s="40">
        <f t="shared" si="25"/>
        <v>0</v>
      </c>
    </row>
    <row r="233" spans="1:14" x14ac:dyDescent="0.25">
      <c r="A233" s="59">
        <f t="shared" si="26"/>
        <v>0</v>
      </c>
      <c r="G233" s="16"/>
      <c r="H233" s="38">
        <v>228</v>
      </c>
      <c r="I233" s="39" t="str">
        <f t="shared" si="22"/>
        <v/>
      </c>
      <c r="J233" s="38">
        <f t="shared" si="27"/>
        <v>-5</v>
      </c>
      <c r="K233" s="38">
        <f t="shared" si="23"/>
        <v>-50</v>
      </c>
      <c r="L233" s="38"/>
      <c r="M233" s="40">
        <f t="shared" si="24"/>
        <v>0</v>
      </c>
      <c r="N233" s="40">
        <f t="shared" si="25"/>
        <v>0</v>
      </c>
    </row>
    <row r="234" spans="1:14" x14ac:dyDescent="0.25">
      <c r="A234" s="59">
        <f t="shared" si="26"/>
        <v>0</v>
      </c>
      <c r="G234" s="16"/>
      <c r="H234" s="38">
        <v>229</v>
      </c>
      <c r="I234" s="39" t="str">
        <f t="shared" si="22"/>
        <v/>
      </c>
      <c r="J234" s="38">
        <f t="shared" si="27"/>
        <v>-5</v>
      </c>
      <c r="K234" s="38">
        <f t="shared" si="23"/>
        <v>-50</v>
      </c>
      <c r="L234" s="38"/>
      <c r="M234" s="40">
        <f t="shared" si="24"/>
        <v>0</v>
      </c>
      <c r="N234" s="40">
        <f t="shared" si="25"/>
        <v>0</v>
      </c>
    </row>
    <row r="235" spans="1:14" x14ac:dyDescent="0.25">
      <c r="A235" s="59">
        <f t="shared" si="26"/>
        <v>0</v>
      </c>
      <c r="G235" s="16"/>
      <c r="H235" s="38">
        <v>230</v>
      </c>
      <c r="I235" s="39" t="str">
        <f t="shared" si="22"/>
        <v/>
      </c>
      <c r="J235" s="38">
        <f t="shared" si="27"/>
        <v>-5</v>
      </c>
      <c r="K235" s="38">
        <f t="shared" si="23"/>
        <v>-50</v>
      </c>
      <c r="L235" s="38"/>
      <c r="M235" s="40">
        <f t="shared" si="24"/>
        <v>0</v>
      </c>
      <c r="N235" s="40">
        <f t="shared" si="25"/>
        <v>0</v>
      </c>
    </row>
    <row r="236" spans="1:14" x14ac:dyDescent="0.25">
      <c r="A236" s="59">
        <f t="shared" si="26"/>
        <v>0</v>
      </c>
      <c r="G236" s="16"/>
      <c r="H236" s="38">
        <v>231</v>
      </c>
      <c r="I236" s="39" t="str">
        <f t="shared" si="22"/>
        <v/>
      </c>
      <c r="J236" s="38">
        <f t="shared" si="27"/>
        <v>-5</v>
      </c>
      <c r="K236" s="38">
        <f t="shared" si="23"/>
        <v>-50</v>
      </c>
      <c r="L236" s="38"/>
      <c r="M236" s="40">
        <f t="shared" si="24"/>
        <v>0</v>
      </c>
      <c r="N236" s="40">
        <f t="shared" si="25"/>
        <v>0</v>
      </c>
    </row>
    <row r="237" spans="1:14" x14ac:dyDescent="0.25">
      <c r="A237" s="59">
        <f t="shared" si="26"/>
        <v>0</v>
      </c>
      <c r="G237" s="16"/>
      <c r="H237" s="38">
        <v>232</v>
      </c>
      <c r="I237" s="39" t="str">
        <f t="shared" si="22"/>
        <v/>
      </c>
      <c r="J237" s="38">
        <f t="shared" si="27"/>
        <v>-5</v>
      </c>
      <c r="K237" s="38">
        <f t="shared" si="23"/>
        <v>-50</v>
      </c>
      <c r="L237" s="38"/>
      <c r="M237" s="40">
        <f t="shared" si="24"/>
        <v>0</v>
      </c>
      <c r="N237" s="40">
        <f t="shared" si="25"/>
        <v>0</v>
      </c>
    </row>
    <row r="238" spans="1:14" x14ac:dyDescent="0.25">
      <c r="A238" s="59">
        <f t="shared" si="26"/>
        <v>0</v>
      </c>
      <c r="G238" s="16"/>
      <c r="H238" s="38">
        <v>233</v>
      </c>
      <c r="I238" s="39" t="str">
        <f t="shared" si="22"/>
        <v/>
      </c>
      <c r="J238" s="38">
        <f t="shared" si="27"/>
        <v>-5</v>
      </c>
      <c r="K238" s="38">
        <f t="shared" si="23"/>
        <v>-50</v>
      </c>
      <c r="L238" s="38"/>
      <c r="M238" s="40">
        <f t="shared" si="24"/>
        <v>0</v>
      </c>
      <c r="N238" s="40">
        <f t="shared" si="25"/>
        <v>0</v>
      </c>
    </row>
    <row r="239" spans="1:14" x14ac:dyDescent="0.25">
      <c r="A239" s="59">
        <f t="shared" si="26"/>
        <v>0</v>
      </c>
      <c r="G239" s="16"/>
      <c r="H239" s="38">
        <v>234</v>
      </c>
      <c r="I239" s="39" t="str">
        <f t="shared" si="22"/>
        <v/>
      </c>
      <c r="J239" s="38">
        <f t="shared" si="27"/>
        <v>-5</v>
      </c>
      <c r="K239" s="38">
        <f t="shared" si="23"/>
        <v>-50</v>
      </c>
      <c r="L239" s="38"/>
      <c r="M239" s="40">
        <f t="shared" si="24"/>
        <v>0</v>
      </c>
      <c r="N239" s="40">
        <f t="shared" si="25"/>
        <v>0</v>
      </c>
    </row>
    <row r="240" spans="1:14" x14ac:dyDescent="0.25">
      <c r="A240" s="59">
        <f t="shared" si="26"/>
        <v>0</v>
      </c>
      <c r="G240" s="16"/>
      <c r="H240" s="38">
        <v>235</v>
      </c>
      <c r="I240" s="39" t="str">
        <f t="shared" si="22"/>
        <v/>
      </c>
      <c r="J240" s="38">
        <f t="shared" si="27"/>
        <v>-5</v>
      </c>
      <c r="K240" s="38">
        <f t="shared" si="23"/>
        <v>-50</v>
      </c>
      <c r="L240" s="38"/>
      <c r="M240" s="40">
        <f t="shared" si="24"/>
        <v>0</v>
      </c>
      <c r="N240" s="40">
        <f t="shared" si="25"/>
        <v>0</v>
      </c>
    </row>
    <row r="241" spans="1:14" x14ac:dyDescent="0.25">
      <c r="A241" s="59">
        <f t="shared" si="26"/>
        <v>0</v>
      </c>
      <c r="G241" s="16"/>
      <c r="H241" s="38">
        <v>236</v>
      </c>
      <c r="I241" s="39" t="str">
        <f t="shared" si="22"/>
        <v/>
      </c>
      <c r="J241" s="38">
        <f t="shared" si="27"/>
        <v>-5</v>
      </c>
      <c r="K241" s="38">
        <f t="shared" si="23"/>
        <v>-50</v>
      </c>
      <c r="L241" s="38"/>
      <c r="M241" s="40">
        <f t="shared" si="24"/>
        <v>0</v>
      </c>
      <c r="N241" s="40">
        <f t="shared" si="25"/>
        <v>0</v>
      </c>
    </row>
    <row r="242" spans="1:14" x14ac:dyDescent="0.25">
      <c r="A242" s="59">
        <f t="shared" si="26"/>
        <v>0</v>
      </c>
      <c r="G242" s="16"/>
      <c r="H242" s="38">
        <v>237</v>
      </c>
      <c r="I242" s="39" t="str">
        <f t="shared" si="22"/>
        <v/>
      </c>
      <c r="J242" s="38">
        <f t="shared" si="27"/>
        <v>-5</v>
      </c>
      <c r="K242" s="38">
        <f t="shared" si="23"/>
        <v>-50</v>
      </c>
      <c r="L242" s="38"/>
      <c r="M242" s="40">
        <f t="shared" si="24"/>
        <v>0</v>
      </c>
      <c r="N242" s="40">
        <f t="shared" si="25"/>
        <v>0</v>
      </c>
    </row>
    <row r="243" spans="1:14" x14ac:dyDescent="0.25">
      <c r="A243" s="59">
        <f t="shared" si="26"/>
        <v>0</v>
      </c>
      <c r="G243" s="16"/>
      <c r="H243" s="38">
        <v>238</v>
      </c>
      <c r="I243" s="39" t="str">
        <f t="shared" si="22"/>
        <v/>
      </c>
      <c r="J243" s="38">
        <f t="shared" si="27"/>
        <v>-5</v>
      </c>
      <c r="K243" s="38">
        <f t="shared" si="23"/>
        <v>-50</v>
      </c>
      <c r="L243" s="38"/>
      <c r="M243" s="40">
        <f t="shared" si="24"/>
        <v>0</v>
      </c>
      <c r="N243" s="40">
        <f t="shared" si="25"/>
        <v>0</v>
      </c>
    </row>
    <row r="244" spans="1:14" x14ac:dyDescent="0.25">
      <c r="A244" s="59">
        <f t="shared" si="26"/>
        <v>0</v>
      </c>
      <c r="G244" s="16"/>
      <c r="H244" s="38">
        <v>239</v>
      </c>
      <c r="I244" s="39" t="str">
        <f t="shared" si="22"/>
        <v/>
      </c>
      <c r="J244" s="38">
        <f t="shared" si="27"/>
        <v>-5</v>
      </c>
      <c r="K244" s="38">
        <f t="shared" si="23"/>
        <v>-50</v>
      </c>
      <c r="L244" s="38"/>
      <c r="M244" s="40">
        <f t="shared" si="24"/>
        <v>0</v>
      </c>
      <c r="N244" s="40">
        <f t="shared" si="25"/>
        <v>0</v>
      </c>
    </row>
    <row r="245" spans="1:14" x14ac:dyDescent="0.25">
      <c r="A245" s="59">
        <f t="shared" si="26"/>
        <v>0</v>
      </c>
      <c r="G245" s="16"/>
      <c r="H245" s="38">
        <v>240</v>
      </c>
      <c r="I245" s="39" t="str">
        <f t="shared" si="22"/>
        <v/>
      </c>
      <c r="J245" s="38">
        <f t="shared" si="27"/>
        <v>-5</v>
      </c>
      <c r="K245" s="38">
        <f t="shared" si="23"/>
        <v>-50</v>
      </c>
      <c r="L245" s="38"/>
      <c r="M245" s="40">
        <f t="shared" si="24"/>
        <v>0</v>
      </c>
      <c r="N245" s="40">
        <f t="shared" si="25"/>
        <v>0</v>
      </c>
    </row>
    <row r="246" spans="1:14" x14ac:dyDescent="0.25">
      <c r="A246" s="59">
        <f t="shared" si="26"/>
        <v>0</v>
      </c>
      <c r="G246" s="16"/>
      <c r="H246" s="38">
        <v>241</v>
      </c>
      <c r="I246" s="39" t="str">
        <f t="shared" si="22"/>
        <v/>
      </c>
      <c r="J246" s="38">
        <f t="shared" si="27"/>
        <v>-5</v>
      </c>
      <c r="K246" s="38">
        <f t="shared" si="23"/>
        <v>-50</v>
      </c>
      <c r="L246" s="38"/>
      <c r="M246" s="40">
        <f t="shared" si="24"/>
        <v>0</v>
      </c>
      <c r="N246" s="40">
        <f t="shared" si="25"/>
        <v>0</v>
      </c>
    </row>
    <row r="247" spans="1:14" x14ac:dyDescent="0.25">
      <c r="A247" s="59">
        <f t="shared" si="26"/>
        <v>0</v>
      </c>
      <c r="G247" s="16"/>
      <c r="H247" s="38">
        <v>242</v>
      </c>
      <c r="I247" s="39" t="str">
        <f t="shared" si="22"/>
        <v/>
      </c>
      <c r="J247" s="38">
        <f t="shared" si="27"/>
        <v>-5</v>
      </c>
      <c r="K247" s="38">
        <f t="shared" si="23"/>
        <v>-50</v>
      </c>
      <c r="L247" s="38"/>
      <c r="M247" s="40">
        <f t="shared" si="24"/>
        <v>0</v>
      </c>
      <c r="N247" s="40">
        <f t="shared" si="25"/>
        <v>0</v>
      </c>
    </row>
    <row r="248" spans="1:14" x14ac:dyDescent="0.25">
      <c r="A248" s="59">
        <f t="shared" si="26"/>
        <v>0</v>
      </c>
      <c r="G248" s="16"/>
      <c r="H248" s="38">
        <v>243</v>
      </c>
      <c r="I248" s="39" t="str">
        <f t="shared" si="22"/>
        <v/>
      </c>
      <c r="J248" s="38">
        <f t="shared" si="27"/>
        <v>-5</v>
      </c>
      <c r="K248" s="38">
        <f t="shared" si="23"/>
        <v>-50</v>
      </c>
      <c r="L248" s="38"/>
      <c r="M248" s="40">
        <f t="shared" si="24"/>
        <v>0</v>
      </c>
      <c r="N248" s="40">
        <f t="shared" si="25"/>
        <v>0</v>
      </c>
    </row>
    <row r="249" spans="1:14" x14ac:dyDescent="0.25">
      <c r="A249" s="59">
        <f t="shared" si="26"/>
        <v>0</v>
      </c>
      <c r="G249" s="16"/>
      <c r="H249" s="38">
        <v>244</v>
      </c>
      <c r="I249" s="39" t="str">
        <f t="shared" si="22"/>
        <v/>
      </c>
      <c r="J249" s="38">
        <f t="shared" si="27"/>
        <v>-5</v>
      </c>
      <c r="K249" s="38">
        <f t="shared" si="23"/>
        <v>-50</v>
      </c>
      <c r="L249" s="38"/>
      <c r="M249" s="40">
        <f t="shared" si="24"/>
        <v>0</v>
      </c>
      <c r="N249" s="40">
        <f t="shared" si="25"/>
        <v>0</v>
      </c>
    </row>
    <row r="250" spans="1:14" x14ac:dyDescent="0.25">
      <c r="A250" s="59">
        <f t="shared" si="26"/>
        <v>0</v>
      </c>
      <c r="G250" s="16"/>
      <c r="H250" s="38">
        <v>245</v>
      </c>
      <c r="I250" s="39" t="str">
        <f t="shared" si="22"/>
        <v/>
      </c>
      <c r="J250" s="38">
        <f t="shared" si="27"/>
        <v>-5</v>
      </c>
      <c r="K250" s="38">
        <f t="shared" si="23"/>
        <v>-50</v>
      </c>
      <c r="L250" s="38"/>
      <c r="M250" s="40">
        <f t="shared" si="24"/>
        <v>0</v>
      </c>
      <c r="N250" s="40">
        <f t="shared" si="25"/>
        <v>0</v>
      </c>
    </row>
    <row r="251" spans="1:14" x14ac:dyDescent="0.25">
      <c r="A251" s="59">
        <f t="shared" si="26"/>
        <v>0</v>
      </c>
      <c r="G251" s="16"/>
      <c r="H251" s="38">
        <v>246</v>
      </c>
      <c r="I251" s="39" t="str">
        <f t="shared" si="22"/>
        <v/>
      </c>
      <c r="J251" s="38">
        <f t="shared" si="27"/>
        <v>-5</v>
      </c>
      <c r="K251" s="38">
        <f t="shared" si="23"/>
        <v>-50</v>
      </c>
      <c r="L251" s="38"/>
      <c r="M251" s="40">
        <f t="shared" si="24"/>
        <v>0</v>
      </c>
      <c r="N251" s="40">
        <f t="shared" si="25"/>
        <v>0</v>
      </c>
    </row>
    <row r="252" spans="1:14" x14ac:dyDescent="0.25">
      <c r="A252" s="59">
        <f t="shared" si="26"/>
        <v>0</v>
      </c>
      <c r="G252" s="16"/>
      <c r="H252" s="38">
        <v>247</v>
      </c>
      <c r="I252" s="39" t="str">
        <f t="shared" si="22"/>
        <v/>
      </c>
      <c r="J252" s="38">
        <f t="shared" si="27"/>
        <v>-5</v>
      </c>
      <c r="K252" s="38">
        <f t="shared" si="23"/>
        <v>-50</v>
      </c>
      <c r="L252" s="38"/>
      <c r="M252" s="40">
        <f t="shared" si="24"/>
        <v>0</v>
      </c>
      <c r="N252" s="40">
        <f t="shared" si="25"/>
        <v>0</v>
      </c>
    </row>
    <row r="253" spans="1:14" x14ac:dyDescent="0.25">
      <c r="A253" s="59">
        <f t="shared" si="26"/>
        <v>0</v>
      </c>
      <c r="G253" s="16"/>
      <c r="H253" s="38">
        <v>248</v>
      </c>
      <c r="I253" s="39" t="str">
        <f t="shared" si="22"/>
        <v/>
      </c>
      <c r="J253" s="38">
        <f t="shared" si="27"/>
        <v>-5</v>
      </c>
      <c r="K253" s="38">
        <f t="shared" si="23"/>
        <v>-50</v>
      </c>
      <c r="L253" s="38"/>
      <c r="M253" s="40">
        <f t="shared" si="24"/>
        <v>0</v>
      </c>
      <c r="N253" s="40">
        <f t="shared" si="25"/>
        <v>0</v>
      </c>
    </row>
    <row r="254" spans="1:14" x14ac:dyDescent="0.25">
      <c r="A254" s="59">
        <f t="shared" si="26"/>
        <v>0</v>
      </c>
      <c r="G254" s="16"/>
      <c r="H254" s="38">
        <v>249</v>
      </c>
      <c r="I254" s="39" t="str">
        <f t="shared" si="22"/>
        <v/>
      </c>
      <c r="J254" s="38">
        <f t="shared" si="27"/>
        <v>-5</v>
      </c>
      <c r="K254" s="38">
        <f t="shared" si="23"/>
        <v>-50</v>
      </c>
      <c r="L254" s="38"/>
      <c r="M254" s="40">
        <f t="shared" si="24"/>
        <v>0</v>
      </c>
      <c r="N254" s="40">
        <f t="shared" si="25"/>
        <v>0</v>
      </c>
    </row>
    <row r="255" spans="1:14" x14ac:dyDescent="0.25">
      <c r="A255" s="59">
        <f t="shared" si="26"/>
        <v>0</v>
      </c>
      <c r="G255" s="16"/>
      <c r="H255" s="38">
        <v>250</v>
      </c>
      <c r="I255" s="39" t="str">
        <f t="shared" si="22"/>
        <v/>
      </c>
      <c r="J255" s="38">
        <f t="shared" si="27"/>
        <v>-5</v>
      </c>
      <c r="K255" s="38">
        <f t="shared" si="23"/>
        <v>-50</v>
      </c>
      <c r="L255" s="38"/>
      <c r="M255" s="40">
        <f t="shared" si="24"/>
        <v>0</v>
      </c>
      <c r="N255" s="40">
        <f t="shared" si="25"/>
        <v>0</v>
      </c>
    </row>
    <row r="256" spans="1:14" x14ac:dyDescent="0.25">
      <c r="A256" s="59">
        <f t="shared" si="26"/>
        <v>0</v>
      </c>
      <c r="G256" s="16"/>
      <c r="H256" s="38">
        <v>251</v>
      </c>
      <c r="I256" s="39" t="str">
        <f t="shared" si="22"/>
        <v/>
      </c>
      <c r="J256" s="38">
        <f t="shared" si="27"/>
        <v>-5</v>
      </c>
      <c r="K256" s="38">
        <f t="shared" si="23"/>
        <v>-50</v>
      </c>
      <c r="L256" s="38"/>
      <c r="M256" s="40">
        <f t="shared" si="24"/>
        <v>0</v>
      </c>
      <c r="N256" s="40">
        <f t="shared" si="25"/>
        <v>0</v>
      </c>
    </row>
    <row r="257" spans="1:14" x14ac:dyDescent="0.25">
      <c r="A257" s="59">
        <f t="shared" si="26"/>
        <v>0</v>
      </c>
      <c r="G257" s="16"/>
      <c r="H257" s="38">
        <v>252</v>
      </c>
      <c r="I257" s="39" t="str">
        <f t="shared" si="22"/>
        <v/>
      </c>
      <c r="J257" s="38">
        <f t="shared" si="27"/>
        <v>-5</v>
      </c>
      <c r="K257" s="38">
        <f t="shared" si="23"/>
        <v>-50</v>
      </c>
      <c r="L257" s="38"/>
      <c r="M257" s="40">
        <f t="shared" si="24"/>
        <v>0</v>
      </c>
      <c r="N257" s="40">
        <f t="shared" si="25"/>
        <v>0</v>
      </c>
    </row>
    <row r="258" spans="1:14" x14ac:dyDescent="0.25">
      <c r="A258" s="59">
        <f t="shared" si="26"/>
        <v>0</v>
      </c>
      <c r="G258" s="16"/>
      <c r="H258" s="38">
        <v>253</v>
      </c>
      <c r="I258" s="39" t="str">
        <f t="shared" si="22"/>
        <v/>
      </c>
      <c r="J258" s="38">
        <f t="shared" si="27"/>
        <v>-5</v>
      </c>
      <c r="K258" s="38">
        <f t="shared" si="23"/>
        <v>-50</v>
      </c>
      <c r="L258" s="38"/>
      <c r="M258" s="40">
        <f t="shared" si="24"/>
        <v>0</v>
      </c>
      <c r="N258" s="40">
        <f t="shared" si="25"/>
        <v>0</v>
      </c>
    </row>
    <row r="259" spans="1:14" x14ac:dyDescent="0.25">
      <c r="A259" s="59">
        <f t="shared" si="26"/>
        <v>0</v>
      </c>
      <c r="G259" s="16"/>
      <c r="H259" s="38">
        <v>254</v>
      </c>
      <c r="I259" s="39" t="str">
        <f t="shared" si="22"/>
        <v/>
      </c>
      <c r="J259" s="38">
        <f t="shared" si="27"/>
        <v>-5</v>
      </c>
      <c r="K259" s="38">
        <f t="shared" si="23"/>
        <v>-50</v>
      </c>
      <c r="L259" s="38"/>
      <c r="M259" s="40">
        <f t="shared" si="24"/>
        <v>0</v>
      </c>
      <c r="N259" s="40">
        <f t="shared" si="25"/>
        <v>0</v>
      </c>
    </row>
    <row r="260" spans="1:14" x14ac:dyDescent="0.25">
      <c r="A260" s="59">
        <f t="shared" si="26"/>
        <v>0</v>
      </c>
      <c r="G260" s="16"/>
      <c r="H260" s="38">
        <v>255</v>
      </c>
      <c r="I260" s="39" t="str">
        <f t="shared" si="22"/>
        <v/>
      </c>
      <c r="J260" s="38">
        <f t="shared" si="27"/>
        <v>-5</v>
      </c>
      <c r="K260" s="38">
        <f t="shared" si="23"/>
        <v>-50</v>
      </c>
      <c r="L260" s="38"/>
      <c r="M260" s="40">
        <f t="shared" si="24"/>
        <v>0</v>
      </c>
      <c r="N260" s="40">
        <f t="shared" si="25"/>
        <v>0</v>
      </c>
    </row>
    <row r="261" spans="1:14" x14ac:dyDescent="0.25">
      <c r="A261" s="59">
        <f t="shared" si="26"/>
        <v>0</v>
      </c>
      <c r="G261" s="16"/>
      <c r="H261" s="38">
        <v>256</v>
      </c>
      <c r="I261" s="39" t="str">
        <f t="shared" si="22"/>
        <v/>
      </c>
      <c r="J261" s="38">
        <f t="shared" si="27"/>
        <v>-5</v>
      </c>
      <c r="K261" s="38">
        <f t="shared" si="23"/>
        <v>-50</v>
      </c>
      <c r="L261" s="38"/>
      <c r="M261" s="40">
        <f t="shared" si="24"/>
        <v>0</v>
      </c>
      <c r="N261" s="40">
        <f t="shared" si="25"/>
        <v>0</v>
      </c>
    </row>
    <row r="262" spans="1:14" x14ac:dyDescent="0.25">
      <c r="A262" s="59">
        <f t="shared" si="26"/>
        <v>0</v>
      </c>
      <c r="G262" s="16"/>
      <c r="H262" s="38">
        <v>257</v>
      </c>
      <c r="I262" s="39" t="str">
        <f t="shared" ref="I262:I305" si="28">IF(H262&lt;$H$2+1,($I$2-($I$2-1)*(LOG(H262)/LOG($H$2))),"")</f>
        <v/>
      </c>
      <c r="J262" s="38">
        <f t="shared" si="27"/>
        <v>-6</v>
      </c>
      <c r="K262" s="38">
        <f t="shared" ref="K262:K305" si="29">J262*$J$2</f>
        <v>-60</v>
      </c>
      <c r="L262" s="38"/>
      <c r="M262" s="40">
        <f t="shared" ref="M262:M305" si="30">IF(I262&lt;&gt;"",K262+I262+L262,0)</f>
        <v>0</v>
      </c>
      <c r="N262" s="40">
        <f t="shared" ref="N262:N305" si="31">IF(I262&lt;&gt;"",M262*L$2,0)</f>
        <v>0</v>
      </c>
    </row>
    <row r="263" spans="1:14" x14ac:dyDescent="0.25">
      <c r="A263" s="59">
        <f t="shared" ref="A263:A305" si="32">N263</f>
        <v>0</v>
      </c>
      <c r="G263" s="16"/>
      <c r="H263" s="38">
        <v>258</v>
      </c>
      <c r="I263" s="39" t="str">
        <f t="shared" si="28"/>
        <v/>
      </c>
      <c r="J263" s="38">
        <f t="shared" ref="J263:J305" si="33">INT(LOG($H$2,2))-ROUNDUP(LOG(H263,2),0)+IF(OR($H$2=1,$H$2=2,$H$2=4,$H$2=8,$H$2=16,$H$2=32,$H$2=64,$H$2=128,$H$2=256),1,0)</f>
        <v>-6</v>
      </c>
      <c r="K263" s="38">
        <f t="shared" si="29"/>
        <v>-60</v>
      </c>
      <c r="L263" s="38"/>
      <c r="M263" s="40">
        <f t="shared" si="30"/>
        <v>0</v>
      </c>
      <c r="N263" s="40">
        <f t="shared" si="31"/>
        <v>0</v>
      </c>
    </row>
    <row r="264" spans="1:14" x14ac:dyDescent="0.25">
      <c r="A264" s="59">
        <f t="shared" si="32"/>
        <v>0</v>
      </c>
      <c r="G264" s="16"/>
      <c r="H264" s="38">
        <v>259</v>
      </c>
      <c r="I264" s="39" t="str">
        <f t="shared" si="28"/>
        <v/>
      </c>
      <c r="J264" s="38">
        <f t="shared" si="33"/>
        <v>-6</v>
      </c>
      <c r="K264" s="38">
        <f t="shared" si="29"/>
        <v>-60</v>
      </c>
      <c r="L264" s="38"/>
      <c r="M264" s="40">
        <f t="shared" si="30"/>
        <v>0</v>
      </c>
      <c r="N264" s="40">
        <f t="shared" si="31"/>
        <v>0</v>
      </c>
    </row>
    <row r="265" spans="1:14" x14ac:dyDescent="0.25">
      <c r="A265" s="59">
        <f t="shared" si="32"/>
        <v>0</v>
      </c>
      <c r="G265" s="16"/>
      <c r="H265" s="38">
        <v>260</v>
      </c>
      <c r="I265" s="39" t="str">
        <f t="shared" si="28"/>
        <v/>
      </c>
      <c r="J265" s="38">
        <f t="shared" si="33"/>
        <v>-6</v>
      </c>
      <c r="K265" s="38">
        <f t="shared" si="29"/>
        <v>-60</v>
      </c>
      <c r="L265" s="38"/>
      <c r="M265" s="40">
        <f t="shared" si="30"/>
        <v>0</v>
      </c>
      <c r="N265" s="40">
        <f t="shared" si="31"/>
        <v>0</v>
      </c>
    </row>
    <row r="266" spans="1:14" x14ac:dyDescent="0.25">
      <c r="A266" s="59">
        <f t="shared" si="32"/>
        <v>0</v>
      </c>
      <c r="G266" s="16"/>
      <c r="H266" s="38">
        <v>261</v>
      </c>
      <c r="I266" s="39" t="str">
        <f t="shared" si="28"/>
        <v/>
      </c>
      <c r="J266" s="38">
        <f t="shared" si="33"/>
        <v>-6</v>
      </c>
      <c r="K266" s="38">
        <f t="shared" si="29"/>
        <v>-60</v>
      </c>
      <c r="L266" s="38"/>
      <c r="M266" s="40">
        <f t="shared" si="30"/>
        <v>0</v>
      </c>
      <c r="N266" s="40">
        <f t="shared" si="31"/>
        <v>0</v>
      </c>
    </row>
    <row r="267" spans="1:14" x14ac:dyDescent="0.25">
      <c r="A267" s="59">
        <f t="shared" si="32"/>
        <v>0</v>
      </c>
      <c r="G267" s="16"/>
      <c r="H267" s="38">
        <v>262</v>
      </c>
      <c r="I267" s="39" t="str">
        <f t="shared" si="28"/>
        <v/>
      </c>
      <c r="J267" s="38">
        <f t="shared" si="33"/>
        <v>-6</v>
      </c>
      <c r="K267" s="38">
        <f t="shared" si="29"/>
        <v>-60</v>
      </c>
      <c r="L267" s="38"/>
      <c r="M267" s="40">
        <f t="shared" si="30"/>
        <v>0</v>
      </c>
      <c r="N267" s="40">
        <f t="shared" si="31"/>
        <v>0</v>
      </c>
    </row>
    <row r="268" spans="1:14" x14ac:dyDescent="0.25">
      <c r="A268" s="59">
        <f t="shared" si="32"/>
        <v>0</v>
      </c>
      <c r="G268" s="16"/>
      <c r="H268" s="38">
        <v>263</v>
      </c>
      <c r="I268" s="39" t="str">
        <f t="shared" si="28"/>
        <v/>
      </c>
      <c r="J268" s="38">
        <f t="shared" si="33"/>
        <v>-6</v>
      </c>
      <c r="K268" s="38">
        <f t="shared" si="29"/>
        <v>-60</v>
      </c>
      <c r="L268" s="38"/>
      <c r="M268" s="40">
        <f t="shared" si="30"/>
        <v>0</v>
      </c>
      <c r="N268" s="40">
        <f t="shared" si="31"/>
        <v>0</v>
      </c>
    </row>
    <row r="269" spans="1:14" x14ac:dyDescent="0.25">
      <c r="A269" s="59">
        <f t="shared" si="32"/>
        <v>0</v>
      </c>
      <c r="G269" s="16"/>
      <c r="H269" s="38">
        <v>264</v>
      </c>
      <c r="I269" s="39" t="str">
        <f t="shared" si="28"/>
        <v/>
      </c>
      <c r="J269" s="38">
        <f t="shared" si="33"/>
        <v>-6</v>
      </c>
      <c r="K269" s="38">
        <f t="shared" si="29"/>
        <v>-60</v>
      </c>
      <c r="L269" s="38"/>
      <c r="M269" s="40">
        <f t="shared" si="30"/>
        <v>0</v>
      </c>
      <c r="N269" s="40">
        <f t="shared" si="31"/>
        <v>0</v>
      </c>
    </row>
    <row r="270" spans="1:14" x14ac:dyDescent="0.25">
      <c r="A270" s="59">
        <f t="shared" si="32"/>
        <v>0</v>
      </c>
      <c r="G270" s="16"/>
      <c r="H270" s="38">
        <v>265</v>
      </c>
      <c r="I270" s="39" t="str">
        <f t="shared" si="28"/>
        <v/>
      </c>
      <c r="J270" s="38">
        <f t="shared" si="33"/>
        <v>-6</v>
      </c>
      <c r="K270" s="38">
        <f t="shared" si="29"/>
        <v>-60</v>
      </c>
      <c r="L270" s="38"/>
      <c r="M270" s="40">
        <f t="shared" si="30"/>
        <v>0</v>
      </c>
      <c r="N270" s="40">
        <f t="shared" si="31"/>
        <v>0</v>
      </c>
    </row>
    <row r="271" spans="1:14" x14ac:dyDescent="0.25">
      <c r="A271" s="59">
        <f t="shared" si="32"/>
        <v>0</v>
      </c>
      <c r="G271" s="16"/>
      <c r="H271" s="38">
        <v>266</v>
      </c>
      <c r="I271" s="39" t="str">
        <f t="shared" si="28"/>
        <v/>
      </c>
      <c r="J271" s="38">
        <f t="shared" si="33"/>
        <v>-6</v>
      </c>
      <c r="K271" s="38">
        <f t="shared" si="29"/>
        <v>-60</v>
      </c>
      <c r="L271" s="38"/>
      <c r="M271" s="40">
        <f t="shared" si="30"/>
        <v>0</v>
      </c>
      <c r="N271" s="40">
        <f t="shared" si="31"/>
        <v>0</v>
      </c>
    </row>
    <row r="272" spans="1:14" x14ac:dyDescent="0.25">
      <c r="A272" s="59">
        <f t="shared" si="32"/>
        <v>0</v>
      </c>
      <c r="G272" s="16"/>
      <c r="H272" s="38">
        <v>267</v>
      </c>
      <c r="I272" s="39" t="str">
        <f t="shared" si="28"/>
        <v/>
      </c>
      <c r="J272" s="38">
        <f t="shared" si="33"/>
        <v>-6</v>
      </c>
      <c r="K272" s="38">
        <f t="shared" si="29"/>
        <v>-60</v>
      </c>
      <c r="L272" s="38"/>
      <c r="M272" s="40">
        <f t="shared" si="30"/>
        <v>0</v>
      </c>
      <c r="N272" s="40">
        <f t="shared" si="31"/>
        <v>0</v>
      </c>
    </row>
    <row r="273" spans="1:14" x14ac:dyDescent="0.25">
      <c r="A273" s="59">
        <f t="shared" si="32"/>
        <v>0</v>
      </c>
      <c r="G273" s="16"/>
      <c r="H273" s="38">
        <v>268</v>
      </c>
      <c r="I273" s="39" t="str">
        <f t="shared" si="28"/>
        <v/>
      </c>
      <c r="J273" s="38">
        <f t="shared" si="33"/>
        <v>-6</v>
      </c>
      <c r="K273" s="38">
        <f t="shared" si="29"/>
        <v>-60</v>
      </c>
      <c r="L273" s="38"/>
      <c r="M273" s="40">
        <f t="shared" si="30"/>
        <v>0</v>
      </c>
      <c r="N273" s="40">
        <f t="shared" si="31"/>
        <v>0</v>
      </c>
    </row>
    <row r="274" spans="1:14" x14ac:dyDescent="0.25">
      <c r="A274" s="59">
        <f t="shared" si="32"/>
        <v>0</v>
      </c>
      <c r="G274" s="16"/>
      <c r="H274" s="38">
        <v>269</v>
      </c>
      <c r="I274" s="39" t="str">
        <f t="shared" si="28"/>
        <v/>
      </c>
      <c r="J274" s="38">
        <f t="shared" si="33"/>
        <v>-6</v>
      </c>
      <c r="K274" s="38">
        <f t="shared" si="29"/>
        <v>-60</v>
      </c>
      <c r="L274" s="38"/>
      <c r="M274" s="40">
        <f t="shared" si="30"/>
        <v>0</v>
      </c>
      <c r="N274" s="40">
        <f t="shared" si="31"/>
        <v>0</v>
      </c>
    </row>
    <row r="275" spans="1:14" x14ac:dyDescent="0.25">
      <c r="A275" s="59">
        <f t="shared" si="32"/>
        <v>0</v>
      </c>
      <c r="G275" s="16"/>
      <c r="H275" s="38">
        <v>270</v>
      </c>
      <c r="I275" s="39" t="str">
        <f t="shared" si="28"/>
        <v/>
      </c>
      <c r="J275" s="38">
        <f t="shared" si="33"/>
        <v>-6</v>
      </c>
      <c r="K275" s="38">
        <f t="shared" si="29"/>
        <v>-60</v>
      </c>
      <c r="L275" s="38"/>
      <c r="M275" s="40">
        <f t="shared" si="30"/>
        <v>0</v>
      </c>
      <c r="N275" s="40">
        <f t="shared" si="31"/>
        <v>0</v>
      </c>
    </row>
    <row r="276" spans="1:14" x14ac:dyDescent="0.25">
      <c r="A276" s="59">
        <f t="shared" si="32"/>
        <v>0</v>
      </c>
      <c r="G276" s="16"/>
      <c r="H276" s="38">
        <v>271</v>
      </c>
      <c r="I276" s="39" t="str">
        <f t="shared" si="28"/>
        <v/>
      </c>
      <c r="J276" s="38">
        <f t="shared" si="33"/>
        <v>-6</v>
      </c>
      <c r="K276" s="38">
        <f t="shared" si="29"/>
        <v>-60</v>
      </c>
      <c r="L276" s="38"/>
      <c r="M276" s="40">
        <f t="shared" si="30"/>
        <v>0</v>
      </c>
      <c r="N276" s="40">
        <f t="shared" si="31"/>
        <v>0</v>
      </c>
    </row>
    <row r="277" spans="1:14" x14ac:dyDescent="0.25">
      <c r="A277" s="59">
        <f t="shared" si="32"/>
        <v>0</v>
      </c>
      <c r="G277" s="16"/>
      <c r="H277" s="38">
        <v>272</v>
      </c>
      <c r="I277" s="39" t="str">
        <f t="shared" si="28"/>
        <v/>
      </c>
      <c r="J277" s="38">
        <f t="shared" si="33"/>
        <v>-6</v>
      </c>
      <c r="K277" s="38">
        <f t="shared" si="29"/>
        <v>-60</v>
      </c>
      <c r="L277" s="38"/>
      <c r="M277" s="40">
        <f t="shared" si="30"/>
        <v>0</v>
      </c>
      <c r="N277" s="40">
        <f t="shared" si="31"/>
        <v>0</v>
      </c>
    </row>
    <row r="278" spans="1:14" x14ac:dyDescent="0.25">
      <c r="A278" s="59">
        <f t="shared" si="32"/>
        <v>0</v>
      </c>
      <c r="G278" s="16"/>
      <c r="H278" s="38">
        <v>273</v>
      </c>
      <c r="I278" s="39" t="str">
        <f t="shared" si="28"/>
        <v/>
      </c>
      <c r="J278" s="38">
        <f t="shared" si="33"/>
        <v>-6</v>
      </c>
      <c r="K278" s="38">
        <f t="shared" si="29"/>
        <v>-60</v>
      </c>
      <c r="L278" s="38"/>
      <c r="M278" s="40">
        <f t="shared" si="30"/>
        <v>0</v>
      </c>
      <c r="N278" s="40">
        <f t="shared" si="31"/>
        <v>0</v>
      </c>
    </row>
    <row r="279" spans="1:14" x14ac:dyDescent="0.25">
      <c r="A279" s="59">
        <f t="shared" si="32"/>
        <v>0</v>
      </c>
      <c r="G279" s="16"/>
      <c r="H279" s="38">
        <v>274</v>
      </c>
      <c r="I279" s="39" t="str">
        <f t="shared" si="28"/>
        <v/>
      </c>
      <c r="J279" s="38">
        <f t="shared" si="33"/>
        <v>-6</v>
      </c>
      <c r="K279" s="38">
        <f t="shared" si="29"/>
        <v>-60</v>
      </c>
      <c r="L279" s="38"/>
      <c r="M279" s="40">
        <f t="shared" si="30"/>
        <v>0</v>
      </c>
      <c r="N279" s="40">
        <f t="shared" si="31"/>
        <v>0</v>
      </c>
    </row>
    <row r="280" spans="1:14" x14ac:dyDescent="0.25">
      <c r="A280" s="59">
        <f t="shared" si="32"/>
        <v>0</v>
      </c>
      <c r="G280" s="16"/>
      <c r="H280" s="38">
        <v>275</v>
      </c>
      <c r="I280" s="39" t="str">
        <f t="shared" si="28"/>
        <v/>
      </c>
      <c r="J280" s="38">
        <f t="shared" si="33"/>
        <v>-6</v>
      </c>
      <c r="K280" s="38">
        <f t="shared" si="29"/>
        <v>-60</v>
      </c>
      <c r="L280" s="38"/>
      <c r="M280" s="40">
        <f t="shared" si="30"/>
        <v>0</v>
      </c>
      <c r="N280" s="40">
        <f t="shared" si="31"/>
        <v>0</v>
      </c>
    </row>
    <row r="281" spans="1:14" x14ac:dyDescent="0.25">
      <c r="A281" s="59">
        <f t="shared" si="32"/>
        <v>0</v>
      </c>
      <c r="G281" s="16"/>
      <c r="H281" s="38">
        <v>276</v>
      </c>
      <c r="I281" s="39" t="str">
        <f t="shared" si="28"/>
        <v/>
      </c>
      <c r="J281" s="38">
        <f t="shared" si="33"/>
        <v>-6</v>
      </c>
      <c r="K281" s="38">
        <f t="shared" si="29"/>
        <v>-60</v>
      </c>
      <c r="L281" s="38"/>
      <c r="M281" s="40">
        <f t="shared" si="30"/>
        <v>0</v>
      </c>
      <c r="N281" s="40">
        <f t="shared" si="31"/>
        <v>0</v>
      </c>
    </row>
    <row r="282" spans="1:14" x14ac:dyDescent="0.25">
      <c r="A282" s="59">
        <f t="shared" si="32"/>
        <v>0</v>
      </c>
      <c r="G282" s="16"/>
      <c r="H282" s="38">
        <v>277</v>
      </c>
      <c r="I282" s="39" t="str">
        <f t="shared" si="28"/>
        <v/>
      </c>
      <c r="J282" s="38">
        <f t="shared" si="33"/>
        <v>-6</v>
      </c>
      <c r="K282" s="38">
        <f t="shared" si="29"/>
        <v>-60</v>
      </c>
      <c r="L282" s="38"/>
      <c r="M282" s="40">
        <f t="shared" si="30"/>
        <v>0</v>
      </c>
      <c r="N282" s="40">
        <f t="shared" si="31"/>
        <v>0</v>
      </c>
    </row>
    <row r="283" spans="1:14" x14ac:dyDescent="0.25">
      <c r="A283" s="59">
        <f t="shared" si="32"/>
        <v>0</v>
      </c>
      <c r="G283" s="16"/>
      <c r="H283" s="38">
        <v>278</v>
      </c>
      <c r="I283" s="39" t="str">
        <f t="shared" si="28"/>
        <v/>
      </c>
      <c r="J283" s="38">
        <f t="shared" si="33"/>
        <v>-6</v>
      </c>
      <c r="K283" s="38">
        <f t="shared" si="29"/>
        <v>-60</v>
      </c>
      <c r="L283" s="38"/>
      <c r="M283" s="40">
        <f t="shared" si="30"/>
        <v>0</v>
      </c>
      <c r="N283" s="40">
        <f t="shared" si="31"/>
        <v>0</v>
      </c>
    </row>
    <row r="284" spans="1:14" x14ac:dyDescent="0.25">
      <c r="A284" s="59">
        <f t="shared" si="32"/>
        <v>0</v>
      </c>
      <c r="G284" s="16"/>
      <c r="H284" s="38">
        <v>279</v>
      </c>
      <c r="I284" s="39" t="str">
        <f t="shared" si="28"/>
        <v/>
      </c>
      <c r="J284" s="38">
        <f t="shared" si="33"/>
        <v>-6</v>
      </c>
      <c r="K284" s="38">
        <f t="shared" si="29"/>
        <v>-60</v>
      </c>
      <c r="L284" s="38"/>
      <c r="M284" s="40">
        <f t="shared" si="30"/>
        <v>0</v>
      </c>
      <c r="N284" s="40">
        <f t="shared" si="31"/>
        <v>0</v>
      </c>
    </row>
    <row r="285" spans="1:14" x14ac:dyDescent="0.25">
      <c r="A285" s="59">
        <f t="shared" si="32"/>
        <v>0</v>
      </c>
      <c r="G285" s="16"/>
      <c r="H285" s="38">
        <v>280</v>
      </c>
      <c r="I285" s="39" t="str">
        <f t="shared" si="28"/>
        <v/>
      </c>
      <c r="J285" s="38">
        <f t="shared" si="33"/>
        <v>-6</v>
      </c>
      <c r="K285" s="38">
        <f t="shared" si="29"/>
        <v>-60</v>
      </c>
      <c r="L285" s="38"/>
      <c r="M285" s="40">
        <f t="shared" si="30"/>
        <v>0</v>
      </c>
      <c r="N285" s="40">
        <f t="shared" si="31"/>
        <v>0</v>
      </c>
    </row>
    <row r="286" spans="1:14" x14ac:dyDescent="0.25">
      <c r="A286" s="59">
        <f t="shared" si="32"/>
        <v>0</v>
      </c>
      <c r="G286" s="16"/>
      <c r="H286" s="38">
        <v>281</v>
      </c>
      <c r="I286" s="39" t="str">
        <f t="shared" si="28"/>
        <v/>
      </c>
      <c r="J286" s="38">
        <f t="shared" si="33"/>
        <v>-6</v>
      </c>
      <c r="K286" s="38">
        <f t="shared" si="29"/>
        <v>-60</v>
      </c>
      <c r="L286" s="38"/>
      <c r="M286" s="40">
        <f t="shared" si="30"/>
        <v>0</v>
      </c>
      <c r="N286" s="40">
        <f t="shared" si="31"/>
        <v>0</v>
      </c>
    </row>
    <row r="287" spans="1:14" x14ac:dyDescent="0.25">
      <c r="A287" s="59">
        <f t="shared" si="32"/>
        <v>0</v>
      </c>
      <c r="G287" s="16"/>
      <c r="H287" s="38">
        <v>282</v>
      </c>
      <c r="I287" s="39" t="str">
        <f t="shared" si="28"/>
        <v/>
      </c>
      <c r="J287" s="38">
        <f t="shared" si="33"/>
        <v>-6</v>
      </c>
      <c r="K287" s="38">
        <f t="shared" si="29"/>
        <v>-60</v>
      </c>
      <c r="L287" s="38"/>
      <c r="M287" s="40">
        <f t="shared" si="30"/>
        <v>0</v>
      </c>
      <c r="N287" s="40">
        <f t="shared" si="31"/>
        <v>0</v>
      </c>
    </row>
    <row r="288" spans="1:14" x14ac:dyDescent="0.25">
      <c r="A288" s="59">
        <f t="shared" si="32"/>
        <v>0</v>
      </c>
      <c r="G288" s="16"/>
      <c r="H288" s="38">
        <v>283</v>
      </c>
      <c r="I288" s="39" t="str">
        <f t="shared" si="28"/>
        <v/>
      </c>
      <c r="J288" s="38">
        <f t="shared" si="33"/>
        <v>-6</v>
      </c>
      <c r="K288" s="38">
        <f t="shared" si="29"/>
        <v>-60</v>
      </c>
      <c r="L288" s="38"/>
      <c r="M288" s="40">
        <f t="shared" si="30"/>
        <v>0</v>
      </c>
      <c r="N288" s="40">
        <f t="shared" si="31"/>
        <v>0</v>
      </c>
    </row>
    <row r="289" spans="1:14" x14ac:dyDescent="0.25">
      <c r="A289" s="59">
        <f t="shared" si="32"/>
        <v>0</v>
      </c>
      <c r="G289" s="16"/>
      <c r="H289" s="38">
        <v>284</v>
      </c>
      <c r="I289" s="39" t="str">
        <f t="shared" si="28"/>
        <v/>
      </c>
      <c r="J289" s="38">
        <f t="shared" si="33"/>
        <v>-6</v>
      </c>
      <c r="K289" s="38">
        <f t="shared" si="29"/>
        <v>-60</v>
      </c>
      <c r="L289" s="38"/>
      <c r="M289" s="40">
        <f t="shared" si="30"/>
        <v>0</v>
      </c>
      <c r="N289" s="40">
        <f t="shared" si="31"/>
        <v>0</v>
      </c>
    </row>
    <row r="290" spans="1:14" x14ac:dyDescent="0.25">
      <c r="A290" s="59">
        <f t="shared" si="32"/>
        <v>0</v>
      </c>
      <c r="G290" s="16"/>
      <c r="H290" s="38">
        <v>285</v>
      </c>
      <c r="I290" s="39" t="str">
        <f t="shared" si="28"/>
        <v/>
      </c>
      <c r="J290" s="38">
        <f t="shared" si="33"/>
        <v>-6</v>
      </c>
      <c r="K290" s="38">
        <f t="shared" si="29"/>
        <v>-60</v>
      </c>
      <c r="L290" s="38"/>
      <c r="M290" s="40">
        <f t="shared" si="30"/>
        <v>0</v>
      </c>
      <c r="N290" s="40">
        <f t="shared" si="31"/>
        <v>0</v>
      </c>
    </row>
    <row r="291" spans="1:14" x14ac:dyDescent="0.25">
      <c r="A291" s="59">
        <f t="shared" si="32"/>
        <v>0</v>
      </c>
      <c r="G291" s="16"/>
      <c r="H291" s="38">
        <v>286</v>
      </c>
      <c r="I291" s="39" t="str">
        <f t="shared" si="28"/>
        <v/>
      </c>
      <c r="J291" s="38">
        <f t="shared" si="33"/>
        <v>-6</v>
      </c>
      <c r="K291" s="38">
        <f t="shared" si="29"/>
        <v>-60</v>
      </c>
      <c r="L291" s="38"/>
      <c r="M291" s="40">
        <f t="shared" si="30"/>
        <v>0</v>
      </c>
      <c r="N291" s="40">
        <f t="shared" si="31"/>
        <v>0</v>
      </c>
    </row>
    <row r="292" spans="1:14" x14ac:dyDescent="0.25">
      <c r="A292" s="59">
        <f t="shared" si="32"/>
        <v>0</v>
      </c>
      <c r="G292" s="16"/>
      <c r="H292" s="38">
        <v>287</v>
      </c>
      <c r="I292" s="39" t="str">
        <f t="shared" si="28"/>
        <v/>
      </c>
      <c r="J292" s="38">
        <f t="shared" si="33"/>
        <v>-6</v>
      </c>
      <c r="K292" s="38">
        <f t="shared" si="29"/>
        <v>-60</v>
      </c>
      <c r="L292" s="38"/>
      <c r="M292" s="40">
        <f t="shared" si="30"/>
        <v>0</v>
      </c>
      <c r="N292" s="40">
        <f t="shared" si="31"/>
        <v>0</v>
      </c>
    </row>
    <row r="293" spans="1:14" x14ac:dyDescent="0.25">
      <c r="A293" s="59">
        <f t="shared" si="32"/>
        <v>0</v>
      </c>
      <c r="G293" s="16"/>
      <c r="H293" s="38">
        <v>288</v>
      </c>
      <c r="I293" s="39" t="str">
        <f t="shared" si="28"/>
        <v/>
      </c>
      <c r="J293" s="38">
        <f t="shared" si="33"/>
        <v>-6</v>
      </c>
      <c r="K293" s="38">
        <f t="shared" si="29"/>
        <v>-60</v>
      </c>
      <c r="L293" s="38"/>
      <c r="M293" s="40">
        <f t="shared" si="30"/>
        <v>0</v>
      </c>
      <c r="N293" s="40">
        <f t="shared" si="31"/>
        <v>0</v>
      </c>
    </row>
    <row r="294" spans="1:14" x14ac:dyDescent="0.25">
      <c r="A294" s="59">
        <f t="shared" si="32"/>
        <v>0</v>
      </c>
      <c r="G294" s="16"/>
      <c r="H294" s="38">
        <v>289</v>
      </c>
      <c r="I294" s="39" t="str">
        <f t="shared" si="28"/>
        <v/>
      </c>
      <c r="J294" s="38">
        <f t="shared" si="33"/>
        <v>-6</v>
      </c>
      <c r="K294" s="38">
        <f t="shared" si="29"/>
        <v>-60</v>
      </c>
      <c r="L294" s="38"/>
      <c r="M294" s="40">
        <f t="shared" si="30"/>
        <v>0</v>
      </c>
      <c r="N294" s="40">
        <f t="shared" si="31"/>
        <v>0</v>
      </c>
    </row>
    <row r="295" spans="1:14" x14ac:dyDescent="0.25">
      <c r="A295" s="59">
        <f t="shared" si="32"/>
        <v>0</v>
      </c>
      <c r="G295" s="16"/>
      <c r="H295" s="38">
        <v>290</v>
      </c>
      <c r="I295" s="39" t="str">
        <f t="shared" si="28"/>
        <v/>
      </c>
      <c r="J295" s="38">
        <f t="shared" si="33"/>
        <v>-6</v>
      </c>
      <c r="K295" s="38">
        <f t="shared" si="29"/>
        <v>-60</v>
      </c>
      <c r="L295" s="38"/>
      <c r="M295" s="40">
        <f t="shared" si="30"/>
        <v>0</v>
      </c>
      <c r="N295" s="40">
        <f t="shared" si="31"/>
        <v>0</v>
      </c>
    </row>
    <row r="296" spans="1:14" x14ac:dyDescent="0.25">
      <c r="A296" s="59">
        <f t="shared" si="32"/>
        <v>0</v>
      </c>
      <c r="G296" s="16"/>
      <c r="H296" s="38">
        <v>291</v>
      </c>
      <c r="I296" s="39" t="str">
        <f t="shared" si="28"/>
        <v/>
      </c>
      <c r="J296" s="38">
        <f t="shared" si="33"/>
        <v>-6</v>
      </c>
      <c r="K296" s="38">
        <f t="shared" si="29"/>
        <v>-60</v>
      </c>
      <c r="L296" s="38"/>
      <c r="M296" s="40">
        <f t="shared" si="30"/>
        <v>0</v>
      </c>
      <c r="N296" s="40">
        <f t="shared" si="31"/>
        <v>0</v>
      </c>
    </row>
    <row r="297" spans="1:14" x14ac:dyDescent="0.25">
      <c r="A297" s="59">
        <f t="shared" si="32"/>
        <v>0</v>
      </c>
      <c r="G297" s="16"/>
      <c r="H297" s="38">
        <v>292</v>
      </c>
      <c r="I297" s="39" t="str">
        <f t="shared" si="28"/>
        <v/>
      </c>
      <c r="J297" s="38">
        <f t="shared" si="33"/>
        <v>-6</v>
      </c>
      <c r="K297" s="38">
        <f t="shared" si="29"/>
        <v>-60</v>
      </c>
      <c r="L297" s="38"/>
      <c r="M297" s="40">
        <f t="shared" si="30"/>
        <v>0</v>
      </c>
      <c r="N297" s="40">
        <f t="shared" si="31"/>
        <v>0</v>
      </c>
    </row>
    <row r="298" spans="1:14" x14ac:dyDescent="0.25">
      <c r="A298" s="59">
        <f t="shared" si="32"/>
        <v>0</v>
      </c>
      <c r="G298" s="16"/>
      <c r="H298" s="38">
        <v>293</v>
      </c>
      <c r="I298" s="39" t="str">
        <f t="shared" si="28"/>
        <v/>
      </c>
      <c r="J298" s="38">
        <f t="shared" si="33"/>
        <v>-6</v>
      </c>
      <c r="K298" s="38">
        <f t="shared" si="29"/>
        <v>-60</v>
      </c>
      <c r="L298" s="38"/>
      <c r="M298" s="40">
        <f t="shared" si="30"/>
        <v>0</v>
      </c>
      <c r="N298" s="40">
        <f t="shared" si="31"/>
        <v>0</v>
      </c>
    </row>
    <row r="299" spans="1:14" x14ac:dyDescent="0.25">
      <c r="A299" s="59">
        <f t="shared" si="32"/>
        <v>0</v>
      </c>
      <c r="G299" s="16"/>
      <c r="H299" s="38">
        <v>294</v>
      </c>
      <c r="I299" s="39" t="str">
        <f t="shared" si="28"/>
        <v/>
      </c>
      <c r="J299" s="38">
        <f t="shared" si="33"/>
        <v>-6</v>
      </c>
      <c r="K299" s="38">
        <f t="shared" si="29"/>
        <v>-60</v>
      </c>
      <c r="L299" s="38"/>
      <c r="M299" s="40">
        <f t="shared" si="30"/>
        <v>0</v>
      </c>
      <c r="N299" s="40">
        <f t="shared" si="31"/>
        <v>0</v>
      </c>
    </row>
    <row r="300" spans="1:14" x14ac:dyDescent="0.25">
      <c r="A300" s="59">
        <f t="shared" si="32"/>
        <v>0</v>
      </c>
      <c r="G300" s="16"/>
      <c r="H300" s="38">
        <v>295</v>
      </c>
      <c r="I300" s="39" t="str">
        <f t="shared" si="28"/>
        <v/>
      </c>
      <c r="J300" s="38">
        <f t="shared" si="33"/>
        <v>-6</v>
      </c>
      <c r="K300" s="38">
        <f t="shared" si="29"/>
        <v>-60</v>
      </c>
      <c r="L300" s="38"/>
      <c r="M300" s="40">
        <f t="shared" si="30"/>
        <v>0</v>
      </c>
      <c r="N300" s="40">
        <f t="shared" si="31"/>
        <v>0</v>
      </c>
    </row>
    <row r="301" spans="1:14" x14ac:dyDescent="0.25">
      <c r="A301" s="59">
        <f t="shared" si="32"/>
        <v>0</v>
      </c>
      <c r="G301" s="16"/>
      <c r="H301" s="38">
        <v>296</v>
      </c>
      <c r="I301" s="39" t="str">
        <f t="shared" si="28"/>
        <v/>
      </c>
      <c r="J301" s="38">
        <f t="shared" si="33"/>
        <v>-6</v>
      </c>
      <c r="K301" s="38">
        <f t="shared" si="29"/>
        <v>-60</v>
      </c>
      <c r="L301" s="38"/>
      <c r="M301" s="40">
        <f t="shared" si="30"/>
        <v>0</v>
      </c>
      <c r="N301" s="40">
        <f t="shared" si="31"/>
        <v>0</v>
      </c>
    </row>
    <row r="302" spans="1:14" x14ac:dyDescent="0.25">
      <c r="A302" s="59">
        <f t="shared" si="32"/>
        <v>0</v>
      </c>
      <c r="G302" s="16"/>
      <c r="H302" s="38">
        <v>297</v>
      </c>
      <c r="I302" s="39" t="str">
        <f t="shared" si="28"/>
        <v/>
      </c>
      <c r="J302" s="38">
        <f t="shared" si="33"/>
        <v>-6</v>
      </c>
      <c r="K302" s="38">
        <f t="shared" si="29"/>
        <v>-60</v>
      </c>
      <c r="L302" s="38"/>
      <c r="M302" s="40">
        <f t="shared" si="30"/>
        <v>0</v>
      </c>
      <c r="N302" s="40">
        <f t="shared" si="31"/>
        <v>0</v>
      </c>
    </row>
    <row r="303" spans="1:14" x14ac:dyDescent="0.25">
      <c r="A303" s="59">
        <f t="shared" si="32"/>
        <v>0</v>
      </c>
      <c r="G303" s="16"/>
      <c r="H303" s="38">
        <v>298</v>
      </c>
      <c r="I303" s="39" t="str">
        <f t="shared" si="28"/>
        <v/>
      </c>
      <c r="J303" s="38">
        <f t="shared" si="33"/>
        <v>-6</v>
      </c>
      <c r="K303" s="38">
        <f t="shared" si="29"/>
        <v>-60</v>
      </c>
      <c r="L303" s="38"/>
      <c r="M303" s="40">
        <f t="shared" si="30"/>
        <v>0</v>
      </c>
      <c r="N303" s="40">
        <f t="shared" si="31"/>
        <v>0</v>
      </c>
    </row>
    <row r="304" spans="1:14" x14ac:dyDescent="0.25">
      <c r="A304" s="59">
        <f t="shared" si="32"/>
        <v>0</v>
      </c>
      <c r="G304" s="16"/>
      <c r="H304" s="38">
        <v>299</v>
      </c>
      <c r="I304" s="39" t="str">
        <f t="shared" si="28"/>
        <v/>
      </c>
      <c r="J304" s="38">
        <f t="shared" si="33"/>
        <v>-6</v>
      </c>
      <c r="K304" s="38">
        <f t="shared" si="29"/>
        <v>-60</v>
      </c>
      <c r="L304" s="38"/>
      <c r="M304" s="40">
        <f t="shared" si="30"/>
        <v>0</v>
      </c>
      <c r="N304" s="40">
        <f t="shared" si="31"/>
        <v>0</v>
      </c>
    </row>
    <row r="305" spans="1:17" x14ac:dyDescent="0.25">
      <c r="A305" s="59">
        <f t="shared" si="32"/>
        <v>0</v>
      </c>
      <c r="G305" s="16"/>
      <c r="H305" s="38">
        <v>300</v>
      </c>
      <c r="I305" s="39" t="str">
        <f t="shared" si="28"/>
        <v/>
      </c>
      <c r="J305" s="38">
        <f t="shared" si="33"/>
        <v>-6</v>
      </c>
      <c r="K305" s="38">
        <f t="shared" si="29"/>
        <v>-60</v>
      </c>
      <c r="L305" s="38"/>
      <c r="M305" s="40">
        <f t="shared" si="30"/>
        <v>0</v>
      </c>
      <c r="N305" s="40">
        <f t="shared" si="31"/>
        <v>0</v>
      </c>
    </row>
    <row r="306" spans="1:17" x14ac:dyDescent="0.25">
      <c r="A306" s="61"/>
    </row>
    <row r="314" spans="1:17" x14ac:dyDescent="0.25">
      <c r="L314" s="64"/>
      <c r="M314" s="64"/>
      <c r="Q314" s="54"/>
    </row>
    <row r="315" spans="1:17" x14ac:dyDescent="0.25">
      <c r="L315" s="64"/>
      <c r="M315" s="64"/>
      <c r="Q315" s="54"/>
    </row>
    <row r="316" spans="1:17" x14ac:dyDescent="0.25">
      <c r="L316" s="64"/>
      <c r="M316" s="64"/>
      <c r="Q316" s="54"/>
    </row>
    <row r="317" spans="1:17" x14ac:dyDescent="0.25">
      <c r="L317" s="64"/>
      <c r="M317" s="64"/>
      <c r="Q317" s="54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disablePrompts="1" count="1">
    <dataValidation type="list" allowBlank="1" showInputMessage="1" showErrorMessage="1" sqref="C38:C69" xr:uid="{2A9FE441-880B-482A-AD51-3A74439D1498}">
      <formula1>#REF!</formula1>
    </dataValidation>
  </dataValidations>
  <hyperlinks>
    <hyperlink ref="C2:D2" r:id="rId1" display="WARSZAWA" xr:uid="{2E1197C8-28BA-4245-B3AD-BBA9907B4B08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1D67-5078-4A88-8F8B-B9A54BFBEB27}">
  <dimension ref="A1:BG169"/>
  <sheetViews>
    <sheetView workbookViewId="0">
      <selection activeCell="C14" sqref="C14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4"/>
      <c r="B1" s="4"/>
      <c r="C1" s="4"/>
      <c r="D1" s="296" t="s">
        <v>107</v>
      </c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X1" s="299" t="s">
        <v>108</v>
      </c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  <c r="AV1" s="300"/>
      <c r="AW1" s="300"/>
      <c r="AX1" s="300"/>
      <c r="AY1" s="300"/>
      <c r="AZ1" s="300"/>
      <c r="BA1" s="300"/>
      <c r="BB1" s="300"/>
      <c r="BC1" s="301"/>
    </row>
    <row r="2" spans="1:59" ht="13.75" customHeight="1" x14ac:dyDescent="0.2">
      <c r="A2" s="4"/>
      <c r="B2" s="2" t="s">
        <v>0</v>
      </c>
      <c r="C2" s="4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X2" s="302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4"/>
    </row>
    <row r="3" spans="1:59" ht="13.75" customHeight="1" thickBot="1" x14ac:dyDescent="0.3">
      <c r="A3" s="4"/>
      <c r="B3" s="4"/>
      <c r="C3" s="4"/>
      <c r="D3" s="77" t="s">
        <v>109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305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7"/>
    </row>
    <row r="4" spans="1:59" ht="24.8" customHeight="1" thickTop="1" x14ac:dyDescent="0.2">
      <c r="A4" s="308" t="s">
        <v>4</v>
      </c>
      <c r="B4" s="310" t="s">
        <v>5</v>
      </c>
      <c r="C4" s="310" t="s">
        <v>6</v>
      </c>
      <c r="D4" s="310" t="s">
        <v>7</v>
      </c>
      <c r="E4" s="297" t="s">
        <v>8</v>
      </c>
      <c r="F4" s="298"/>
      <c r="G4" s="297" t="s">
        <v>9</v>
      </c>
      <c r="H4" s="298"/>
      <c r="I4" s="297" t="s">
        <v>10</v>
      </c>
      <c r="J4" s="298"/>
      <c r="K4" s="297" t="s">
        <v>11</v>
      </c>
      <c r="L4" s="298"/>
      <c r="M4" s="297" t="s">
        <v>12</v>
      </c>
      <c r="N4" s="298"/>
      <c r="O4" s="273" t="s">
        <v>13</v>
      </c>
      <c r="P4" s="274"/>
      <c r="Q4" s="273" t="s">
        <v>14</v>
      </c>
      <c r="R4" s="274"/>
      <c r="S4" s="273" t="s">
        <v>15</v>
      </c>
      <c r="T4" s="274"/>
      <c r="U4" s="297" t="s">
        <v>16</v>
      </c>
      <c r="V4" s="298"/>
      <c r="X4" s="294" t="s">
        <v>110</v>
      </c>
      <c r="Y4" s="295"/>
      <c r="Z4" s="294" t="s">
        <v>111</v>
      </c>
      <c r="AA4" s="295"/>
      <c r="AB4" s="294" t="s">
        <v>112</v>
      </c>
      <c r="AC4" s="295"/>
      <c r="AD4" s="294" t="s">
        <v>113</v>
      </c>
      <c r="AE4" s="295"/>
      <c r="AF4" s="294" t="s">
        <v>114</v>
      </c>
      <c r="AG4" s="295"/>
      <c r="AH4" s="294" t="s">
        <v>115</v>
      </c>
      <c r="AI4" s="295"/>
      <c r="AJ4" s="294" t="s">
        <v>116</v>
      </c>
      <c r="AK4" s="295"/>
      <c r="AL4" s="294" t="s">
        <v>117</v>
      </c>
      <c r="AM4" s="295"/>
      <c r="AN4" s="294" t="s">
        <v>118</v>
      </c>
      <c r="AO4" s="295"/>
      <c r="AP4" s="294" t="s">
        <v>119</v>
      </c>
      <c r="AQ4" s="295"/>
      <c r="AR4" s="294" t="s">
        <v>120</v>
      </c>
      <c r="AS4" s="295"/>
      <c r="AT4" s="294" t="s">
        <v>121</v>
      </c>
      <c r="AU4" s="295"/>
      <c r="AV4" s="294" t="s">
        <v>122</v>
      </c>
      <c r="AW4" s="295"/>
      <c r="AX4" s="294" t="s">
        <v>123</v>
      </c>
      <c r="AY4" s="295"/>
    </row>
    <row r="5" spans="1:59" ht="18" customHeight="1" x14ac:dyDescent="0.2">
      <c r="A5" s="309"/>
      <c r="B5" s="311"/>
      <c r="C5" s="311"/>
      <c r="D5" s="312"/>
      <c r="E5" s="78" t="s">
        <v>17</v>
      </c>
      <c r="F5" s="78" t="s">
        <v>18</v>
      </c>
      <c r="G5" s="78" t="s">
        <v>17</v>
      </c>
      <c r="H5" s="78" t="s">
        <v>18</v>
      </c>
      <c r="I5" s="78" t="s">
        <v>17</v>
      </c>
      <c r="J5" s="78" t="s">
        <v>18</v>
      </c>
      <c r="K5" s="78" t="s">
        <v>17</v>
      </c>
      <c r="L5" s="78" t="s">
        <v>18</v>
      </c>
      <c r="M5" s="78" t="s">
        <v>17</v>
      </c>
      <c r="N5" s="79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78" t="s">
        <v>17</v>
      </c>
      <c r="V5" s="79" t="s">
        <v>18</v>
      </c>
      <c r="X5" s="80" t="s">
        <v>17</v>
      </c>
      <c r="Y5" s="80" t="s">
        <v>18</v>
      </c>
      <c r="Z5" s="80" t="s">
        <v>17</v>
      </c>
      <c r="AA5" s="80" t="s">
        <v>18</v>
      </c>
      <c r="AB5" s="80" t="s">
        <v>17</v>
      </c>
      <c r="AC5" s="80" t="s">
        <v>18</v>
      </c>
      <c r="AD5" s="80" t="s">
        <v>17</v>
      </c>
      <c r="AE5" s="80" t="s">
        <v>18</v>
      </c>
      <c r="AF5" s="80" t="s">
        <v>17</v>
      </c>
      <c r="AG5" s="80" t="s">
        <v>18</v>
      </c>
      <c r="AH5" s="80" t="s">
        <v>17</v>
      </c>
      <c r="AI5" s="81" t="s">
        <v>18</v>
      </c>
      <c r="AJ5" s="80" t="s">
        <v>17</v>
      </c>
      <c r="AK5" s="81" t="s">
        <v>18</v>
      </c>
      <c r="AL5" s="80" t="s">
        <v>17</v>
      </c>
      <c r="AM5" s="81" t="s">
        <v>18</v>
      </c>
      <c r="AN5" s="80" t="s">
        <v>17</v>
      </c>
      <c r="AO5" s="81" t="s">
        <v>18</v>
      </c>
      <c r="AP5" s="80" t="s">
        <v>17</v>
      </c>
      <c r="AQ5" s="81" t="s">
        <v>18</v>
      </c>
      <c r="AR5" s="80" t="s">
        <v>17</v>
      </c>
      <c r="AS5" s="81" t="s">
        <v>18</v>
      </c>
      <c r="AT5" s="80" t="s">
        <v>17</v>
      </c>
      <c r="AU5" s="81" t="s">
        <v>18</v>
      </c>
      <c r="AV5" s="80" t="s">
        <v>17</v>
      </c>
      <c r="AW5" s="81" t="s">
        <v>18</v>
      </c>
      <c r="AX5" s="80" t="s">
        <v>17</v>
      </c>
      <c r="AY5" s="81" t="s">
        <v>18</v>
      </c>
    </row>
    <row r="6" spans="1:59" ht="14.8" customHeight="1" x14ac:dyDescent="0.25">
      <c r="A6" s="9">
        <f>ROW()-5</f>
        <v>1</v>
      </c>
      <c r="B6" s="10" t="s">
        <v>19</v>
      </c>
      <c r="C6" s="137"/>
      <c r="D6" s="82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418.9226998780058</v>
      </c>
      <c r="E6" s="11">
        <f>_xlfn.XLOOKUP($B6,'GP1'!$C$6:$C$101,'GP1'!$B$6:$B$101,"")</f>
        <v>1</v>
      </c>
      <c r="F6" s="83">
        <f>_xlfn.XLOOKUP(E6,'GP1'!$B$6:$B$55,'GP1'!$A$6:$A$55,0)</f>
        <v>97.216380644951499</v>
      </c>
      <c r="G6" s="11">
        <f>_xlfn.XLOOKUP($B6,'GP2'!$C$6:$C$101,'GP2'!$B$6:$B$101,"")</f>
        <v>3</v>
      </c>
      <c r="H6" s="83">
        <f>_xlfn.XLOOKUP(G6,'GP2'!$B$6:$B$55,'GP2'!$A$6:$A$55,0)</f>
        <v>35.407149332988958</v>
      </c>
      <c r="I6" s="11" t="str">
        <f>_xlfn.XLOOKUP($B6,'GP3'!$C$6:$C$101,'GP3'!$B$6:$B$101,"")</f>
        <v/>
      </c>
      <c r="J6" s="83">
        <f>_xlfn.XLOOKUP(I6,'GP3'!$B$6:$B$55,'GP3'!$A$6:$A$55,0)</f>
        <v>0</v>
      </c>
      <c r="K6" s="11">
        <f>_xlfn.XLOOKUP($B6,'GP4'!$C$6:$C$101,'GP4'!$B$6:$B$101,"")</f>
        <v>3</v>
      </c>
      <c r="L6" s="83">
        <f>_xlfn.XLOOKUP(K6,'GP4'!$B$6:$B$55,'GP4'!$A$6:$A$55,0)</f>
        <v>15.930621888236271</v>
      </c>
      <c r="M6" s="11" t="str">
        <f>_xlfn.XLOOKUP($B6,'GP5'!$C$6:$C$101,'GP5'!$B$6:$B$101,"")</f>
        <v/>
      </c>
      <c r="N6" s="84">
        <f>_xlfn.XLOOKUP(M6,'GP5'!$B$6:$B$55,'GP5'!$A$6:$A$55,0)</f>
        <v>0</v>
      </c>
      <c r="O6" s="11">
        <f>_xlfn.XLOOKUP($B6,'GP6'!$C$6:$C$101,'GP6'!$B$6:$B$101,"")</f>
        <v>1</v>
      </c>
      <c r="P6" s="84">
        <f>_xlfn.XLOOKUP(O6,'GP6'!$B$6:$B$55,'GP6'!$A$6:$A$55,0)</f>
        <v>69</v>
      </c>
      <c r="Q6" s="11">
        <f>_xlfn.XLOOKUP($B6,'GP7'!$C$6:$C$101,'GP7'!$B$6:$B$101,"")</f>
        <v>1</v>
      </c>
      <c r="R6" s="84">
        <f>_xlfn.XLOOKUP(Q6,'GP7'!$B$6:$B$55,'GP7'!$A$6:$A$55,0)</f>
        <v>81.339289449053865</v>
      </c>
      <c r="S6" s="11" t="str">
        <f>_xlfn.XLOOKUP($B6,'GP8'!$C$6:$C$101,'GP8'!$B$6:$B$101,"")</f>
        <v/>
      </c>
      <c r="T6" s="84">
        <f>_xlfn.XLOOKUP(S6,'GP8'!$B$6:$B$55,'GP8'!$A$6:$A$55,0)</f>
        <v>0</v>
      </c>
      <c r="U6" s="11">
        <f>_xlfn.XLOOKUP(B6,MPW!C$6:C$101,MPW!B$6:B$101,"")</f>
        <v>1</v>
      </c>
      <c r="V6" s="84">
        <f>_xlfn.XLOOKUP(U6,MPW!B$6:B$55,MPW!A$6:A$55,0)</f>
        <v>101.14393136125655</v>
      </c>
      <c r="X6" s="11" t="str">
        <f>_xlfn.XLOOKUP($B6,'PEW1'!$C$6:$C$201,'PEW1'!$B$6:$B$201,"")</f>
        <v/>
      </c>
      <c r="Y6" s="85">
        <f>_xlfn.XLOOKUP(X6,'PEW1'!$B$6:$B$201,'PEW1'!$A$6:$A$201,0)</f>
        <v>0</v>
      </c>
      <c r="Z6" s="11" t="str">
        <f>_xlfn.XLOOKUP($B6,'PEW2'!$C$6:$C$201,'PEW2'!$B$6:$B$201,"")</f>
        <v/>
      </c>
      <c r="AA6" s="85">
        <f>_xlfn.XLOOKUP(Z6,'PEW2'!$B$6:$B$201,'PEW2'!$A$6:$A$201,0)</f>
        <v>0</v>
      </c>
      <c r="AB6" s="11" t="str">
        <f>_xlfn.XLOOKUP($B6,'PEW3'!$C$6:$C$201,'PEW3'!$B$6:$B$201,"")</f>
        <v/>
      </c>
      <c r="AC6" s="85">
        <f>_xlfn.XLOOKUP(AB6,'PEW3'!$B$6:$B$201,'PEW3'!$A$6:$A$201,0)</f>
        <v>0</v>
      </c>
      <c r="AD6" s="11" t="str">
        <f>_xlfn.XLOOKUP($B6,VFC!$C$6:$C$201,VFC!$B$6:$B$201,"")</f>
        <v/>
      </c>
      <c r="AE6" s="85">
        <f>_xlfn.XLOOKUP(AD6,VFC!$B$6:$B$201,VFC!$A$6:$A$201,0)</f>
        <v>0</v>
      </c>
      <c r="AF6" s="11" t="str">
        <f>_xlfn.XLOOKUP($B6,'PEW4'!$C$6:$C$201,'PEW4'!$B$6:$B$201,"")</f>
        <v/>
      </c>
      <c r="AG6" s="85">
        <f>_xlfn.XLOOKUP(AF6,'PEW4'!$B$6:$B$201,'PEW4'!$A$6:$A$201,0)</f>
        <v>0</v>
      </c>
      <c r="AH6" s="11" t="str">
        <f>_xlfn.XLOOKUP($B6,'PEW5'!$C$6:$C$201,'PEW5'!$B$6:$B$201,"")</f>
        <v/>
      </c>
      <c r="AI6" s="85">
        <f>_xlfn.XLOOKUP(AH6,'PEW5'!$B$6:$B$201,'PEW5'!$A$6:$A$201,0)</f>
        <v>0</v>
      </c>
      <c r="AJ6" s="11" t="str">
        <f>_xlfn.XLOOKUP($B6,'PEW6'!$C$6:$C$201,'PEW6'!$B$6:$B$201,"")</f>
        <v/>
      </c>
      <c r="AK6" s="85">
        <f>_xlfn.XLOOKUP(AJ6,'PEW6'!$B$6:$B$201,'PEW6'!$A$6:$A$201,0)</f>
        <v>0</v>
      </c>
      <c r="AL6" s="11" t="str">
        <f>_xlfn.XLOOKUP($B6,'PEW7'!$C$6:$C$201,'PEW7'!$B$6:$B$201,"")</f>
        <v/>
      </c>
      <c r="AM6" s="85">
        <f>_xlfn.XLOOKUP(AL6,'PEW7'!$B$6:$B$201,'PEW7'!$A$6:$A$201,0)</f>
        <v>0</v>
      </c>
      <c r="AN6" s="11" t="str">
        <f>_xlfn.XLOOKUP($B6,'PEW8'!$C$6:$C$201,'PEW8'!$B$6:$B$201,"")</f>
        <v/>
      </c>
      <c r="AO6" s="85">
        <f>_xlfn.XLOOKUP(AN6,'PEW8'!$B$6:$B$201,'PEW8'!$A$6:$A$201,0)</f>
        <v>0</v>
      </c>
      <c r="AP6" s="11" t="str">
        <f>_xlfn.XLOOKUP($B6,'PEW9'!$C$6:$C$201,'PEW9'!$B$6:$B$201,"")</f>
        <v/>
      </c>
      <c r="AQ6" s="85">
        <f>_xlfn.XLOOKUP(AP6,'PEW9'!$B$6:$B$201,'PEW9'!$A$6:$A$201,0)</f>
        <v>0</v>
      </c>
      <c r="AR6" s="11" t="str">
        <f>_xlfn.XLOOKUP($B6,'PEW10'!$C$6:$C$201,'PEW10'!$B$6:$B$201,"")</f>
        <v/>
      </c>
      <c r="AS6" s="85">
        <f>_xlfn.XLOOKUP(AR6,'PEW10'!$B$6:$B$201,'PEW10'!$A$6:$A$201,0)</f>
        <v>0</v>
      </c>
      <c r="AT6" s="11" t="str">
        <f>_xlfn.XLOOKUP($B6,'PEW11'!$C$6:$C$201,'PEW11'!$B$6:$B$201,"")</f>
        <v/>
      </c>
      <c r="AU6" s="85">
        <f>_xlfn.XLOOKUP(AT6,'PEW11'!$B$6:$B$201,'PEW11'!$A$6:$A$201,0)</f>
        <v>0</v>
      </c>
      <c r="AV6" s="11" t="str">
        <f>_xlfn.XLOOKUP($B6,'PEW12'!$C$6:$C$201,'PEW12'!$B$6:$B$201,"")</f>
        <v/>
      </c>
      <c r="AW6" s="85">
        <f>_xlfn.XLOOKUP(AV6,'PEW12'!$B$6:$B$201,'PEW12'!$A$6:$A$201,0)</f>
        <v>0</v>
      </c>
      <c r="AX6" s="11" cm="1">
        <f t="array" ref="AX6">_xlfn.XLOOKUP($B6,IMEW!C$6:C$201,IMEW!$B$6:B$201,"")</f>
        <v>28</v>
      </c>
      <c r="AY6" s="86">
        <f>_xlfn.XLOOKUP(AX6,IMEW!$B$6:$B$201,IMEW!$A$6:$A$201,0)</f>
        <v>18.885327201518706</v>
      </c>
      <c r="BA6" s="87">
        <f t="shared" ref="BA6:BA29" si="0">Y6</f>
        <v>0</v>
      </c>
      <c r="BB6" s="87">
        <f t="shared" ref="BB6:BB29" si="1">AA6</f>
        <v>0</v>
      </c>
      <c r="BC6" s="87">
        <f t="shared" ref="BC6:BC29" si="2">AC6</f>
        <v>0</v>
      </c>
      <c r="BD6" s="87">
        <f t="shared" ref="BD6:BD29" si="3">AG6</f>
        <v>0</v>
      </c>
      <c r="BE6" s="87">
        <f t="shared" ref="BE6:BE29" si="4">AI6</f>
        <v>0</v>
      </c>
      <c r="BF6" s="87">
        <f t="shared" ref="BF6:BF29" si="5">AK6</f>
        <v>0</v>
      </c>
      <c r="BG6" s="87">
        <f t="shared" ref="BG6:BG29" si="6">AM6</f>
        <v>0</v>
      </c>
    </row>
    <row r="7" spans="1:59" ht="14.8" customHeight="1" x14ac:dyDescent="0.25">
      <c r="A7" s="9">
        <f>ROW()-5</f>
        <v>2</v>
      </c>
      <c r="B7" s="217" t="s">
        <v>20</v>
      </c>
      <c r="C7" s="13"/>
      <c r="D7" s="82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367.85868744462357</v>
      </c>
      <c r="E7" s="14">
        <f>_xlfn.XLOOKUP($B7,'GP1'!$C$6:$C$101,'GP1'!$B$6:$B$101,"")</f>
        <v>2</v>
      </c>
      <c r="F7" s="133">
        <f>_xlfn.XLOOKUP(E7,'GP1'!$B$6:$B$55,'GP1'!$A$6:$A$55,0)</f>
        <v>64.023434928341246</v>
      </c>
      <c r="G7" s="14">
        <f>_xlfn.XLOOKUP($B7,'GP2'!$C$6:$C$101,'GP2'!$B$6:$B$101,"")</f>
        <v>2</v>
      </c>
      <c r="H7" s="133">
        <f>_xlfn.XLOOKUP(G7,'GP2'!$B$6:$B$55,'GP2'!$A$6:$A$55,0)</f>
        <v>61.946936002500301</v>
      </c>
      <c r="I7" s="14">
        <f>_xlfn.XLOOKUP($B7,'GP3'!$C$6:$C$101,'GP3'!$B$6:$B$101,"")</f>
        <v>1</v>
      </c>
      <c r="J7" s="83">
        <f>_xlfn.XLOOKUP(I7,'GP3'!$B$6:$B$55,'GP3'!$A$6:$A$55,0)</f>
        <v>96.354085335489259</v>
      </c>
      <c r="K7" s="14">
        <f>_xlfn.XLOOKUP($B7,'GP4'!$C$6:$C$101,'GP4'!$B$6:$B$101,"")</f>
        <v>2</v>
      </c>
      <c r="L7" s="133">
        <f>_xlfn.XLOOKUP(K7,'GP4'!$B$6:$B$55,'GP4'!$A$6:$A$55,0)</f>
        <v>45.024406311809194</v>
      </c>
      <c r="M7" s="14" t="str">
        <f>_xlfn.XLOOKUP($B7,'GP5'!$C$6:$C$101,'GP5'!$B$6:$B$101,"")</f>
        <v/>
      </c>
      <c r="N7" s="134">
        <f>_xlfn.XLOOKUP(M7,'GP5'!$B$6:$B$55,'GP5'!$A$6:$A$55,0)</f>
        <v>0</v>
      </c>
      <c r="O7" s="14" t="str">
        <f>_xlfn.XLOOKUP($B7,'GP6'!$C$6:$C$101,'GP6'!$B$6:$B$101,"")</f>
        <v/>
      </c>
      <c r="P7" s="134">
        <f>_xlfn.XLOOKUP(O7,'GP6'!$B$6:$B$55,'GP6'!$A$6:$A$55,0)</f>
        <v>0</v>
      </c>
      <c r="Q7" s="14">
        <f>_xlfn.XLOOKUP($B7,'GP7'!$C$6:$C$101,'GP7'!$B$6:$B$101,"")</f>
        <v>2</v>
      </c>
      <c r="R7" s="134">
        <f>_xlfn.XLOOKUP(Q7,'GP7'!$B$6:$B$55,'GP7'!$A$6:$A$55,0)</f>
        <v>18.559526299369239</v>
      </c>
      <c r="S7" s="14" t="str">
        <f>_xlfn.XLOOKUP($B7,'GP8'!$C$6:$C$101,'GP8'!$B$6:$B$101,"")</f>
        <v/>
      </c>
      <c r="T7" s="134">
        <f>_xlfn.XLOOKUP(S7,'GP8'!$B$6:$B$55,'GP8'!$A$6:$A$55,0)</f>
        <v>0</v>
      </c>
      <c r="U7" s="14">
        <f>_xlfn.XLOOKUP(B7,MPW!C$6:C$101,MPW!B$6:B$101,"")</f>
        <v>3</v>
      </c>
      <c r="V7" s="134">
        <f>_xlfn.XLOOKUP(U7,MPW!B$6:B$55,MPW!A$6:A$55,0)</f>
        <v>19.116746265883524</v>
      </c>
      <c r="X7" s="11" t="str">
        <f>_xlfn.XLOOKUP($B7,'PEW1'!$C$6:$C$201,'PEW1'!$B$6:$B$201,"")</f>
        <v/>
      </c>
      <c r="Y7" s="85">
        <f>_xlfn.XLOOKUP(X7,'PEW1'!$B$6:$B$201,'PEW1'!$A$6:$A$201,0)</f>
        <v>0</v>
      </c>
      <c r="Z7" s="11" t="str">
        <f>_xlfn.XLOOKUP($B7,'PEW2'!$C$6:$C$201,'PEW2'!$B$6:$B$201,"")</f>
        <v/>
      </c>
      <c r="AA7" s="85">
        <f>_xlfn.XLOOKUP(Z7,'PEW2'!$B$6:$B$201,'PEW2'!$A$6:$A$201,0)</f>
        <v>0</v>
      </c>
      <c r="AB7" s="11">
        <f>_xlfn.XLOOKUP($B7,'PEW3'!$C$6:$C$201,'PEW3'!$B$6:$B$201,"")</f>
        <v>9</v>
      </c>
      <c r="AC7" s="85">
        <f>_xlfn.XLOOKUP(AB7,'PEW3'!$B$6:$B$201,'PEW3'!$A$6:$A$201,0)</f>
        <v>21.999330366227973</v>
      </c>
      <c r="AD7" s="11" t="str">
        <f>_xlfn.XLOOKUP($B7,VFC!$C$6:$C$201,VFC!$B$6:$B$201,"")</f>
        <v/>
      </c>
      <c r="AE7" s="85">
        <f>_xlfn.XLOOKUP(AD7,VFC!$B$6:$B$201,VFC!$A$6:$A$201,0)</f>
        <v>0</v>
      </c>
      <c r="AF7" s="11" t="str">
        <f>_xlfn.XLOOKUP($B7,'PEW4'!$C$6:$C$201,'PEW4'!$B$6:$B$201,"")</f>
        <v/>
      </c>
      <c r="AG7" s="85">
        <f>_xlfn.XLOOKUP(AF7,'PEW4'!$B$6:$B$201,'PEW4'!$A$6:$A$201,0)</f>
        <v>0</v>
      </c>
      <c r="AH7" s="11" t="str">
        <f>_xlfn.XLOOKUP($B7,'PEW5'!$C$6:$C$201,'PEW5'!$B$6:$B$201,"")</f>
        <v/>
      </c>
      <c r="AI7" s="85">
        <f>_xlfn.XLOOKUP(AH7,'PEW5'!$B$6:$B$201,'PEW5'!$A$6:$A$201,0)</f>
        <v>0</v>
      </c>
      <c r="AJ7" s="11" t="str">
        <f>_xlfn.XLOOKUP($B7,'PEW6'!$C$6:$C$201,'PEW6'!$B$6:$B$201,"")</f>
        <v/>
      </c>
      <c r="AK7" s="85">
        <f>_xlfn.XLOOKUP(AJ7,'PEW6'!$B$6:$B$201,'PEW6'!$A$6:$A$201,0)</f>
        <v>0</v>
      </c>
      <c r="AL7" s="11" t="str">
        <f>_xlfn.XLOOKUP($B7,'PEW7'!$C$6:$C$201,'PEW7'!$B$6:$B$201,"")</f>
        <v/>
      </c>
      <c r="AM7" s="85">
        <f>_xlfn.XLOOKUP(AL7,'PEW7'!$B$6:$B$201,'PEW7'!$A$6:$A$201,0)</f>
        <v>0</v>
      </c>
      <c r="AN7" s="11" t="str">
        <f>_xlfn.XLOOKUP($B7,'PEW8'!$C$6:$C$201,'PEW8'!$B$6:$B$201,"")</f>
        <v/>
      </c>
      <c r="AO7" s="85">
        <f>_xlfn.XLOOKUP(AN7,'PEW8'!$B$6:$B$201,'PEW8'!$A$6:$A$201,0)</f>
        <v>0</v>
      </c>
      <c r="AP7" s="11" t="str">
        <f>_xlfn.XLOOKUP($B7,'PEW9'!$C$6:$C$201,'PEW9'!$B$6:$B$201,"")</f>
        <v/>
      </c>
      <c r="AQ7" s="85">
        <f>_xlfn.XLOOKUP(AP7,'PEW9'!$B$6:$B$201,'PEW9'!$A$6:$A$201,0)</f>
        <v>0</v>
      </c>
      <c r="AR7" s="11" t="str">
        <f>_xlfn.XLOOKUP($B7,'PEW10'!$C$6:$C$201,'PEW10'!$B$6:$B$201,"")</f>
        <v/>
      </c>
      <c r="AS7" s="85">
        <f>_xlfn.XLOOKUP(AR7,'PEW10'!$B$6:$B$201,'PEW10'!$A$6:$A$201,0)</f>
        <v>0</v>
      </c>
      <c r="AT7" s="11" t="str">
        <f>_xlfn.XLOOKUP($B7,'PEW11'!$C$6:$C$201,'PEW11'!$B$6:$B$201,"")</f>
        <v/>
      </c>
      <c r="AU7" s="85">
        <f>_xlfn.XLOOKUP(AT7,'PEW11'!$B$6:$B$201,'PEW11'!$A$6:$A$201,0)</f>
        <v>0</v>
      </c>
      <c r="AV7" s="11" t="str">
        <f>_xlfn.XLOOKUP($B7,'PEW12'!$C$6:$C$201,'PEW12'!$B$6:$B$201,"")</f>
        <v/>
      </c>
      <c r="AW7" s="85">
        <f>_xlfn.XLOOKUP(AV7,'PEW12'!$B$6:$B$201,'PEW12'!$A$6:$A$201,0)</f>
        <v>0</v>
      </c>
      <c r="AX7" s="11" cm="1">
        <f t="array" ref="AX7">_xlfn.XLOOKUP($B7,IMEW!C$6:C$201,IMEW!$B$6:B$201,"")</f>
        <v>15</v>
      </c>
      <c r="AY7" s="86">
        <f>_xlfn.XLOOKUP(AX7,IMEW!$B$6:$B$201,IMEW!$A$6:$A$201,0)</f>
        <v>40.834221935002859</v>
      </c>
      <c r="BA7" s="87">
        <f t="shared" si="0"/>
        <v>0</v>
      </c>
      <c r="BB7" s="87">
        <f t="shared" si="1"/>
        <v>0</v>
      </c>
      <c r="BC7" s="87">
        <f t="shared" si="2"/>
        <v>21.999330366227973</v>
      </c>
      <c r="BD7" s="87">
        <f t="shared" si="3"/>
        <v>0</v>
      </c>
      <c r="BE7" s="87">
        <f t="shared" si="4"/>
        <v>0</v>
      </c>
      <c r="BF7" s="87">
        <f t="shared" si="5"/>
        <v>0</v>
      </c>
      <c r="BG7" s="87">
        <f t="shared" si="6"/>
        <v>0</v>
      </c>
    </row>
    <row r="8" spans="1:59" ht="15.8" customHeight="1" x14ac:dyDescent="0.25">
      <c r="A8" s="9">
        <f>ROW()-5</f>
        <v>3</v>
      </c>
      <c r="B8" s="217" t="s">
        <v>21</v>
      </c>
      <c r="C8" s="13"/>
      <c r="D8" s="82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215.94148080124486</v>
      </c>
      <c r="E8" s="14" t="str">
        <f>_xlfn.XLOOKUP($B8,'GP1'!$C$6:$C$101,'GP1'!$B$6:$B$101,"")</f>
        <v>1k0</v>
      </c>
      <c r="F8" s="133">
        <f>_xlfn.XLOOKUP(E8,'GP1'!$B$6:$B$55,'GP1'!$A$6:$A$55,0)</f>
        <v>96.354085335489259</v>
      </c>
      <c r="G8" s="14" t="str">
        <f>_xlfn.XLOOKUP($B8,'GP2'!$C$6:$C$101,'GP2'!$B$6:$B$101,"")</f>
        <v/>
      </c>
      <c r="H8" s="133">
        <f>_xlfn.XLOOKUP(G8,'GP2'!$B$6:$B$55,'GP2'!$A$6:$A$55,0)</f>
        <v>0</v>
      </c>
      <c r="I8" s="14" t="str">
        <f>_xlfn.XLOOKUP($B8,'GP3'!$C$6:$C$101,'GP3'!$B$6:$B$101,"")</f>
        <v>3k0</v>
      </c>
      <c r="J8" s="83">
        <f>_xlfn.XLOOKUP(I8,'GP3'!$B$6:$B$55,'GP3'!$A$6:$A$55,0)</f>
        <v>35.407149332988958</v>
      </c>
      <c r="K8" s="14" t="str">
        <f>_xlfn.XLOOKUP($B8,'GP4'!$C$6:$C$101,'GP4'!$B$6:$B$101,"")</f>
        <v/>
      </c>
      <c r="L8" s="133">
        <f>_xlfn.XLOOKUP(K8,'GP4'!$B$6:$B$55,'GP4'!$A$6:$A$55,0)</f>
        <v>0</v>
      </c>
      <c r="M8" s="14" t="str">
        <f>_xlfn.XLOOKUP($B8,'GP5'!$C$6:$C$101,'GP5'!$B$6:$B$101,"")</f>
        <v/>
      </c>
      <c r="N8" s="134">
        <f>_xlfn.XLOOKUP(M8,'GP5'!$B$6:$B$55,'GP5'!$A$6:$A$55,0)</f>
        <v>0</v>
      </c>
      <c r="O8" s="14" t="str">
        <f>_xlfn.XLOOKUP($B8,'GP6'!$C$6:$C$101,'GP6'!$B$6:$B$101,"")</f>
        <v/>
      </c>
      <c r="P8" s="134">
        <f>_xlfn.XLOOKUP(O8,'GP6'!$B$6:$B$55,'GP6'!$A$6:$A$55,0)</f>
        <v>0</v>
      </c>
      <c r="Q8" s="14" t="str">
        <f>_xlfn.XLOOKUP($B8,'GP7'!$C$6:$C$101,'GP7'!$B$6:$B$101,"")</f>
        <v/>
      </c>
      <c r="R8" s="134">
        <f>_xlfn.XLOOKUP(Q8,'GP7'!$B$6:$B$55,'GP7'!$A$6:$A$55,0)</f>
        <v>0</v>
      </c>
      <c r="S8" s="14">
        <f>_xlfn.XLOOKUP($B8,'GP8'!$C$6:$C$101,'GP8'!$B$6:$B$101,"")</f>
        <v>1</v>
      </c>
      <c r="T8" s="134">
        <f>_xlfn.XLOOKUP(S8,'GP8'!$B$6:$B$55,'GP8'!$A$6:$A$55,0)</f>
        <v>82.980246132766666</v>
      </c>
      <c r="U8" s="14">
        <f>_xlfn.XLOOKUP(B8,MPW!C$6:C$101,MPW!B$6:B$101,"")</f>
        <v>4</v>
      </c>
      <c r="V8" s="134">
        <f>_xlfn.XLOOKUP(U8,MPW!B$6:B$55,MPW!A$6:A$55,0)</f>
        <v>1.2</v>
      </c>
      <c r="X8" s="11" t="str">
        <f>_xlfn.XLOOKUP($B8,'PEW1'!$C$6:$C$201,'PEW1'!$B$6:$B$201,"")</f>
        <v/>
      </c>
      <c r="Y8" s="85">
        <f>_xlfn.XLOOKUP(X8,'PEW1'!$B$6:$B$201,'PEW1'!$A$6:$A$201,0)</f>
        <v>0</v>
      </c>
      <c r="Z8" s="11" t="str">
        <f>_xlfn.XLOOKUP($B8,'PEW2'!$C$6:$C$201,'PEW2'!$B$6:$B$201,"")</f>
        <v/>
      </c>
      <c r="AA8" s="85">
        <f>_xlfn.XLOOKUP(Z8,'PEW2'!$B$6:$B$201,'PEW2'!$A$6:$A$201,0)</f>
        <v>0</v>
      </c>
      <c r="AB8" s="11" t="str">
        <f>_xlfn.XLOOKUP($B8,'PEW3'!$C$6:$C$201,'PEW3'!$B$6:$B$201,"")</f>
        <v/>
      </c>
      <c r="AC8" s="85">
        <f>_xlfn.XLOOKUP(AB8,'PEW3'!$B$6:$B$201,'PEW3'!$A$6:$A$201,0)</f>
        <v>0</v>
      </c>
      <c r="AD8" s="11" t="str">
        <f>_xlfn.XLOOKUP($B8,VFC!$C$6:$C$201,VFC!$B$6:$B$201,"")</f>
        <v/>
      </c>
      <c r="AE8" s="85">
        <f>_xlfn.XLOOKUP(AD8,VFC!$B$6:$B$201,VFC!$A$6:$A$201,0)</f>
        <v>0</v>
      </c>
      <c r="AF8" s="11" t="str">
        <f>_xlfn.XLOOKUP($B8,'PEW4'!$C$6:$C$201,'PEW4'!$B$6:$B$201,"")</f>
        <v/>
      </c>
      <c r="AG8" s="85">
        <f>_xlfn.XLOOKUP(AF8,'PEW4'!$B$6:$B$201,'PEW4'!$A$6:$A$201,0)</f>
        <v>0</v>
      </c>
      <c r="AH8" s="11" t="str">
        <f>_xlfn.XLOOKUP($B8,'PEW5'!$C$6:$C$201,'PEW5'!$B$6:$B$201,"")</f>
        <v/>
      </c>
      <c r="AI8" s="85">
        <f>_xlfn.XLOOKUP(AH8,'PEW5'!$B$6:$B$201,'PEW5'!$A$6:$A$201,0)</f>
        <v>0</v>
      </c>
      <c r="AJ8" s="11" t="str">
        <f>_xlfn.XLOOKUP($B8,'PEW6'!$C$6:$C$201,'PEW6'!$B$6:$B$201,"")</f>
        <v/>
      </c>
      <c r="AK8" s="85">
        <f>_xlfn.XLOOKUP(AJ8,'PEW6'!$B$6:$B$201,'PEW6'!$A$6:$A$201,0)</f>
        <v>0</v>
      </c>
      <c r="AL8" s="11" t="str">
        <f>_xlfn.XLOOKUP($B8,'PEW7'!$C$6:$C$201,'PEW7'!$B$6:$B$201,"")</f>
        <v/>
      </c>
      <c r="AM8" s="85">
        <f>_xlfn.XLOOKUP(AL8,'PEW7'!$B$6:$B$201,'PEW7'!$A$6:$A$201,0)</f>
        <v>0</v>
      </c>
      <c r="AN8" s="11" t="str">
        <f>_xlfn.XLOOKUP($B8,'PEW8'!$C$6:$C$201,'PEW8'!$B$6:$B$201,"")</f>
        <v/>
      </c>
      <c r="AO8" s="85">
        <f>_xlfn.XLOOKUP(AN8,'PEW8'!$B$6:$B$201,'PEW8'!$A$6:$A$201,0)</f>
        <v>0</v>
      </c>
      <c r="AP8" s="11" t="str">
        <f>_xlfn.XLOOKUP($B8,'PEW9'!$C$6:$C$201,'PEW9'!$B$6:$B$201,"")</f>
        <v/>
      </c>
      <c r="AQ8" s="85">
        <f>_xlfn.XLOOKUP(AP8,'PEW9'!$B$6:$B$201,'PEW9'!$A$6:$A$201,0)</f>
        <v>0</v>
      </c>
      <c r="AR8" s="11" t="str">
        <f>_xlfn.XLOOKUP($B8,'PEW10'!$C$6:$C$201,'PEW10'!$B$6:$B$201,"")</f>
        <v/>
      </c>
      <c r="AS8" s="85">
        <f>_xlfn.XLOOKUP(AR8,'PEW10'!$B$6:$B$201,'PEW10'!$A$6:$A$201,0)</f>
        <v>0</v>
      </c>
      <c r="AT8" s="11" t="str">
        <f>_xlfn.XLOOKUP($B8,'PEW11'!$C$6:$C$201,'PEW11'!$B$6:$B$201,"")</f>
        <v/>
      </c>
      <c r="AU8" s="85">
        <f>_xlfn.XLOOKUP(AT8,'PEW11'!$B$6:$B$201,'PEW11'!$A$6:$A$201,0)</f>
        <v>0</v>
      </c>
      <c r="AV8" s="11" t="str">
        <f>_xlfn.XLOOKUP($B8,'PEW12'!$C$6:$C$201,'PEW12'!$B$6:$B$201,"")</f>
        <v/>
      </c>
      <c r="AW8" s="85">
        <f>_xlfn.XLOOKUP(AV8,'PEW12'!$B$6:$B$201,'PEW12'!$A$6:$A$201,0)</f>
        <v>0</v>
      </c>
      <c r="AX8" s="11" t="str" cm="1">
        <f t="array" ref="AX8">_xlfn.XLOOKUP($B8,IMEW!C$6:C$201,IMEW!$B$6:B$201,"")</f>
        <v/>
      </c>
      <c r="AY8" s="86">
        <f>_xlfn.XLOOKUP(AX8,IMEW!$B$6:$B$201,IMEW!$A$6:$A$201,0)</f>
        <v>0</v>
      </c>
      <c r="BA8" s="87">
        <f t="shared" si="0"/>
        <v>0</v>
      </c>
      <c r="BB8" s="87">
        <f t="shared" si="1"/>
        <v>0</v>
      </c>
      <c r="BC8" s="87">
        <f t="shared" si="2"/>
        <v>0</v>
      </c>
      <c r="BD8" s="87">
        <f t="shared" si="3"/>
        <v>0</v>
      </c>
      <c r="BE8" s="87">
        <f t="shared" si="4"/>
        <v>0</v>
      </c>
      <c r="BF8" s="87">
        <f t="shared" si="5"/>
        <v>0</v>
      </c>
      <c r="BG8" s="87">
        <f t="shared" si="6"/>
        <v>0</v>
      </c>
    </row>
    <row r="9" spans="1:59" ht="14.8" customHeight="1" x14ac:dyDescent="0.25">
      <c r="A9" s="9">
        <f>ROW()-5</f>
        <v>4</v>
      </c>
      <c r="B9" s="12" t="s">
        <v>22</v>
      </c>
      <c r="C9" s="13"/>
      <c r="D9" s="82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125.72334744161807</v>
      </c>
      <c r="E9" s="14">
        <f>_xlfn.XLOOKUP($B9,'GP1'!$C$6:$C$101,'GP1'!$B$6:$B$101,"")</f>
        <v>6</v>
      </c>
      <c r="F9" s="133">
        <f>_xlfn.XLOOKUP(E9,'GP1'!$B$6:$B$55,'GP1'!$A$6:$A$55,0)</f>
        <v>4.8816711630815135</v>
      </c>
      <c r="G9" s="14">
        <f>_xlfn.XLOOKUP($B9,'GP2'!$C$6:$C$101,'GP2'!$B$6:$B$101,"")</f>
        <v>4</v>
      </c>
      <c r="H9" s="133">
        <f>_xlfn.XLOOKUP(G9,'GP2'!$B$6:$B$55,'GP2'!$A$6:$A$55,0)</f>
        <v>22.088424891014924</v>
      </c>
      <c r="I9" s="14">
        <f>_xlfn.XLOOKUP($B9,'GP3'!$C$6:$C$101,'GP3'!$B$6:$B$101,"")</f>
        <v>5</v>
      </c>
      <c r="J9" s="83">
        <f>_xlfn.XLOOKUP(I9,'GP3'!$B$6:$B$55,'GP3'!$A$6:$A$55,0)</f>
        <v>5.9860243165075602</v>
      </c>
      <c r="K9" s="14">
        <f>_xlfn.XLOOKUP($B9,'GP4'!$C$6:$C$101,'GP4'!$B$6:$B$101,"")</f>
        <v>4</v>
      </c>
      <c r="L9" s="133">
        <f>_xlfn.XLOOKUP(K9,'GP4'!$B$6:$B$55,'GP4'!$A$6:$A$55,0)</f>
        <v>1</v>
      </c>
      <c r="M9" s="14" t="str">
        <f>_xlfn.XLOOKUP($B9,'GP5'!$C$6:$C$101,'GP5'!$B$6:$B$101,"")</f>
        <v/>
      </c>
      <c r="N9" s="134">
        <f>_xlfn.XLOOKUP(M9,'GP5'!$B$6:$B$55,'GP5'!$A$6:$A$55,0)</f>
        <v>0</v>
      </c>
      <c r="O9" s="14" t="str">
        <f>_xlfn.XLOOKUP($B9,'GP6'!$C$6:$C$101,'GP6'!$B$6:$B$101,"")</f>
        <v/>
      </c>
      <c r="P9" s="134">
        <f>_xlfn.XLOOKUP(O9,'GP6'!$B$6:$B$55,'GP6'!$A$6:$A$55,0)</f>
        <v>0</v>
      </c>
      <c r="Q9" s="14" t="str">
        <f>_xlfn.XLOOKUP($B9,'GP7'!$C$6:$C$101,'GP7'!$B$6:$B$101,"")</f>
        <v/>
      </c>
      <c r="R9" s="134">
        <f>_xlfn.XLOOKUP(Q9,'GP7'!$B$6:$B$55,'GP7'!$A$6:$A$55,0)</f>
        <v>0</v>
      </c>
      <c r="S9" s="14">
        <f>_xlfn.XLOOKUP($B9,'GP8'!$C$6:$C$101,'GP8'!$B$6:$B$101,"")</f>
        <v>2</v>
      </c>
      <c r="T9" s="134">
        <f>_xlfn.XLOOKUP(S9,'GP8'!$B$6:$B$55,'GP8'!$A$6:$A$55,0)</f>
        <v>37.73793949684304</v>
      </c>
      <c r="U9" s="14">
        <f>_xlfn.XLOOKUP(B9,MPW!C$6:C$101,MPW!B$6:B$101,"")</f>
        <v>2</v>
      </c>
      <c r="V9" s="134">
        <f>_xlfn.XLOOKUP(U9,MPW!B$6:B$55,MPW!A$6:A$55,0)</f>
        <v>54.029287574171029</v>
      </c>
      <c r="X9" s="11" t="str">
        <f>_xlfn.XLOOKUP($B9,'PEW1'!$C$6:$C$201,'PEW1'!$B$6:$B$201,"")</f>
        <v/>
      </c>
      <c r="Y9" s="85">
        <f>_xlfn.XLOOKUP(X9,'PEW1'!$B$6:$B$201,'PEW1'!$A$6:$A$201,0)</f>
        <v>0</v>
      </c>
      <c r="Z9" s="11" t="str">
        <f>_xlfn.XLOOKUP($B9,'PEW2'!$C$6:$C$201,'PEW2'!$B$6:$B$201,"")</f>
        <v/>
      </c>
      <c r="AA9" s="85">
        <f>_xlfn.XLOOKUP(Z9,'PEW2'!$B$6:$B$201,'PEW2'!$A$6:$A$201,0)</f>
        <v>0</v>
      </c>
      <c r="AB9" s="11" t="str">
        <f>_xlfn.XLOOKUP($B9,'PEW3'!$C$6:$C$201,'PEW3'!$B$6:$B$201,"")</f>
        <v/>
      </c>
      <c r="AC9" s="85">
        <f>_xlfn.XLOOKUP(AB9,'PEW3'!$B$6:$B$201,'PEW3'!$A$6:$A$201,0)</f>
        <v>0</v>
      </c>
      <c r="AD9" s="11" t="str">
        <f>_xlfn.XLOOKUP($B9,VFC!$C$6:$C$201,VFC!$B$6:$B$201,"")</f>
        <v/>
      </c>
      <c r="AE9" s="85">
        <f>_xlfn.XLOOKUP(AD9,VFC!$B$6:$B$201,VFC!$A$6:$A$201,0)</f>
        <v>0</v>
      </c>
      <c r="AF9" s="11" t="str">
        <f>_xlfn.XLOOKUP($B9,'PEW4'!$C$6:$C$201,'PEW4'!$B$6:$B$201,"")</f>
        <v/>
      </c>
      <c r="AG9" s="85">
        <f>_xlfn.XLOOKUP(AF9,'PEW4'!$B$6:$B$201,'PEW4'!$A$6:$A$201,0)</f>
        <v>0</v>
      </c>
      <c r="AH9" s="11" t="str">
        <f>_xlfn.XLOOKUP($B9,'PEW5'!$C$6:$C$201,'PEW5'!$B$6:$B$201,"")</f>
        <v/>
      </c>
      <c r="AI9" s="85">
        <f>_xlfn.XLOOKUP(AH9,'PEW5'!$B$6:$B$201,'PEW5'!$A$6:$A$201,0)</f>
        <v>0</v>
      </c>
      <c r="AJ9" s="11" t="str">
        <f>_xlfn.XLOOKUP($B9,'PEW6'!$C$6:$C$201,'PEW6'!$B$6:$B$201,"")</f>
        <v/>
      </c>
      <c r="AK9" s="85">
        <f>_xlfn.XLOOKUP(AJ9,'PEW6'!$B$6:$B$201,'PEW6'!$A$6:$A$201,0)</f>
        <v>0</v>
      </c>
      <c r="AL9" s="11" t="str">
        <f>_xlfn.XLOOKUP($B9,'PEW7'!$C$6:$C$201,'PEW7'!$B$6:$B$201,"")</f>
        <v/>
      </c>
      <c r="AM9" s="85">
        <f>_xlfn.XLOOKUP(AL9,'PEW7'!$B$6:$B$201,'PEW7'!$A$6:$A$201,0)</f>
        <v>0</v>
      </c>
      <c r="AN9" s="11" t="str">
        <f>_xlfn.XLOOKUP($B9,'PEW8'!$C$6:$C$201,'PEW8'!$B$6:$B$201,"")</f>
        <v/>
      </c>
      <c r="AO9" s="85">
        <f>_xlfn.XLOOKUP(AN9,'PEW8'!$B$6:$B$201,'PEW8'!$A$6:$A$201,0)</f>
        <v>0</v>
      </c>
      <c r="AP9" s="11" t="str">
        <f>_xlfn.XLOOKUP($B9,'PEW9'!$C$6:$C$201,'PEW9'!$B$6:$B$201,"")</f>
        <v/>
      </c>
      <c r="AQ9" s="85">
        <f>_xlfn.XLOOKUP(AP9,'PEW9'!$B$6:$B$201,'PEW9'!$A$6:$A$201,0)</f>
        <v>0</v>
      </c>
      <c r="AR9" s="11" t="str">
        <f>_xlfn.XLOOKUP($B9,'PEW10'!$C$6:$C$201,'PEW10'!$B$6:$B$201,"")</f>
        <v/>
      </c>
      <c r="AS9" s="85">
        <f>_xlfn.XLOOKUP(AR9,'PEW10'!$B$6:$B$201,'PEW10'!$A$6:$A$201,0)</f>
        <v>0</v>
      </c>
      <c r="AT9" s="11" t="str">
        <f>_xlfn.XLOOKUP($B9,'PEW11'!$C$6:$C$201,'PEW11'!$B$6:$B$201,"")</f>
        <v/>
      </c>
      <c r="AU9" s="85">
        <f>_xlfn.XLOOKUP(AT9,'PEW11'!$B$6:$B$201,'PEW11'!$A$6:$A$201,0)</f>
        <v>0</v>
      </c>
      <c r="AV9" s="11" t="str">
        <f>_xlfn.XLOOKUP($B9,'PEW12'!$C$6:$C$201,'PEW12'!$B$6:$B$201,"")</f>
        <v/>
      </c>
      <c r="AW9" s="85">
        <f>_xlfn.XLOOKUP(AV9,'PEW12'!$B$6:$B$201,'PEW12'!$A$6:$A$201,0)</f>
        <v>0</v>
      </c>
      <c r="AX9" s="11" t="str" cm="1">
        <f t="array" ref="AX9">_xlfn.XLOOKUP($B9,IMEW!C$6:C$201,IMEW!$B$6:B$201,"")</f>
        <v/>
      </c>
      <c r="AY9" s="86">
        <f>_xlfn.XLOOKUP(AX9,IMEW!$B$6:$B$201,IMEW!$A$6:$A$201,0)</f>
        <v>0</v>
      </c>
      <c r="BA9" s="87">
        <f t="shared" si="0"/>
        <v>0</v>
      </c>
      <c r="BB9" s="87">
        <f t="shared" si="1"/>
        <v>0</v>
      </c>
      <c r="BC9" s="87">
        <f t="shared" si="2"/>
        <v>0</v>
      </c>
      <c r="BD9" s="87">
        <f t="shared" si="3"/>
        <v>0</v>
      </c>
      <c r="BE9" s="87">
        <f t="shared" si="4"/>
        <v>0</v>
      </c>
      <c r="BF9" s="87">
        <f t="shared" si="5"/>
        <v>0</v>
      </c>
      <c r="BG9" s="87">
        <f t="shared" si="6"/>
        <v>0</v>
      </c>
    </row>
    <row r="10" spans="1:59" ht="14.8" customHeight="1" x14ac:dyDescent="0.25">
      <c r="A10" s="9">
        <f>ROW()-5</f>
        <v>5</v>
      </c>
      <c r="B10" s="316" t="s">
        <v>23</v>
      </c>
      <c r="C10" s="13"/>
      <c r="D10" s="82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85.286609467713788</v>
      </c>
      <c r="E10" s="14" t="str">
        <f>_xlfn.XLOOKUP($B10,'GP1'!$C$6:$C$101,'GP1'!$B$6:$B$101,"")</f>
        <v/>
      </c>
      <c r="F10" s="133">
        <f>_xlfn.XLOOKUP(E10,'GP1'!$B$6:$B$55,'GP1'!$A$6:$A$55,0)</f>
        <v>0</v>
      </c>
      <c r="G10" s="14" t="str">
        <f>_xlfn.XLOOKUP($B10,'GP2'!$C$6:$C$101,'GP2'!$B$6:$B$101,"")</f>
        <v/>
      </c>
      <c r="H10" s="133">
        <f>_xlfn.XLOOKUP(G10,'GP2'!$B$6:$B$55,'GP2'!$A$6:$A$55,0)</f>
        <v>0</v>
      </c>
      <c r="I10" s="14">
        <f>_xlfn.XLOOKUP($B10,'GP3'!$C$6:$C$101,'GP3'!$B$6:$B$101,"")</f>
        <v>6</v>
      </c>
      <c r="J10" s="83">
        <f>_xlfn.XLOOKUP(I10,'GP3'!$B$6:$B$55,'GP3'!$A$6:$A$55,0)</f>
        <v>1</v>
      </c>
      <c r="K10" s="14">
        <f>_xlfn.XLOOKUP($B10,'GP4'!$C$6:$C$101,'GP4'!$B$6:$B$101,"")</f>
        <v>1</v>
      </c>
      <c r="L10" s="133">
        <f>_xlfn.XLOOKUP(K10,'GP4'!$B$6:$B$55,'GP4'!$A$6:$A$55,0)</f>
        <v>84.286609467713788</v>
      </c>
      <c r="M10" s="14" t="str">
        <f>_xlfn.XLOOKUP($B10,'GP5'!$C$6:$C$101,'GP5'!$B$6:$B$101,"")</f>
        <v/>
      </c>
      <c r="N10" s="134">
        <f>_xlfn.XLOOKUP(M10,'GP5'!$B$6:$B$55,'GP5'!$A$6:$A$55,0)</f>
        <v>0</v>
      </c>
      <c r="O10" s="14" t="str">
        <f>_xlfn.XLOOKUP($B10,'GP6'!$C$6:$C$101,'GP6'!$B$6:$B$101,"")</f>
        <v/>
      </c>
      <c r="P10" s="134">
        <f>_xlfn.XLOOKUP(O10,'GP6'!$B$6:$B$55,'GP6'!$A$6:$A$55,0)</f>
        <v>0</v>
      </c>
      <c r="Q10" s="14" t="str">
        <f>_xlfn.XLOOKUP($B10,'GP7'!$C$6:$C$101,'GP7'!$B$6:$B$101,"")</f>
        <v/>
      </c>
      <c r="R10" s="134">
        <f>_xlfn.XLOOKUP(Q10,'GP7'!$B$6:$B$55,'GP7'!$A$6:$A$55,0)</f>
        <v>0</v>
      </c>
      <c r="S10" s="14" t="str">
        <f>_xlfn.XLOOKUP($B10,'GP8'!$C$6:$C$101,'GP8'!$B$6:$B$101,"")</f>
        <v/>
      </c>
      <c r="T10" s="134">
        <f>_xlfn.XLOOKUP(S10,'GP8'!$B$6:$B$55,'GP8'!$A$6:$A$55,0)</f>
        <v>0</v>
      </c>
      <c r="U10" s="14" t="str">
        <f>_xlfn.XLOOKUP(B10,MPW!C$6:C$101,MPW!B$6:B$101,"")</f>
        <v/>
      </c>
      <c r="V10" s="134">
        <f>_xlfn.XLOOKUP(U10,MPW!B$6:B$55,MPW!A$6:A$55,0)</f>
        <v>0</v>
      </c>
      <c r="X10" s="11" t="str">
        <f>_xlfn.XLOOKUP($B10,'PEW1'!$C$6:$C$201,'PEW1'!$B$6:$B$201,"")</f>
        <v/>
      </c>
      <c r="Y10" s="85">
        <f>_xlfn.XLOOKUP(X10,'PEW1'!$B$6:$B$201,'PEW1'!$A$6:$A$201,0)</f>
        <v>0</v>
      </c>
      <c r="Z10" s="11" t="str">
        <f>_xlfn.XLOOKUP($B10,'PEW2'!$C$6:$C$201,'PEW2'!$B$6:$B$201,"")</f>
        <v/>
      </c>
      <c r="AA10" s="85">
        <f>_xlfn.XLOOKUP(Z10,'PEW2'!$B$6:$B$201,'PEW2'!$A$6:$A$201,0)</f>
        <v>0</v>
      </c>
      <c r="AB10" s="11" t="str">
        <f>_xlfn.XLOOKUP($B10,'PEW3'!$C$6:$C$201,'PEW3'!$B$6:$B$201,"")</f>
        <v/>
      </c>
      <c r="AC10" s="85">
        <f>_xlfn.XLOOKUP(AB10,'PEW3'!$B$6:$B$201,'PEW3'!$A$6:$A$201,0)</f>
        <v>0</v>
      </c>
      <c r="AD10" s="11" t="str">
        <f>_xlfn.XLOOKUP($B10,VFC!$C$6:$C$201,VFC!$B$6:$B$201,"")</f>
        <v/>
      </c>
      <c r="AE10" s="85">
        <f>_xlfn.XLOOKUP(AD10,VFC!$B$6:$B$201,VFC!$A$6:$A$201,0)</f>
        <v>0</v>
      </c>
      <c r="AF10" s="11" t="str">
        <f>_xlfn.XLOOKUP($B10,'PEW4'!$C$6:$C$201,'PEW4'!$B$6:$B$201,"")</f>
        <v/>
      </c>
      <c r="AG10" s="85">
        <f>_xlfn.XLOOKUP(AF10,'PEW4'!$B$6:$B$201,'PEW4'!$A$6:$A$201,0)</f>
        <v>0</v>
      </c>
      <c r="AH10" s="11" t="str">
        <f>_xlfn.XLOOKUP($B10,'PEW5'!$C$6:$C$201,'PEW5'!$B$6:$B$201,"")</f>
        <v/>
      </c>
      <c r="AI10" s="85">
        <f>_xlfn.XLOOKUP(AH10,'PEW5'!$B$6:$B$201,'PEW5'!$A$6:$A$201,0)</f>
        <v>0</v>
      </c>
      <c r="AJ10" s="11" t="str">
        <f>_xlfn.XLOOKUP($B10,'PEW6'!$C$6:$C$201,'PEW6'!$B$6:$B$201,"")</f>
        <v/>
      </c>
      <c r="AK10" s="85">
        <f>_xlfn.XLOOKUP(AJ10,'PEW6'!$B$6:$B$201,'PEW6'!$A$6:$A$201,0)</f>
        <v>0</v>
      </c>
      <c r="AL10" s="11" t="str">
        <f>_xlfn.XLOOKUP($B10,'PEW7'!$C$6:$C$201,'PEW7'!$B$6:$B$201,"")</f>
        <v/>
      </c>
      <c r="AM10" s="85">
        <f>_xlfn.XLOOKUP(AL10,'PEW7'!$B$6:$B$201,'PEW7'!$A$6:$A$201,0)</f>
        <v>0</v>
      </c>
      <c r="AN10" s="11" t="str">
        <f>_xlfn.XLOOKUP($B10,'PEW8'!$C$6:$C$201,'PEW8'!$B$6:$B$201,"")</f>
        <v/>
      </c>
      <c r="AO10" s="85">
        <f>_xlfn.XLOOKUP(AN10,'PEW8'!$B$6:$B$201,'PEW8'!$A$6:$A$201,0)</f>
        <v>0</v>
      </c>
      <c r="AP10" s="11" t="str">
        <f>_xlfn.XLOOKUP($B10,'PEW9'!$C$6:$C$201,'PEW9'!$B$6:$B$201,"")</f>
        <v/>
      </c>
      <c r="AQ10" s="85">
        <f>_xlfn.XLOOKUP(AP10,'PEW9'!$B$6:$B$201,'PEW9'!$A$6:$A$201,0)</f>
        <v>0</v>
      </c>
      <c r="AR10" s="11" t="str">
        <f>_xlfn.XLOOKUP($B10,'PEW10'!$C$6:$C$201,'PEW10'!$B$6:$B$201,"")</f>
        <v/>
      </c>
      <c r="AS10" s="85">
        <f>_xlfn.XLOOKUP(AR10,'PEW10'!$B$6:$B$201,'PEW10'!$A$6:$A$201,0)</f>
        <v>0</v>
      </c>
      <c r="AT10" s="11" t="str">
        <f>_xlfn.XLOOKUP($B10,'PEW11'!$C$6:$C$201,'PEW11'!$B$6:$B$201,"")</f>
        <v/>
      </c>
      <c r="AU10" s="85">
        <f>_xlfn.XLOOKUP(AT10,'PEW11'!$B$6:$B$201,'PEW11'!$A$6:$A$201,0)</f>
        <v>0</v>
      </c>
      <c r="AV10" s="11" t="str">
        <f>_xlfn.XLOOKUP($B10,'PEW12'!$C$6:$C$201,'PEW12'!$B$6:$B$201,"")</f>
        <v/>
      </c>
      <c r="AW10" s="85">
        <f>_xlfn.XLOOKUP(AV10,'PEW12'!$B$6:$B$201,'PEW12'!$A$6:$A$201,0)</f>
        <v>0</v>
      </c>
      <c r="AX10" s="11" t="str" cm="1">
        <f t="array" ref="AX10">_xlfn.XLOOKUP($B10,IMEW!C$6:C$201,IMEW!$B$6:B$201,"")</f>
        <v/>
      </c>
      <c r="AY10" s="86">
        <f>_xlfn.XLOOKUP(AX10,IMEW!$B$6:$B$201,IMEW!$A$6:$A$201,0)</f>
        <v>0</v>
      </c>
      <c r="BA10" s="87">
        <f t="shared" si="0"/>
        <v>0</v>
      </c>
      <c r="BB10" s="87">
        <f t="shared" si="1"/>
        <v>0</v>
      </c>
      <c r="BC10" s="87">
        <f t="shared" si="2"/>
        <v>0</v>
      </c>
      <c r="BD10" s="87">
        <f t="shared" si="3"/>
        <v>0</v>
      </c>
      <c r="BE10" s="87">
        <f t="shared" si="4"/>
        <v>0</v>
      </c>
      <c r="BF10" s="87">
        <f t="shared" si="5"/>
        <v>0</v>
      </c>
      <c r="BG10" s="87">
        <f t="shared" si="6"/>
        <v>0</v>
      </c>
    </row>
    <row r="11" spans="1:59" ht="14.8" customHeight="1" x14ac:dyDescent="0.25">
      <c r="A11" s="9">
        <f>ROW()-5</f>
        <v>6</v>
      </c>
      <c r="B11" s="12" t="s">
        <v>24</v>
      </c>
      <c r="C11" s="13"/>
      <c r="D11" s="82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15.458738024508669</v>
      </c>
      <c r="E11" s="14">
        <f>_xlfn.XLOOKUP($B11,'GP1'!$C$6:$C$101,'GP1'!$B$6:$B$101,"")</f>
        <v>5</v>
      </c>
      <c r="F11" s="133">
        <f>_xlfn.XLOOKUP(E11,'GP1'!$B$6:$B$55,'GP1'!$A$6:$A$55,0)</f>
        <v>9.472713708001109</v>
      </c>
      <c r="G11" s="14">
        <f>_xlfn.XLOOKUP($B11,'GP2'!$C$6:$C$101,'GP2'!$B$6:$B$101,"")</f>
        <v>5</v>
      </c>
      <c r="H11" s="133">
        <f>_xlfn.XLOOKUP(G11,'GP2'!$B$6:$B$55,'GP2'!$A$6:$A$55,0)</f>
        <v>5.9860243165075602</v>
      </c>
      <c r="I11" s="14" t="str">
        <f>_xlfn.XLOOKUP($B11,'GP3'!$C$6:$C$101,'GP3'!$B$6:$B$101,"")</f>
        <v/>
      </c>
      <c r="J11" s="83">
        <f>_xlfn.XLOOKUP(I11,'GP3'!$B$6:$B$55,'GP3'!$A$6:$A$55,0)</f>
        <v>0</v>
      </c>
      <c r="K11" s="14" t="str">
        <f>_xlfn.XLOOKUP($B11,'GP4'!$C$6:$C$101,'GP4'!$B$6:$B$101,"")</f>
        <v/>
      </c>
      <c r="L11" s="133">
        <f>_xlfn.XLOOKUP(K11,'GP4'!$B$6:$B$55,'GP4'!$A$6:$A$55,0)</f>
        <v>0</v>
      </c>
      <c r="M11" s="14" t="str">
        <f>_xlfn.XLOOKUP($B11,'GP5'!$C$6:$C$101,'GP5'!$B$6:$B$101,"")</f>
        <v/>
      </c>
      <c r="N11" s="134">
        <f>_xlfn.XLOOKUP(M11,'GP5'!$B$6:$B$55,'GP5'!$A$6:$A$55,0)</f>
        <v>0</v>
      </c>
      <c r="O11" s="14" t="str">
        <f>_xlfn.XLOOKUP($B11,'GP6'!$C$6:$C$101,'GP6'!$B$6:$B$101,"")</f>
        <v/>
      </c>
      <c r="P11" s="134">
        <f>_xlfn.XLOOKUP(O11,'GP6'!$B$6:$B$55,'GP6'!$A$6:$A$55,0)</f>
        <v>0</v>
      </c>
      <c r="Q11" s="14" t="str">
        <f>_xlfn.XLOOKUP($B11,'GP7'!$C$6:$C$101,'GP7'!$B$6:$B$101,"")</f>
        <v/>
      </c>
      <c r="R11" s="134">
        <f>_xlfn.XLOOKUP(Q11,'GP7'!$B$6:$B$55,'GP7'!$A$6:$A$55,0)</f>
        <v>0</v>
      </c>
      <c r="S11" s="14" t="str">
        <f>_xlfn.XLOOKUP($B11,'GP8'!$C$6:$C$101,'GP8'!$B$6:$B$101,"")</f>
        <v/>
      </c>
      <c r="T11" s="134">
        <f>_xlfn.XLOOKUP(S11,'GP8'!$B$6:$B$55,'GP8'!$A$6:$A$55,0)</f>
        <v>0</v>
      </c>
      <c r="U11" s="14" t="str">
        <f>_xlfn.XLOOKUP(B11,MPW!C$6:C$101,MPW!B$6:B$101,"")</f>
        <v/>
      </c>
      <c r="V11" s="134">
        <f>_xlfn.XLOOKUP(U11,MPW!B$6:B$55,MPW!A$6:A$55,0)</f>
        <v>0</v>
      </c>
      <c r="X11" s="11" t="str">
        <f>_xlfn.XLOOKUP($B11,'PEW1'!$C$6:$C$201,'PEW1'!$B$6:$B$201,"")</f>
        <v/>
      </c>
      <c r="Y11" s="85">
        <f>_xlfn.XLOOKUP(X11,'PEW1'!$B$6:$B$201,'PEW1'!$A$6:$A$201,0)</f>
        <v>0</v>
      </c>
      <c r="Z11" s="11" t="str">
        <f>_xlfn.XLOOKUP($B11,'PEW2'!$C$6:$C$201,'PEW2'!$B$6:$B$201,"")</f>
        <v/>
      </c>
      <c r="AA11" s="85">
        <f>_xlfn.XLOOKUP(Z11,'PEW2'!$B$6:$B$201,'PEW2'!$A$6:$A$201,0)</f>
        <v>0</v>
      </c>
      <c r="AB11" s="11" t="str">
        <f>_xlfn.XLOOKUP($B11,'PEW3'!$C$6:$C$201,'PEW3'!$B$6:$B$201,"")</f>
        <v/>
      </c>
      <c r="AC11" s="85">
        <f>_xlfn.XLOOKUP(AB11,'PEW3'!$B$6:$B$201,'PEW3'!$A$6:$A$201,0)</f>
        <v>0</v>
      </c>
      <c r="AD11" s="11" t="str">
        <f>_xlfn.XLOOKUP($B11,VFC!$C$6:$C$201,VFC!$B$6:$B$201,"")</f>
        <v/>
      </c>
      <c r="AE11" s="85">
        <f>_xlfn.XLOOKUP(AD11,VFC!$B$6:$B$201,VFC!$A$6:$A$201,0)</f>
        <v>0</v>
      </c>
      <c r="AF11" s="11" t="str">
        <f>_xlfn.XLOOKUP($B11,'PEW4'!$C$6:$C$201,'PEW4'!$B$6:$B$201,"")</f>
        <v/>
      </c>
      <c r="AG11" s="85">
        <f>_xlfn.XLOOKUP(AF11,'PEW4'!$B$6:$B$201,'PEW4'!$A$6:$A$201,0)</f>
        <v>0</v>
      </c>
      <c r="AH11" s="11" t="str">
        <f>_xlfn.XLOOKUP($B11,'PEW5'!$C$6:$C$201,'PEW5'!$B$6:$B$201,"")</f>
        <v/>
      </c>
      <c r="AI11" s="85">
        <f>_xlfn.XLOOKUP(AH11,'PEW5'!$B$6:$B$201,'PEW5'!$A$6:$A$201,0)</f>
        <v>0</v>
      </c>
      <c r="AJ11" s="11" t="str">
        <f>_xlfn.XLOOKUP($B11,'PEW6'!$C$6:$C$201,'PEW6'!$B$6:$B$201,"")</f>
        <v/>
      </c>
      <c r="AK11" s="85">
        <f>_xlfn.XLOOKUP(AJ11,'PEW6'!$B$6:$B$201,'PEW6'!$A$6:$A$201,0)</f>
        <v>0</v>
      </c>
      <c r="AL11" s="11" t="str">
        <f>_xlfn.XLOOKUP($B11,'PEW7'!$C$6:$C$201,'PEW7'!$B$6:$B$201,"")</f>
        <v/>
      </c>
      <c r="AM11" s="85">
        <f>_xlfn.XLOOKUP(AL11,'PEW7'!$B$6:$B$201,'PEW7'!$A$6:$A$201,0)</f>
        <v>0</v>
      </c>
      <c r="AN11" s="11" t="str">
        <f>_xlfn.XLOOKUP($B11,'PEW8'!$C$6:$C$201,'PEW8'!$B$6:$B$201,"")</f>
        <v/>
      </c>
      <c r="AO11" s="85">
        <f>_xlfn.XLOOKUP(AN11,'PEW8'!$B$6:$B$201,'PEW8'!$A$6:$A$201,0)</f>
        <v>0</v>
      </c>
      <c r="AP11" s="11" t="str">
        <f>_xlfn.XLOOKUP($B11,'PEW9'!$C$6:$C$201,'PEW9'!$B$6:$B$201,"")</f>
        <v/>
      </c>
      <c r="AQ11" s="85">
        <f>_xlfn.XLOOKUP(AP11,'PEW9'!$B$6:$B$201,'PEW9'!$A$6:$A$201,0)</f>
        <v>0</v>
      </c>
      <c r="AR11" s="11" t="str">
        <f>_xlfn.XLOOKUP($B11,'PEW10'!$C$6:$C$201,'PEW10'!$B$6:$B$201,"")</f>
        <v/>
      </c>
      <c r="AS11" s="85">
        <f>_xlfn.XLOOKUP(AR11,'PEW10'!$B$6:$B$201,'PEW10'!$A$6:$A$201,0)</f>
        <v>0</v>
      </c>
      <c r="AT11" s="11" t="str">
        <f>_xlfn.XLOOKUP($B11,'PEW11'!$C$6:$C$201,'PEW11'!$B$6:$B$201,"")</f>
        <v/>
      </c>
      <c r="AU11" s="85">
        <f>_xlfn.XLOOKUP(AT11,'PEW11'!$B$6:$B$201,'PEW11'!$A$6:$A$201,0)</f>
        <v>0</v>
      </c>
      <c r="AV11" s="11" t="str">
        <f>_xlfn.XLOOKUP($B11,'PEW12'!$C$6:$C$201,'PEW12'!$B$6:$B$201,"")</f>
        <v/>
      </c>
      <c r="AW11" s="85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86">
        <f>_xlfn.XLOOKUP(AX11,IMEW!$B$6:$B$201,IMEW!$A$6:$A$201,0)</f>
        <v>0</v>
      </c>
      <c r="BA11" s="87">
        <f t="shared" si="0"/>
        <v>0</v>
      </c>
      <c r="BB11" s="87">
        <f t="shared" si="1"/>
        <v>0</v>
      </c>
      <c r="BC11" s="87">
        <f t="shared" si="2"/>
        <v>0</v>
      </c>
      <c r="BD11" s="87">
        <f t="shared" si="3"/>
        <v>0</v>
      </c>
      <c r="BE11" s="87">
        <f t="shared" si="4"/>
        <v>0</v>
      </c>
      <c r="BF11" s="87">
        <f t="shared" si="5"/>
        <v>0</v>
      </c>
      <c r="BG11" s="87">
        <f t="shared" si="6"/>
        <v>0</v>
      </c>
    </row>
    <row r="12" spans="1:59" ht="14.8" customHeight="1" x14ac:dyDescent="0.25">
      <c r="A12" s="9">
        <f>ROW()-5</f>
        <v>7</v>
      </c>
      <c r="B12" s="12" t="s">
        <v>100</v>
      </c>
      <c r="C12" s="138"/>
      <c r="D12" s="82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5.3267487109222245</v>
      </c>
      <c r="E12" s="14" t="str">
        <f>_xlfn.XLOOKUP($B12,'GP1'!$C$6:$C$101,'GP1'!$B$6:$B$101,"")</f>
        <v/>
      </c>
      <c r="F12" s="133">
        <f>_xlfn.XLOOKUP(E12,'GP1'!$B$6:$B$55,'GP1'!$A$6:$A$55,0)</f>
        <v>0</v>
      </c>
      <c r="G12" s="14" t="str">
        <f>_xlfn.XLOOKUP($B12,'GP2'!$C$6:$C$101,'GP2'!$B$6:$B$101,"")</f>
        <v/>
      </c>
      <c r="H12" s="133">
        <f>_xlfn.XLOOKUP(G12,'GP2'!$B$6:$B$55,'GP2'!$A$6:$A$55,0)</f>
        <v>0</v>
      </c>
      <c r="I12" s="14" t="str">
        <f>_xlfn.XLOOKUP($B12,'GP3'!$C$6:$C$101,'GP3'!$B$6:$B$101,"")</f>
        <v/>
      </c>
      <c r="J12" s="83">
        <f>_xlfn.XLOOKUP(I12,'GP3'!$B$6:$B$55,'GP3'!$A$6:$A$55,0)</f>
        <v>0</v>
      </c>
      <c r="K12" s="14" t="str">
        <f>_xlfn.XLOOKUP($B12,'GP4'!$C$6:$C$101,'GP4'!$B$6:$B$101,"")</f>
        <v/>
      </c>
      <c r="L12" s="133">
        <f>_xlfn.XLOOKUP(K12,'GP4'!$B$6:$B$55,'GP4'!$A$6:$A$55,0)</f>
        <v>0</v>
      </c>
      <c r="M12" s="14" t="str">
        <f>_xlfn.XLOOKUP($B12,'GP5'!$C$6:$C$101,'GP5'!$B$6:$B$101,"")</f>
        <v/>
      </c>
      <c r="N12" s="134">
        <f>_xlfn.XLOOKUP(M12,'GP5'!$B$6:$B$55,'GP5'!$A$6:$A$55,0)</f>
        <v>0</v>
      </c>
      <c r="O12" s="14" t="str">
        <f>_xlfn.XLOOKUP($B12,'GP6'!$C$6:$C$101,'GP6'!$B$6:$B$101,"")</f>
        <v/>
      </c>
      <c r="P12" s="134">
        <f>_xlfn.XLOOKUP(O12,'GP6'!$B$6:$B$55,'GP6'!$A$6:$A$55,0)</f>
        <v>0</v>
      </c>
      <c r="Q12" s="14" t="str">
        <f>_xlfn.XLOOKUP($B12,'GP7'!$C$6:$C$101,'GP7'!$B$6:$B$101,"")</f>
        <v/>
      </c>
      <c r="R12" s="134">
        <f>_xlfn.XLOOKUP(Q12,'GP7'!$B$6:$B$55,'GP7'!$A$6:$A$55,0)</f>
        <v>0</v>
      </c>
      <c r="S12" s="14">
        <f>_xlfn.XLOOKUP($B12,'GP8'!$C$6:$C$101,'GP8'!$B$6:$B$101,"")</f>
        <v>3</v>
      </c>
      <c r="T12" s="134">
        <f>_xlfn.XLOOKUP(S12,'GP8'!$B$6:$B$55,'GP8'!$A$6:$A$55,0)</f>
        <v>5.3267487109222245</v>
      </c>
      <c r="U12" s="14" t="str">
        <f>_xlfn.XLOOKUP(B12,MPW!C$6:C$101,MPW!B$6:B$101,"")</f>
        <v/>
      </c>
      <c r="V12" s="134">
        <f>_xlfn.XLOOKUP(U12,MPW!B$6:B$55,MPW!A$6:A$55,0)</f>
        <v>0</v>
      </c>
      <c r="X12" s="11" t="str">
        <f>_xlfn.XLOOKUP($B12,'PEW1'!$C$6:$C$201,'PEW1'!$B$6:$B$201,"")</f>
        <v/>
      </c>
      <c r="Y12" s="85">
        <f>_xlfn.XLOOKUP(X12,'PEW1'!$B$6:$B$201,'PEW1'!$A$6:$A$201,0)</f>
        <v>0</v>
      </c>
      <c r="Z12" s="11" t="str">
        <f>_xlfn.XLOOKUP($B12,'PEW2'!$C$6:$C$201,'PEW2'!$B$6:$B$201,"")</f>
        <v/>
      </c>
      <c r="AA12" s="85">
        <f>_xlfn.XLOOKUP(Z12,'PEW2'!$B$6:$B$201,'PEW2'!$A$6:$A$201,0)</f>
        <v>0</v>
      </c>
      <c r="AB12" s="11" t="str">
        <f>_xlfn.XLOOKUP($B12,'PEW3'!$C$6:$C$201,'PEW3'!$B$6:$B$201,"")</f>
        <v/>
      </c>
      <c r="AC12" s="85">
        <f>_xlfn.XLOOKUP(AB12,'PEW3'!$B$6:$B$201,'PEW3'!$A$6:$A$201,0)</f>
        <v>0</v>
      </c>
      <c r="AD12" s="11" t="str">
        <f>_xlfn.XLOOKUP($B12,VFC!$C$6:$C$201,VFC!$B$6:$B$201,"")</f>
        <v/>
      </c>
      <c r="AE12" s="85">
        <f>_xlfn.XLOOKUP(AD12,VFC!$B$6:$B$201,VFC!$A$6:$A$201,0)</f>
        <v>0</v>
      </c>
      <c r="AF12" s="11" t="str">
        <f>_xlfn.XLOOKUP($B12,'PEW4'!$C$6:$C$201,'PEW4'!$B$6:$B$201,"")</f>
        <v/>
      </c>
      <c r="AG12" s="85">
        <f>_xlfn.XLOOKUP(AF12,'PEW4'!$B$6:$B$201,'PEW4'!$A$6:$A$201,0)</f>
        <v>0</v>
      </c>
      <c r="AH12" s="11" t="str">
        <f>_xlfn.XLOOKUP($B12,'PEW5'!$C$6:$C$201,'PEW5'!$B$6:$B$201,"")</f>
        <v/>
      </c>
      <c r="AI12" s="85">
        <f>_xlfn.XLOOKUP(AH12,'PEW5'!$B$6:$B$201,'PEW5'!$A$6:$A$201,0)</f>
        <v>0</v>
      </c>
      <c r="AJ12" s="11" t="str">
        <f>_xlfn.XLOOKUP($B12,'PEW6'!$C$6:$C$201,'PEW6'!$B$6:$B$201,"")</f>
        <v/>
      </c>
      <c r="AK12" s="85">
        <f>_xlfn.XLOOKUP(AJ12,'PEW6'!$B$6:$B$201,'PEW6'!$A$6:$A$201,0)</f>
        <v>0</v>
      </c>
      <c r="AL12" s="11" t="str">
        <f>_xlfn.XLOOKUP($B12,'PEW7'!$C$6:$C$201,'PEW7'!$B$6:$B$201,"")</f>
        <v/>
      </c>
      <c r="AM12" s="85">
        <f>_xlfn.XLOOKUP(AL12,'PEW7'!$B$6:$B$201,'PEW7'!$A$6:$A$201,0)</f>
        <v>0</v>
      </c>
      <c r="AN12" s="11" t="str">
        <f>_xlfn.XLOOKUP($B12,'PEW8'!$C$6:$C$201,'PEW8'!$B$6:$B$201,"")</f>
        <v/>
      </c>
      <c r="AO12" s="85">
        <f>_xlfn.XLOOKUP(AN12,'PEW8'!$B$6:$B$201,'PEW8'!$A$6:$A$201,0)</f>
        <v>0</v>
      </c>
      <c r="AP12" s="11" t="str">
        <f>_xlfn.XLOOKUP($B12,'PEW9'!$C$6:$C$201,'PEW9'!$B$6:$B$201,"")</f>
        <v/>
      </c>
      <c r="AQ12" s="85">
        <f>_xlfn.XLOOKUP(AP12,'PEW9'!$B$6:$B$201,'PEW9'!$A$6:$A$201,0)</f>
        <v>0</v>
      </c>
      <c r="AR12" s="11" t="str">
        <f>_xlfn.XLOOKUP($B12,'PEW10'!$C$6:$C$201,'PEW10'!$B$6:$B$201,"")</f>
        <v/>
      </c>
      <c r="AS12" s="85">
        <f>_xlfn.XLOOKUP(AR12,'PEW10'!$B$6:$B$201,'PEW10'!$A$6:$A$201,0)</f>
        <v>0</v>
      </c>
      <c r="AT12" s="11" t="str">
        <f>_xlfn.XLOOKUP($B12,'PEW11'!$C$6:$C$201,'PEW11'!$B$6:$B$201,"")</f>
        <v/>
      </c>
      <c r="AU12" s="85">
        <f>_xlfn.XLOOKUP(AT12,'PEW11'!$B$6:$B$201,'PEW11'!$A$6:$A$201,0)</f>
        <v>0</v>
      </c>
      <c r="AV12" s="11" t="str">
        <f>_xlfn.XLOOKUP($B12,'PEW12'!$C$6:$C$201,'PEW12'!$B$6:$B$201,"")</f>
        <v/>
      </c>
      <c r="AW12" s="85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86">
        <f>_xlfn.XLOOKUP(AX12,IMEW!$B$6:$B$201,IMEW!$A$6:$A$201,0)</f>
        <v>0</v>
      </c>
      <c r="BA12" s="87">
        <f t="shared" si="0"/>
        <v>0</v>
      </c>
      <c r="BB12" s="87">
        <f t="shared" si="1"/>
        <v>0</v>
      </c>
      <c r="BC12" s="87">
        <f t="shared" si="2"/>
        <v>0</v>
      </c>
      <c r="BD12" s="87">
        <f t="shared" si="3"/>
        <v>0</v>
      </c>
      <c r="BE12" s="87">
        <f t="shared" si="4"/>
        <v>0</v>
      </c>
      <c r="BF12" s="87">
        <f t="shared" si="5"/>
        <v>0</v>
      </c>
      <c r="BG12" s="87">
        <f t="shared" si="6"/>
        <v>0</v>
      </c>
    </row>
    <row r="13" spans="1:59" ht="14.8" customHeight="1" x14ac:dyDescent="0.25">
      <c r="A13" s="9">
        <f>ROW()-5</f>
        <v>8</v>
      </c>
      <c r="B13" s="10" t="s">
        <v>25</v>
      </c>
      <c r="C13" s="13"/>
      <c r="D13" s="82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2</v>
      </c>
      <c r="E13" s="14">
        <f>_xlfn.XLOOKUP($B13,'GP1'!$C$6:$C$101,'GP1'!$B$6:$B$101,"")</f>
        <v>7</v>
      </c>
      <c r="F13" s="133">
        <f>_xlfn.XLOOKUP(E13,'GP1'!$B$6:$B$55,'GP1'!$A$6:$A$55,0)</f>
        <v>1</v>
      </c>
      <c r="G13" s="14">
        <f>_xlfn.XLOOKUP($B13,'GP2'!$C$6:$C$101,'GP2'!$B$6:$B$101,"")</f>
        <v>6</v>
      </c>
      <c r="H13" s="133">
        <f>_xlfn.XLOOKUP(G13,'GP2'!$B$6:$B$55,'GP2'!$A$6:$A$55,0)</f>
        <v>1</v>
      </c>
      <c r="I13" s="14" t="str">
        <f>_xlfn.XLOOKUP($B13,'GP3'!$C$6:$C$101,'GP3'!$B$6:$B$101,"")</f>
        <v/>
      </c>
      <c r="J13" s="83">
        <f>_xlfn.XLOOKUP(I13,'GP3'!$B$6:$B$55,'GP3'!$A$6:$A$55,0)</f>
        <v>0</v>
      </c>
      <c r="K13" s="14" t="str">
        <f>_xlfn.XLOOKUP($B13,'GP4'!$C$6:$C$101,'GP4'!$B$6:$B$101,"")</f>
        <v/>
      </c>
      <c r="L13" s="133">
        <f>_xlfn.XLOOKUP(K13,'GP4'!$B$6:$B$55,'GP4'!$A$6:$A$55,0)</f>
        <v>0</v>
      </c>
      <c r="M13" s="14" t="str">
        <f>_xlfn.XLOOKUP($B13,'GP5'!$C$6:$C$101,'GP5'!$B$6:$B$101,"")</f>
        <v/>
      </c>
      <c r="N13" s="134">
        <f>_xlfn.XLOOKUP(M13,'GP5'!$B$6:$B$55,'GP5'!$A$6:$A$55,0)</f>
        <v>0</v>
      </c>
      <c r="O13" s="14" t="str">
        <f>_xlfn.XLOOKUP($B13,'GP6'!$C$6:$C$101,'GP6'!$B$6:$B$101,"")</f>
        <v/>
      </c>
      <c r="P13" s="134">
        <f>_xlfn.XLOOKUP(O13,'GP6'!$B$6:$B$55,'GP6'!$A$6:$A$55,0)</f>
        <v>0</v>
      </c>
      <c r="Q13" s="14" t="str">
        <f>_xlfn.XLOOKUP($B13,'GP7'!$C$6:$C$101,'GP7'!$B$6:$B$101,"")</f>
        <v/>
      </c>
      <c r="R13" s="134">
        <f>_xlfn.XLOOKUP(Q13,'GP7'!$B$6:$B$55,'GP7'!$A$6:$A$55,0)</f>
        <v>0</v>
      </c>
      <c r="S13" s="14" t="str">
        <f>_xlfn.XLOOKUP($B13,'GP8'!$C$6:$C$101,'GP8'!$B$6:$B$101,"")</f>
        <v/>
      </c>
      <c r="T13" s="134">
        <f>_xlfn.XLOOKUP(S13,'GP8'!$B$6:$B$55,'GP8'!$A$6:$A$55,0)</f>
        <v>0</v>
      </c>
      <c r="U13" s="14" t="str">
        <f>_xlfn.XLOOKUP(B13,MPW!C$6:C$101,MPW!B$6:B$101,"")</f>
        <v/>
      </c>
      <c r="V13" s="134">
        <f>_xlfn.XLOOKUP(U13,MPW!B$6:B$55,MPW!A$6:A$55,0)</f>
        <v>0</v>
      </c>
      <c r="X13" s="11" t="str">
        <f>_xlfn.XLOOKUP($B13,'PEW1'!$C$6:$C$201,'PEW1'!$B$6:$B$201,"")</f>
        <v/>
      </c>
      <c r="Y13" s="85">
        <f>_xlfn.XLOOKUP(X13,'PEW1'!$B$6:$B$201,'PEW1'!$A$6:$A$201,0)</f>
        <v>0</v>
      </c>
      <c r="Z13" s="11" t="str">
        <f>_xlfn.XLOOKUP($B13,'PEW2'!$C$6:$C$201,'PEW2'!$B$6:$B$201,"")</f>
        <v/>
      </c>
      <c r="AA13" s="85">
        <f>_xlfn.XLOOKUP(Z13,'PEW2'!$B$6:$B$201,'PEW2'!$A$6:$A$201,0)</f>
        <v>0</v>
      </c>
      <c r="AB13" s="11" t="str">
        <f>_xlfn.XLOOKUP($B13,'PEW3'!$C$6:$C$201,'PEW3'!$B$6:$B$201,"")</f>
        <v/>
      </c>
      <c r="AC13" s="85">
        <f>_xlfn.XLOOKUP(AB13,'PEW3'!$B$6:$B$201,'PEW3'!$A$6:$A$201,0)</f>
        <v>0</v>
      </c>
      <c r="AD13" s="11" t="str">
        <f>_xlfn.XLOOKUP($B13,VFC!$C$6:$C$201,VFC!$B$6:$B$201,"")</f>
        <v/>
      </c>
      <c r="AE13" s="85">
        <f>_xlfn.XLOOKUP(AD13,VFC!$B$6:$B$201,VFC!$A$6:$A$201,0)</f>
        <v>0</v>
      </c>
      <c r="AF13" s="11" t="str">
        <f>_xlfn.XLOOKUP($B13,'PEW4'!$C$6:$C$201,'PEW4'!$B$6:$B$201,"")</f>
        <v/>
      </c>
      <c r="AG13" s="85">
        <f>_xlfn.XLOOKUP(AF13,'PEW4'!$B$6:$B$201,'PEW4'!$A$6:$A$201,0)</f>
        <v>0</v>
      </c>
      <c r="AH13" s="11" t="str">
        <f>_xlfn.XLOOKUP($B13,'PEW5'!$C$6:$C$201,'PEW5'!$B$6:$B$201,"")</f>
        <v/>
      </c>
      <c r="AI13" s="85">
        <f>_xlfn.XLOOKUP(AH13,'PEW5'!$B$6:$B$201,'PEW5'!$A$6:$A$201,0)</f>
        <v>0</v>
      </c>
      <c r="AJ13" s="11" t="str">
        <f>_xlfn.XLOOKUP($B13,'PEW6'!$C$6:$C$201,'PEW6'!$B$6:$B$201,"")</f>
        <v/>
      </c>
      <c r="AK13" s="85">
        <f>_xlfn.XLOOKUP(AJ13,'PEW6'!$B$6:$B$201,'PEW6'!$A$6:$A$201,0)</f>
        <v>0</v>
      </c>
      <c r="AL13" s="11" t="str">
        <f>_xlfn.XLOOKUP($B13,'PEW7'!$C$6:$C$201,'PEW7'!$B$6:$B$201,"")</f>
        <v/>
      </c>
      <c r="AM13" s="85">
        <f>_xlfn.XLOOKUP(AL13,'PEW7'!$B$6:$B$201,'PEW7'!$A$6:$A$201,0)</f>
        <v>0</v>
      </c>
      <c r="AN13" s="11" t="str">
        <f>_xlfn.XLOOKUP($B13,'PEW8'!$C$6:$C$201,'PEW8'!$B$6:$B$201,"")</f>
        <v/>
      </c>
      <c r="AO13" s="85">
        <f>_xlfn.XLOOKUP(AN13,'PEW8'!$B$6:$B$201,'PEW8'!$A$6:$A$201,0)</f>
        <v>0</v>
      </c>
      <c r="AP13" s="11" t="str">
        <f>_xlfn.XLOOKUP($B13,'PEW9'!$C$6:$C$201,'PEW9'!$B$6:$B$201,"")</f>
        <v/>
      </c>
      <c r="AQ13" s="85">
        <f>_xlfn.XLOOKUP(AP13,'PEW9'!$B$6:$B$201,'PEW9'!$A$6:$A$201,0)</f>
        <v>0</v>
      </c>
      <c r="AR13" s="11" t="str">
        <f>_xlfn.XLOOKUP($B13,'PEW10'!$C$6:$C$201,'PEW10'!$B$6:$B$201,"")</f>
        <v/>
      </c>
      <c r="AS13" s="85">
        <f>_xlfn.XLOOKUP(AR13,'PEW10'!$B$6:$B$201,'PEW10'!$A$6:$A$201,0)</f>
        <v>0</v>
      </c>
      <c r="AT13" s="11" t="str">
        <f>_xlfn.XLOOKUP($B13,'PEW11'!$C$6:$C$201,'PEW11'!$B$6:$B$201,"")</f>
        <v/>
      </c>
      <c r="AU13" s="85">
        <f>_xlfn.XLOOKUP(AT13,'PEW11'!$B$6:$B$201,'PEW11'!$A$6:$A$201,0)</f>
        <v>0</v>
      </c>
      <c r="AV13" s="11" t="str">
        <f>_xlfn.XLOOKUP($B13,'PEW12'!$C$6:$C$201,'PEW12'!$B$6:$B$201,"")</f>
        <v/>
      </c>
      <c r="AW13" s="85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86">
        <f>_xlfn.XLOOKUP(AX13,IMEW!$B$6:$B$201,IMEW!$A$6:$A$201,0)</f>
        <v>0</v>
      </c>
      <c r="BA13" s="87">
        <f t="shared" si="0"/>
        <v>0</v>
      </c>
      <c r="BB13" s="87">
        <f t="shared" si="1"/>
        <v>0</v>
      </c>
      <c r="BC13" s="87">
        <f t="shared" si="2"/>
        <v>0</v>
      </c>
      <c r="BD13" s="87">
        <f t="shared" si="3"/>
        <v>0</v>
      </c>
      <c r="BE13" s="87">
        <f t="shared" si="4"/>
        <v>0</v>
      </c>
      <c r="BF13" s="87">
        <f t="shared" si="5"/>
        <v>0</v>
      </c>
      <c r="BG13" s="87">
        <f t="shared" si="6"/>
        <v>0</v>
      </c>
    </row>
    <row r="14" spans="1:59" ht="14.8" customHeight="1" x14ac:dyDescent="0.25">
      <c r="A14" s="9">
        <f>ROW()-5</f>
        <v>9</v>
      </c>
      <c r="B14" s="12"/>
      <c r="C14" s="13"/>
      <c r="D14" s="82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4" t="str">
        <f>_xlfn.XLOOKUP($B14,'GP1'!$C$6:$C$101,'GP1'!$B$6:$B$101,"")</f>
        <v/>
      </c>
      <c r="F14" s="133">
        <f>_xlfn.XLOOKUP(E14,'GP1'!$B$6:$B$55,'GP1'!$A$6:$A$55,0)</f>
        <v>0</v>
      </c>
      <c r="G14" s="14">
        <f>_xlfn.XLOOKUP($B14,'GP2'!$C$6:$C$101,'GP2'!$B$6:$B$101,"")</f>
        <v>0</v>
      </c>
      <c r="H14" s="133">
        <f>_xlfn.XLOOKUP(G14,'GP2'!$B$6:$B$55,'GP2'!$A$6:$A$55,0)</f>
        <v>0</v>
      </c>
      <c r="I14" s="14" t="str">
        <f>_xlfn.XLOOKUP($B14,'GP3'!$C$6:$C$101,'GP3'!$B$6:$B$101,"")</f>
        <v/>
      </c>
      <c r="J14" s="83">
        <f>_xlfn.XLOOKUP(I14,'GP3'!$B$6:$B$55,'GP3'!$A$6:$A$55,0)</f>
        <v>0</v>
      </c>
      <c r="K14" s="14" t="str">
        <f>_xlfn.XLOOKUP($B14,'GP4'!$C$6:$C$101,'GP4'!$B$6:$B$101,"")</f>
        <v/>
      </c>
      <c r="L14" s="133">
        <f>_xlfn.XLOOKUP(K14,'GP4'!$B$6:$B$55,'GP4'!$A$6:$A$55,0)</f>
        <v>0</v>
      </c>
      <c r="M14" s="14">
        <f>_xlfn.XLOOKUP($B14,'GP5'!$C$6:$C$101,'GP5'!$B$6:$B$101,"")</f>
        <v>0</v>
      </c>
      <c r="N14" s="134">
        <f>_xlfn.XLOOKUP(M14,'GP5'!$B$6:$B$55,'GP5'!$A$6:$A$55,0)</f>
        <v>0</v>
      </c>
      <c r="O14" s="14">
        <f>_xlfn.XLOOKUP($B14,'GP6'!$C$6:$C$101,'GP6'!$B$6:$B$101,"")</f>
        <v>0</v>
      </c>
      <c r="P14" s="134">
        <f>_xlfn.XLOOKUP(O14,'GP6'!$B$6:$B$55,'GP6'!$A$6:$A$55,0)</f>
        <v>0</v>
      </c>
      <c r="Q14" s="14" t="str">
        <f>_xlfn.XLOOKUP($B14,'GP7'!$C$6:$C$101,'GP7'!$B$6:$B$101,"")</f>
        <v/>
      </c>
      <c r="R14" s="134">
        <f>_xlfn.XLOOKUP(Q14,'GP7'!$B$6:$B$55,'GP7'!$A$6:$A$55,0)</f>
        <v>0</v>
      </c>
      <c r="S14" s="14" t="str">
        <f>_xlfn.XLOOKUP($B14,'GP8'!$C$6:$C$101,'GP8'!$B$6:$B$101,"")</f>
        <v/>
      </c>
      <c r="T14" s="134">
        <f>_xlfn.XLOOKUP(S14,'GP8'!$B$6:$B$55,'GP8'!$A$6:$A$55,0)</f>
        <v>0</v>
      </c>
      <c r="U14" s="14" t="str">
        <f>_xlfn.XLOOKUP(B14,MPW!C$6:C$101,MPW!B$6:B$101,"")</f>
        <v/>
      </c>
      <c r="V14" s="134">
        <f>_xlfn.XLOOKUP(U14,MPW!B$6:B$55,MPW!A$6:A$55,0)</f>
        <v>0</v>
      </c>
      <c r="X14" s="11" t="str">
        <f>_xlfn.XLOOKUP($B14,'PEW1'!$C$6:$C$201,'PEW1'!$B$6:$B$201,"")</f>
        <v/>
      </c>
      <c r="Y14" s="85">
        <f>_xlfn.XLOOKUP(X14,'PEW1'!$B$6:$B$201,'PEW1'!$A$6:$A$201,0)</f>
        <v>0</v>
      </c>
      <c r="Z14" s="11" t="str">
        <f>_xlfn.XLOOKUP($B14,'PEW2'!$C$6:$C$201,'PEW2'!$B$6:$B$201,"")</f>
        <v/>
      </c>
      <c r="AA14" s="85">
        <f>_xlfn.XLOOKUP(Z14,'PEW2'!$B$6:$B$201,'PEW2'!$A$6:$A$201,0)</f>
        <v>0</v>
      </c>
      <c r="AB14" s="11" t="str">
        <f>_xlfn.XLOOKUP($B14,'PEW3'!$C$6:$C$201,'PEW3'!$B$6:$B$201,"")</f>
        <v/>
      </c>
      <c r="AC14" s="85">
        <f>_xlfn.XLOOKUP(AB14,'PEW3'!$B$6:$B$201,'PEW3'!$A$6:$A$201,0)</f>
        <v>0</v>
      </c>
      <c r="AD14" s="11" t="str">
        <f>_xlfn.XLOOKUP($B14,VFC!$C$6:$C$201,VFC!$B$6:$B$201,"")</f>
        <v/>
      </c>
      <c r="AE14" s="85">
        <f>_xlfn.XLOOKUP(AD14,VFC!$B$6:$B$201,VFC!$A$6:$A$201,0)</f>
        <v>0</v>
      </c>
      <c r="AF14" s="11" t="str">
        <f>_xlfn.XLOOKUP($B14,'PEW4'!$C$6:$C$201,'PEW4'!$B$6:$B$201,"")</f>
        <v/>
      </c>
      <c r="AG14" s="85">
        <f>_xlfn.XLOOKUP(AF14,'PEW4'!$B$6:$B$201,'PEW4'!$A$6:$A$201,0)</f>
        <v>0</v>
      </c>
      <c r="AH14" s="11" t="str">
        <f>_xlfn.XLOOKUP($B14,'PEW5'!$C$6:$C$201,'PEW5'!$B$6:$B$201,"")</f>
        <v/>
      </c>
      <c r="AI14" s="85">
        <f>_xlfn.XLOOKUP(AH14,'PEW5'!$B$6:$B$201,'PEW5'!$A$6:$A$201,0)</f>
        <v>0</v>
      </c>
      <c r="AJ14" s="11" t="str">
        <f>_xlfn.XLOOKUP($B14,'PEW6'!$C$6:$C$201,'PEW6'!$B$6:$B$201,"")</f>
        <v/>
      </c>
      <c r="AK14" s="85">
        <f>_xlfn.XLOOKUP(AJ14,'PEW6'!$B$6:$B$201,'PEW6'!$A$6:$A$201,0)</f>
        <v>0</v>
      </c>
      <c r="AL14" s="11" t="str">
        <f>_xlfn.XLOOKUP($B14,'PEW7'!$C$6:$C$201,'PEW7'!$B$6:$B$201,"")</f>
        <v/>
      </c>
      <c r="AM14" s="85">
        <f>_xlfn.XLOOKUP(AL14,'PEW7'!$B$6:$B$201,'PEW7'!$A$6:$A$201,0)</f>
        <v>0</v>
      </c>
      <c r="AN14" s="11" t="str">
        <f>_xlfn.XLOOKUP($B14,'PEW8'!$C$6:$C$201,'PEW8'!$B$6:$B$201,"")</f>
        <v/>
      </c>
      <c r="AO14" s="85">
        <f>_xlfn.XLOOKUP(AN14,'PEW8'!$B$6:$B$201,'PEW8'!$A$6:$A$201,0)</f>
        <v>0</v>
      </c>
      <c r="AP14" s="11" t="str">
        <f>_xlfn.XLOOKUP($B14,'PEW9'!$C$6:$C$201,'PEW9'!$B$6:$B$201,"")</f>
        <v/>
      </c>
      <c r="AQ14" s="85">
        <f>_xlfn.XLOOKUP(AP14,'PEW9'!$B$6:$B$201,'PEW9'!$A$6:$A$201,0)</f>
        <v>0</v>
      </c>
      <c r="AR14" s="11" t="str">
        <f>_xlfn.XLOOKUP($B14,'PEW10'!$C$6:$C$201,'PEW10'!$B$6:$B$201,"")</f>
        <v/>
      </c>
      <c r="AS14" s="85">
        <f>_xlfn.XLOOKUP(AR14,'PEW10'!$B$6:$B$201,'PEW10'!$A$6:$A$201,0)</f>
        <v>0</v>
      </c>
      <c r="AT14" s="11" t="str">
        <f>_xlfn.XLOOKUP($B14,'PEW11'!$C$6:$C$201,'PEW11'!$B$6:$B$201,"")</f>
        <v/>
      </c>
      <c r="AU14" s="85">
        <f>_xlfn.XLOOKUP(AT14,'PEW11'!$B$6:$B$201,'PEW11'!$A$6:$A$201,0)</f>
        <v>0</v>
      </c>
      <c r="AV14" s="11" t="str">
        <f>_xlfn.XLOOKUP($B14,'PEW12'!$C$6:$C$201,'PEW12'!$B$6:$B$201,"")</f>
        <v/>
      </c>
      <c r="AW14" s="85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86">
        <f>_xlfn.XLOOKUP(AX14,IMEW!$B$6:$B$201,IMEW!$A$6:$A$201,0)</f>
        <v>0</v>
      </c>
      <c r="BA14" s="87">
        <f t="shared" si="0"/>
        <v>0</v>
      </c>
      <c r="BB14" s="87">
        <f t="shared" si="1"/>
        <v>0</v>
      </c>
      <c r="BC14" s="87">
        <f t="shared" si="2"/>
        <v>0</v>
      </c>
      <c r="BD14" s="87">
        <f t="shared" si="3"/>
        <v>0</v>
      </c>
      <c r="BE14" s="87">
        <f t="shared" si="4"/>
        <v>0</v>
      </c>
      <c r="BF14" s="87">
        <f t="shared" si="5"/>
        <v>0</v>
      </c>
      <c r="BG14" s="87">
        <f t="shared" si="6"/>
        <v>0</v>
      </c>
    </row>
    <row r="15" spans="1:59" ht="14.8" customHeight="1" x14ac:dyDescent="0.25">
      <c r="A15" s="9">
        <f>ROW()-5</f>
        <v>10</v>
      </c>
      <c r="B15" s="12"/>
      <c r="C15" s="13"/>
      <c r="D15" s="82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4" t="str">
        <f>_xlfn.XLOOKUP($B15,'GP1'!$C$6:$C$101,'GP1'!$B$6:$B$101,"")</f>
        <v/>
      </c>
      <c r="F15" s="133">
        <f>_xlfn.XLOOKUP(E15,'GP1'!$B$6:$B$55,'GP1'!$A$6:$A$55,0)</f>
        <v>0</v>
      </c>
      <c r="G15" s="14">
        <f>_xlfn.XLOOKUP($B15,'GP2'!$C$6:$C$101,'GP2'!$B$6:$B$101,"")</f>
        <v>0</v>
      </c>
      <c r="H15" s="133">
        <f>_xlfn.XLOOKUP(G15,'GP2'!$B$6:$B$55,'GP2'!$A$6:$A$55,0)</f>
        <v>0</v>
      </c>
      <c r="I15" s="14" t="str">
        <f>_xlfn.XLOOKUP($B15,'GP3'!$C$6:$C$101,'GP3'!$B$6:$B$101,"")</f>
        <v/>
      </c>
      <c r="J15" s="83">
        <f>_xlfn.XLOOKUP(I15,'GP3'!$B$6:$B$55,'GP3'!$A$6:$A$55,0)</f>
        <v>0</v>
      </c>
      <c r="K15" s="14" t="str">
        <f>_xlfn.XLOOKUP($B15,'GP4'!$C$6:$C$101,'GP4'!$B$6:$B$101,"")</f>
        <v/>
      </c>
      <c r="L15" s="133">
        <f>_xlfn.XLOOKUP(K15,'GP4'!$B$6:$B$55,'GP4'!$A$6:$A$55,0)</f>
        <v>0</v>
      </c>
      <c r="M15" s="14">
        <f>_xlfn.XLOOKUP($B15,'GP5'!$C$6:$C$101,'GP5'!$B$6:$B$101,"")</f>
        <v>0</v>
      </c>
      <c r="N15" s="134">
        <f>_xlfn.XLOOKUP(M15,'GP5'!$B$6:$B$55,'GP5'!$A$6:$A$55,0)</f>
        <v>0</v>
      </c>
      <c r="O15" s="14">
        <f>_xlfn.XLOOKUP($B15,'GP6'!$C$6:$C$101,'GP6'!$B$6:$B$101,"")</f>
        <v>0</v>
      </c>
      <c r="P15" s="134">
        <f>_xlfn.XLOOKUP(O15,'GP6'!$B$6:$B$55,'GP6'!$A$6:$A$55,0)</f>
        <v>0</v>
      </c>
      <c r="Q15" s="14" t="str">
        <f>_xlfn.XLOOKUP($B15,'GP7'!$C$6:$C$101,'GP7'!$B$6:$B$101,"")</f>
        <v/>
      </c>
      <c r="R15" s="134">
        <f>_xlfn.XLOOKUP(Q15,'GP7'!$B$6:$B$55,'GP7'!$A$6:$A$55,0)</f>
        <v>0</v>
      </c>
      <c r="S15" s="14" t="str">
        <f>_xlfn.XLOOKUP($B15,'GP8'!$C$6:$C$101,'GP8'!$B$6:$B$101,"")</f>
        <v/>
      </c>
      <c r="T15" s="134">
        <f>_xlfn.XLOOKUP(S15,'GP8'!$B$6:$B$55,'GP8'!$A$6:$A$55,0)</f>
        <v>0</v>
      </c>
      <c r="U15" s="14" t="str">
        <f>_xlfn.XLOOKUP(B15,MPW!C$6:C$101,MPW!B$6:B$101,"")</f>
        <v/>
      </c>
      <c r="V15" s="134">
        <f>_xlfn.XLOOKUP(U15,MPW!B$6:B$55,MPW!A$6:A$55,0)</f>
        <v>0</v>
      </c>
      <c r="X15" s="11" t="str">
        <f>_xlfn.XLOOKUP($B15,'PEW1'!$C$6:$C$201,'PEW1'!$B$6:$B$201,"")</f>
        <v/>
      </c>
      <c r="Y15" s="85">
        <f>_xlfn.XLOOKUP(X15,'PEW1'!$B$6:$B$201,'PEW1'!$A$6:$A$201,0)</f>
        <v>0</v>
      </c>
      <c r="Z15" s="11" t="str">
        <f>_xlfn.XLOOKUP($B15,'PEW2'!$C$6:$C$201,'PEW2'!$B$6:$B$201,"")</f>
        <v/>
      </c>
      <c r="AA15" s="85">
        <f>_xlfn.XLOOKUP(Z15,'PEW2'!$B$6:$B$201,'PEW2'!$A$6:$A$201,0)</f>
        <v>0</v>
      </c>
      <c r="AB15" s="11" t="str">
        <f>_xlfn.XLOOKUP($B15,'PEW3'!$C$6:$C$201,'PEW3'!$B$6:$B$201,"")</f>
        <v/>
      </c>
      <c r="AC15" s="85">
        <f>_xlfn.XLOOKUP(AB15,'PEW3'!$B$6:$B$201,'PEW3'!$A$6:$A$201,0)</f>
        <v>0</v>
      </c>
      <c r="AD15" s="11" t="str">
        <f>_xlfn.XLOOKUP($B15,VFC!$C$6:$C$201,VFC!$B$6:$B$201,"")</f>
        <v/>
      </c>
      <c r="AE15" s="85">
        <f>_xlfn.XLOOKUP(AD15,VFC!$B$6:$B$201,VFC!$A$6:$A$201,0)</f>
        <v>0</v>
      </c>
      <c r="AF15" s="11" t="str">
        <f>_xlfn.XLOOKUP($B15,'PEW4'!$C$6:$C$201,'PEW4'!$B$6:$B$201,"")</f>
        <v/>
      </c>
      <c r="AG15" s="85">
        <f>_xlfn.XLOOKUP(AF15,'PEW4'!$B$6:$B$201,'PEW4'!$A$6:$A$201,0)</f>
        <v>0</v>
      </c>
      <c r="AH15" s="11" t="str">
        <f>_xlfn.XLOOKUP($B15,'PEW5'!$C$6:$C$201,'PEW5'!$B$6:$B$201,"")</f>
        <v/>
      </c>
      <c r="AI15" s="85">
        <f>_xlfn.XLOOKUP(AH15,'PEW5'!$B$6:$B$201,'PEW5'!$A$6:$A$201,0)</f>
        <v>0</v>
      </c>
      <c r="AJ15" s="11" t="str">
        <f>_xlfn.XLOOKUP($B15,'PEW6'!$C$6:$C$201,'PEW6'!$B$6:$B$201,"")</f>
        <v/>
      </c>
      <c r="AK15" s="85">
        <f>_xlfn.XLOOKUP(AJ15,'PEW6'!$B$6:$B$201,'PEW6'!$A$6:$A$201,0)</f>
        <v>0</v>
      </c>
      <c r="AL15" s="11" t="str">
        <f>_xlfn.XLOOKUP($B15,'PEW7'!$C$6:$C$201,'PEW7'!$B$6:$B$201,"")</f>
        <v/>
      </c>
      <c r="AM15" s="85">
        <f>_xlfn.XLOOKUP(AL15,'PEW7'!$B$6:$B$201,'PEW7'!$A$6:$A$201,0)</f>
        <v>0</v>
      </c>
      <c r="AN15" s="11" t="str">
        <f>_xlfn.XLOOKUP($B15,'PEW8'!$C$6:$C$201,'PEW8'!$B$6:$B$201,"")</f>
        <v/>
      </c>
      <c r="AO15" s="85">
        <f>_xlfn.XLOOKUP(AN15,'PEW8'!$B$6:$B$201,'PEW8'!$A$6:$A$201,0)</f>
        <v>0</v>
      </c>
      <c r="AP15" s="11" t="str">
        <f>_xlfn.XLOOKUP($B15,'PEW9'!$C$6:$C$201,'PEW9'!$B$6:$B$201,"")</f>
        <v/>
      </c>
      <c r="AQ15" s="85">
        <f>_xlfn.XLOOKUP(AP15,'PEW9'!$B$6:$B$201,'PEW9'!$A$6:$A$201,0)</f>
        <v>0</v>
      </c>
      <c r="AR15" s="11" t="str">
        <f>_xlfn.XLOOKUP($B15,'PEW10'!$C$6:$C$201,'PEW10'!$B$6:$B$201,"")</f>
        <v/>
      </c>
      <c r="AS15" s="85">
        <f>_xlfn.XLOOKUP(AR15,'PEW10'!$B$6:$B$201,'PEW10'!$A$6:$A$201,0)</f>
        <v>0</v>
      </c>
      <c r="AT15" s="11" t="str">
        <f>_xlfn.XLOOKUP($B15,'PEW11'!$C$6:$C$201,'PEW11'!$B$6:$B$201,"")</f>
        <v/>
      </c>
      <c r="AU15" s="85">
        <f>_xlfn.XLOOKUP(AT15,'PEW11'!$B$6:$B$201,'PEW11'!$A$6:$A$201,0)</f>
        <v>0</v>
      </c>
      <c r="AV15" s="11" t="str">
        <f>_xlfn.XLOOKUP($B15,'PEW12'!$C$6:$C$201,'PEW12'!$B$6:$B$201,"")</f>
        <v/>
      </c>
      <c r="AW15" s="85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86">
        <f>_xlfn.XLOOKUP(AX15,IMEW!$B$6:$B$201,IMEW!$A$6:$A$201,0)</f>
        <v>0</v>
      </c>
      <c r="BA15" s="87">
        <f t="shared" si="0"/>
        <v>0</v>
      </c>
      <c r="BB15" s="87">
        <f t="shared" si="1"/>
        <v>0</v>
      </c>
      <c r="BC15" s="87">
        <f t="shared" si="2"/>
        <v>0</v>
      </c>
      <c r="BD15" s="87">
        <f t="shared" si="3"/>
        <v>0</v>
      </c>
      <c r="BE15" s="87">
        <f t="shared" si="4"/>
        <v>0</v>
      </c>
      <c r="BF15" s="87">
        <f t="shared" si="5"/>
        <v>0</v>
      </c>
      <c r="BG15" s="87">
        <f t="shared" si="6"/>
        <v>0</v>
      </c>
    </row>
    <row r="16" spans="1:59" ht="14.8" customHeight="1" x14ac:dyDescent="0.25">
      <c r="A16" s="9">
        <f>ROW()-5</f>
        <v>11</v>
      </c>
      <c r="B16" s="12"/>
      <c r="C16" s="13"/>
      <c r="D16" s="82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4" t="str">
        <f>_xlfn.XLOOKUP($B16,'GP1'!$C$6:$C$101,'GP1'!$B$6:$B$101,"")</f>
        <v/>
      </c>
      <c r="F16" s="133">
        <f>_xlfn.XLOOKUP(E16,'GP1'!$B$6:$B$55,'GP1'!$A$6:$A$55,0)</f>
        <v>0</v>
      </c>
      <c r="G16" s="14">
        <f>_xlfn.XLOOKUP($B16,'GP2'!$C$6:$C$101,'GP2'!$B$6:$B$101,"")</f>
        <v>0</v>
      </c>
      <c r="H16" s="133">
        <f>_xlfn.XLOOKUP(G16,'GP2'!$B$6:$B$55,'GP2'!$A$6:$A$55,0)</f>
        <v>0</v>
      </c>
      <c r="I16" s="14" t="str">
        <f>_xlfn.XLOOKUP($B16,'GP3'!$C$6:$C$101,'GP3'!$B$6:$B$101,"")</f>
        <v/>
      </c>
      <c r="J16" s="83">
        <f>_xlfn.XLOOKUP(I16,'GP3'!$B$6:$B$55,'GP3'!$A$6:$A$55,0)</f>
        <v>0</v>
      </c>
      <c r="K16" s="14" t="str">
        <f>_xlfn.XLOOKUP($B16,'GP4'!$C$6:$C$101,'GP4'!$B$6:$B$101,"")</f>
        <v/>
      </c>
      <c r="L16" s="133">
        <f>_xlfn.XLOOKUP(K16,'GP4'!$B$6:$B$55,'GP4'!$A$6:$A$55,0)</f>
        <v>0</v>
      </c>
      <c r="M16" s="14">
        <f>_xlfn.XLOOKUP($B16,'GP5'!$C$6:$C$101,'GP5'!$B$6:$B$101,"")</f>
        <v>0</v>
      </c>
      <c r="N16" s="134">
        <f>_xlfn.XLOOKUP(M16,'GP5'!$B$6:$B$55,'GP5'!$A$6:$A$55,0)</f>
        <v>0</v>
      </c>
      <c r="O16" s="14">
        <f>_xlfn.XLOOKUP($B16,'GP6'!$C$6:$C$101,'GP6'!$B$6:$B$101,"")</f>
        <v>0</v>
      </c>
      <c r="P16" s="134">
        <f>_xlfn.XLOOKUP(O16,'GP6'!$B$6:$B$55,'GP6'!$A$6:$A$55,0)</f>
        <v>0</v>
      </c>
      <c r="Q16" s="14" t="str">
        <f>_xlfn.XLOOKUP($B16,'GP7'!$C$6:$C$101,'GP7'!$B$6:$B$101,"")</f>
        <v/>
      </c>
      <c r="R16" s="134">
        <f>_xlfn.XLOOKUP(Q16,'GP7'!$B$6:$B$55,'GP7'!$A$6:$A$55,0)</f>
        <v>0</v>
      </c>
      <c r="S16" s="14" t="str">
        <f>_xlfn.XLOOKUP($B16,'GP8'!$C$6:$C$101,'GP8'!$B$6:$B$101,"")</f>
        <v/>
      </c>
      <c r="T16" s="134">
        <f>_xlfn.XLOOKUP(S16,'GP8'!$B$6:$B$55,'GP8'!$A$6:$A$55,0)</f>
        <v>0</v>
      </c>
      <c r="U16" s="14" t="str">
        <f>_xlfn.XLOOKUP(B16,MPW!C$6:C$101,MPW!B$6:B$101,"")</f>
        <v/>
      </c>
      <c r="V16" s="134">
        <f>_xlfn.XLOOKUP(U16,MPW!B$6:B$55,MPW!A$6:A$55,0)</f>
        <v>0</v>
      </c>
      <c r="X16" s="11" t="str">
        <f>_xlfn.XLOOKUP($B16,'PEW1'!$C$6:$C$201,'PEW1'!$B$6:$B$201,"")</f>
        <v/>
      </c>
      <c r="Y16" s="85">
        <f>_xlfn.XLOOKUP(X16,'PEW1'!$B$6:$B$201,'PEW1'!$A$6:$A$201,0)</f>
        <v>0</v>
      </c>
      <c r="Z16" s="11" t="str">
        <f>_xlfn.XLOOKUP($B16,'PEW2'!$C$6:$C$201,'PEW2'!$B$6:$B$201,"")</f>
        <v/>
      </c>
      <c r="AA16" s="85">
        <f>_xlfn.XLOOKUP(Z16,'PEW2'!$B$6:$B$201,'PEW2'!$A$6:$A$201,0)</f>
        <v>0</v>
      </c>
      <c r="AB16" s="11" t="str">
        <f>_xlfn.XLOOKUP($B16,'PEW3'!$C$6:$C$201,'PEW3'!$B$6:$B$201,"")</f>
        <v/>
      </c>
      <c r="AC16" s="85">
        <f>_xlfn.XLOOKUP(AB16,'PEW3'!$B$6:$B$201,'PEW3'!$A$6:$A$201,0)</f>
        <v>0</v>
      </c>
      <c r="AD16" s="11" t="str">
        <f>_xlfn.XLOOKUP($B16,VFC!$C$6:$C$201,VFC!$B$6:$B$201,"")</f>
        <v/>
      </c>
      <c r="AE16" s="85">
        <f>_xlfn.XLOOKUP(AD16,VFC!$B$6:$B$201,VFC!$A$6:$A$201,0)</f>
        <v>0</v>
      </c>
      <c r="AF16" s="11" t="str">
        <f>_xlfn.XLOOKUP($B16,'PEW4'!$C$6:$C$201,'PEW4'!$B$6:$B$201,"")</f>
        <v/>
      </c>
      <c r="AG16" s="85">
        <f>_xlfn.XLOOKUP(AF16,'PEW4'!$B$6:$B$201,'PEW4'!$A$6:$A$201,0)</f>
        <v>0</v>
      </c>
      <c r="AH16" s="11" t="str">
        <f>_xlfn.XLOOKUP($B16,'PEW5'!$C$6:$C$201,'PEW5'!$B$6:$B$201,"")</f>
        <v/>
      </c>
      <c r="AI16" s="85">
        <f>_xlfn.XLOOKUP(AH16,'PEW5'!$B$6:$B$201,'PEW5'!$A$6:$A$201,0)</f>
        <v>0</v>
      </c>
      <c r="AJ16" s="11" t="str">
        <f>_xlfn.XLOOKUP($B16,'PEW6'!$C$6:$C$201,'PEW6'!$B$6:$B$201,"")</f>
        <v/>
      </c>
      <c r="AK16" s="85">
        <f>_xlfn.XLOOKUP(AJ16,'PEW6'!$B$6:$B$201,'PEW6'!$A$6:$A$201,0)</f>
        <v>0</v>
      </c>
      <c r="AL16" s="11" t="str">
        <f>_xlfn.XLOOKUP($B16,'PEW7'!$C$6:$C$201,'PEW7'!$B$6:$B$201,"")</f>
        <v/>
      </c>
      <c r="AM16" s="85">
        <f>_xlfn.XLOOKUP(AL16,'PEW7'!$B$6:$B$201,'PEW7'!$A$6:$A$201,0)</f>
        <v>0</v>
      </c>
      <c r="AN16" s="11" t="str">
        <f>_xlfn.XLOOKUP($B16,'PEW8'!$C$6:$C$201,'PEW8'!$B$6:$B$201,"")</f>
        <v/>
      </c>
      <c r="AO16" s="85">
        <f>_xlfn.XLOOKUP(AN16,'PEW8'!$B$6:$B$201,'PEW8'!$A$6:$A$201,0)</f>
        <v>0</v>
      </c>
      <c r="AP16" s="11" t="str">
        <f>_xlfn.XLOOKUP($B16,'PEW9'!$C$6:$C$201,'PEW9'!$B$6:$B$201,"")</f>
        <v/>
      </c>
      <c r="AQ16" s="85">
        <f>_xlfn.XLOOKUP(AP16,'PEW9'!$B$6:$B$201,'PEW9'!$A$6:$A$201,0)</f>
        <v>0</v>
      </c>
      <c r="AR16" s="11" t="str">
        <f>_xlfn.XLOOKUP($B16,'PEW10'!$C$6:$C$201,'PEW10'!$B$6:$B$201,"")</f>
        <v/>
      </c>
      <c r="AS16" s="85">
        <f>_xlfn.XLOOKUP(AR16,'PEW10'!$B$6:$B$201,'PEW10'!$A$6:$A$201,0)</f>
        <v>0</v>
      </c>
      <c r="AT16" s="11" t="str">
        <f>_xlfn.XLOOKUP($B16,'PEW11'!$C$6:$C$201,'PEW11'!$B$6:$B$201,"")</f>
        <v/>
      </c>
      <c r="AU16" s="85">
        <f>_xlfn.XLOOKUP(AT16,'PEW11'!$B$6:$B$201,'PEW11'!$A$6:$A$201,0)</f>
        <v>0</v>
      </c>
      <c r="AV16" s="11" t="str">
        <f>_xlfn.XLOOKUP($B16,'PEW12'!$C$6:$C$201,'PEW12'!$B$6:$B$201,"")</f>
        <v/>
      </c>
      <c r="AW16" s="85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86">
        <f>_xlfn.XLOOKUP(AX16,IMEW!$B$6:$B$201,IMEW!$A$6:$A$201,0)</f>
        <v>0</v>
      </c>
      <c r="BA16" s="87">
        <f t="shared" si="0"/>
        <v>0</v>
      </c>
      <c r="BB16" s="87">
        <f t="shared" si="1"/>
        <v>0</v>
      </c>
      <c r="BC16" s="87">
        <f t="shared" si="2"/>
        <v>0</v>
      </c>
      <c r="BD16" s="87">
        <f t="shared" si="3"/>
        <v>0</v>
      </c>
      <c r="BE16" s="87">
        <f t="shared" si="4"/>
        <v>0</v>
      </c>
      <c r="BF16" s="87">
        <f t="shared" si="5"/>
        <v>0</v>
      </c>
      <c r="BG16" s="87">
        <f t="shared" si="6"/>
        <v>0</v>
      </c>
    </row>
    <row r="17" spans="1:59" ht="14.8" customHeight="1" x14ac:dyDescent="0.25">
      <c r="A17" s="9">
        <f>ROW()-5</f>
        <v>12</v>
      </c>
      <c r="B17" s="12"/>
      <c r="C17" s="13"/>
      <c r="D17" s="82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4" t="str">
        <f>_xlfn.XLOOKUP($B17,'GP1'!$C$6:$C$101,'GP1'!$B$6:$B$101,"")</f>
        <v/>
      </c>
      <c r="F17" s="133">
        <f>_xlfn.XLOOKUP(E17,'GP1'!$B$6:$B$55,'GP1'!$A$6:$A$55,0)</f>
        <v>0</v>
      </c>
      <c r="G17" s="14">
        <f>_xlfn.XLOOKUP($B17,'GP2'!$C$6:$C$101,'GP2'!$B$6:$B$101,"")</f>
        <v>0</v>
      </c>
      <c r="H17" s="133">
        <f>_xlfn.XLOOKUP(G17,'GP2'!$B$6:$B$55,'GP2'!$A$6:$A$55,0)</f>
        <v>0</v>
      </c>
      <c r="I17" s="14" t="str">
        <f>_xlfn.XLOOKUP($B17,'GP3'!$C$6:$C$101,'GP3'!$B$6:$B$101,"")</f>
        <v/>
      </c>
      <c r="J17" s="83">
        <f>_xlfn.XLOOKUP(I17,'GP3'!$B$6:$B$55,'GP3'!$A$6:$A$55,0)</f>
        <v>0</v>
      </c>
      <c r="K17" s="14" t="str">
        <f>_xlfn.XLOOKUP($B17,'GP4'!$C$6:$C$101,'GP4'!$B$6:$B$101,"")</f>
        <v/>
      </c>
      <c r="L17" s="133">
        <f>_xlfn.XLOOKUP(K17,'GP4'!$B$6:$B$55,'GP4'!$A$6:$A$55,0)</f>
        <v>0</v>
      </c>
      <c r="M17" s="14">
        <f>_xlfn.XLOOKUP($B17,'GP5'!$C$6:$C$101,'GP5'!$B$6:$B$101,"")</f>
        <v>0</v>
      </c>
      <c r="N17" s="134">
        <f>_xlfn.XLOOKUP(M17,'GP5'!$B$6:$B$55,'GP5'!$A$6:$A$55,0)</f>
        <v>0</v>
      </c>
      <c r="O17" s="14">
        <f>_xlfn.XLOOKUP($B17,'GP6'!$C$6:$C$101,'GP6'!$B$6:$B$101,"")</f>
        <v>0</v>
      </c>
      <c r="P17" s="134">
        <f>_xlfn.XLOOKUP(O17,'GP6'!$B$6:$B$55,'GP6'!$A$6:$A$55,0)</f>
        <v>0</v>
      </c>
      <c r="Q17" s="14" t="str">
        <f>_xlfn.XLOOKUP($B17,'GP7'!$C$6:$C$101,'GP7'!$B$6:$B$101,"")</f>
        <v/>
      </c>
      <c r="R17" s="134">
        <f>_xlfn.XLOOKUP(Q17,'GP7'!$B$6:$B$55,'GP7'!$A$6:$A$55,0)</f>
        <v>0</v>
      </c>
      <c r="S17" s="14" t="str">
        <f>_xlfn.XLOOKUP($B17,'GP8'!$C$6:$C$101,'GP8'!$B$6:$B$101,"")</f>
        <v/>
      </c>
      <c r="T17" s="134">
        <f>_xlfn.XLOOKUP(S17,'GP8'!$B$6:$B$55,'GP8'!$A$6:$A$55,0)</f>
        <v>0</v>
      </c>
      <c r="U17" s="14" t="str">
        <f>_xlfn.XLOOKUP(B17,MPW!C$6:C$101,MPW!B$6:B$101,"")</f>
        <v/>
      </c>
      <c r="V17" s="134">
        <f>_xlfn.XLOOKUP(U17,MPW!B$6:B$55,MPW!A$6:A$55,0)</f>
        <v>0</v>
      </c>
      <c r="X17" s="11" t="str">
        <f>_xlfn.XLOOKUP($B17,'PEW1'!$C$6:$C$201,'PEW1'!$B$6:$B$201,"")</f>
        <v/>
      </c>
      <c r="Y17" s="85">
        <f>_xlfn.XLOOKUP(X17,'PEW1'!$B$6:$B$201,'PEW1'!$A$6:$A$201,0)</f>
        <v>0</v>
      </c>
      <c r="Z17" s="11" t="str">
        <f>_xlfn.XLOOKUP($B17,'PEW2'!$C$6:$C$201,'PEW2'!$B$6:$B$201,"")</f>
        <v/>
      </c>
      <c r="AA17" s="85">
        <f>_xlfn.XLOOKUP(Z17,'PEW2'!$B$6:$B$201,'PEW2'!$A$6:$A$201,0)</f>
        <v>0</v>
      </c>
      <c r="AB17" s="11" t="str">
        <f>_xlfn.XLOOKUP($B17,'PEW3'!$C$6:$C$201,'PEW3'!$B$6:$B$201,"")</f>
        <v/>
      </c>
      <c r="AC17" s="85">
        <f>_xlfn.XLOOKUP(AB17,'PEW3'!$B$6:$B$201,'PEW3'!$A$6:$A$201,0)</f>
        <v>0</v>
      </c>
      <c r="AD17" s="11" t="str">
        <f>_xlfn.XLOOKUP($B17,VFC!$C$6:$C$201,VFC!$B$6:$B$201,"")</f>
        <v/>
      </c>
      <c r="AE17" s="85">
        <f>_xlfn.XLOOKUP(AD17,VFC!$B$6:$B$201,VFC!$A$6:$A$201,0)</f>
        <v>0</v>
      </c>
      <c r="AF17" s="11" t="str">
        <f>_xlfn.XLOOKUP($B17,'PEW4'!$C$6:$C$201,'PEW4'!$B$6:$B$201,"")</f>
        <v/>
      </c>
      <c r="AG17" s="85">
        <f>_xlfn.XLOOKUP(AF17,'PEW4'!$B$6:$B$201,'PEW4'!$A$6:$A$201,0)</f>
        <v>0</v>
      </c>
      <c r="AH17" s="11" t="str">
        <f>_xlfn.XLOOKUP($B17,'PEW5'!$C$6:$C$201,'PEW5'!$B$6:$B$201,"")</f>
        <v/>
      </c>
      <c r="AI17" s="85">
        <f>_xlfn.XLOOKUP(AH17,'PEW5'!$B$6:$B$201,'PEW5'!$A$6:$A$201,0)</f>
        <v>0</v>
      </c>
      <c r="AJ17" s="11" t="str">
        <f>_xlfn.XLOOKUP($B17,'PEW6'!$C$6:$C$201,'PEW6'!$B$6:$B$201,"")</f>
        <v/>
      </c>
      <c r="AK17" s="85">
        <f>_xlfn.XLOOKUP(AJ17,'PEW6'!$B$6:$B$201,'PEW6'!$A$6:$A$201,0)</f>
        <v>0</v>
      </c>
      <c r="AL17" s="11" t="str">
        <f>_xlfn.XLOOKUP($B17,'PEW7'!$C$6:$C$201,'PEW7'!$B$6:$B$201,"")</f>
        <v/>
      </c>
      <c r="AM17" s="85">
        <f>_xlfn.XLOOKUP(AL17,'PEW7'!$B$6:$B$201,'PEW7'!$A$6:$A$201,0)</f>
        <v>0</v>
      </c>
      <c r="AN17" s="11" t="str">
        <f>_xlfn.XLOOKUP($B17,'PEW8'!$C$6:$C$201,'PEW8'!$B$6:$B$201,"")</f>
        <v/>
      </c>
      <c r="AO17" s="85">
        <f>_xlfn.XLOOKUP(AN17,'PEW8'!$B$6:$B$201,'PEW8'!$A$6:$A$201,0)</f>
        <v>0</v>
      </c>
      <c r="AP17" s="11" t="str">
        <f>_xlfn.XLOOKUP($B17,'PEW9'!$C$6:$C$201,'PEW9'!$B$6:$B$201,"")</f>
        <v/>
      </c>
      <c r="AQ17" s="85">
        <f>_xlfn.XLOOKUP(AP17,'PEW9'!$B$6:$B$201,'PEW9'!$A$6:$A$201,0)</f>
        <v>0</v>
      </c>
      <c r="AR17" s="11" t="str">
        <f>_xlfn.XLOOKUP($B17,'PEW10'!$C$6:$C$201,'PEW10'!$B$6:$B$201,"")</f>
        <v/>
      </c>
      <c r="AS17" s="85">
        <f>_xlfn.XLOOKUP(AR17,'PEW10'!$B$6:$B$201,'PEW10'!$A$6:$A$201,0)</f>
        <v>0</v>
      </c>
      <c r="AT17" s="11" t="str">
        <f>_xlfn.XLOOKUP($B17,'PEW11'!$C$6:$C$201,'PEW11'!$B$6:$B$201,"")</f>
        <v/>
      </c>
      <c r="AU17" s="85">
        <f>_xlfn.XLOOKUP(AT17,'PEW11'!$B$6:$B$201,'PEW11'!$A$6:$A$201,0)</f>
        <v>0</v>
      </c>
      <c r="AV17" s="11" t="str">
        <f>_xlfn.XLOOKUP($B17,'PEW12'!$C$6:$C$201,'PEW12'!$B$6:$B$201,"")</f>
        <v/>
      </c>
      <c r="AW17" s="85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86">
        <f>_xlfn.XLOOKUP(AX17,IMEW!$B$6:$B$201,IMEW!$A$6:$A$201,0)</f>
        <v>0</v>
      </c>
      <c r="BA17" s="87">
        <f t="shared" si="0"/>
        <v>0</v>
      </c>
      <c r="BB17" s="87">
        <f t="shared" si="1"/>
        <v>0</v>
      </c>
      <c r="BC17" s="87">
        <f t="shared" si="2"/>
        <v>0</v>
      </c>
      <c r="BD17" s="87">
        <f t="shared" si="3"/>
        <v>0</v>
      </c>
      <c r="BE17" s="87">
        <f t="shared" si="4"/>
        <v>0</v>
      </c>
      <c r="BF17" s="87">
        <f t="shared" si="5"/>
        <v>0</v>
      </c>
      <c r="BG17" s="87">
        <f t="shared" si="6"/>
        <v>0</v>
      </c>
    </row>
    <row r="18" spans="1:59" ht="14.8" customHeight="1" x14ac:dyDescent="0.25">
      <c r="A18" s="9">
        <f>ROW()-5</f>
        <v>13</v>
      </c>
      <c r="B18" s="12"/>
      <c r="C18" s="13"/>
      <c r="D18" s="82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4" t="str">
        <f>_xlfn.XLOOKUP($B18,'GP1'!$C$6:$C$101,'GP1'!$B$6:$B$101,"")</f>
        <v/>
      </c>
      <c r="F18" s="133">
        <f>_xlfn.XLOOKUP(E18,'GP1'!$B$6:$B$55,'GP1'!$A$6:$A$55,0)</f>
        <v>0</v>
      </c>
      <c r="G18" s="14">
        <f>_xlfn.XLOOKUP($B18,'GP2'!$C$6:$C$101,'GP2'!$B$6:$B$101,"")</f>
        <v>0</v>
      </c>
      <c r="H18" s="133">
        <f>_xlfn.XLOOKUP(G18,'GP2'!$B$6:$B$55,'GP2'!$A$6:$A$55,0)</f>
        <v>0</v>
      </c>
      <c r="I18" s="14" t="str">
        <f>_xlfn.XLOOKUP($B18,'GP3'!$C$6:$C$101,'GP3'!$B$6:$B$101,"")</f>
        <v/>
      </c>
      <c r="J18" s="83">
        <f>_xlfn.XLOOKUP(I18,'GP3'!$B$6:$B$55,'GP3'!$A$6:$A$55,0)</f>
        <v>0</v>
      </c>
      <c r="K18" s="14" t="str">
        <f>_xlfn.XLOOKUP($B18,'GP4'!$C$6:$C$101,'GP4'!$B$6:$B$101,"")</f>
        <v/>
      </c>
      <c r="L18" s="133">
        <f>_xlfn.XLOOKUP(K18,'GP4'!$B$6:$B$55,'GP4'!$A$6:$A$55,0)</f>
        <v>0</v>
      </c>
      <c r="M18" s="14">
        <f>_xlfn.XLOOKUP($B18,'GP5'!$C$6:$C$101,'GP5'!$B$6:$B$101,"")</f>
        <v>0</v>
      </c>
      <c r="N18" s="134">
        <f>_xlfn.XLOOKUP(M18,'GP5'!$B$6:$B$55,'GP5'!$A$6:$A$55,0)</f>
        <v>0</v>
      </c>
      <c r="O18" s="14">
        <f>_xlfn.XLOOKUP($B18,'GP6'!$C$6:$C$101,'GP6'!$B$6:$B$101,"")</f>
        <v>0</v>
      </c>
      <c r="P18" s="134">
        <f>_xlfn.XLOOKUP(O18,'GP6'!$B$6:$B$55,'GP6'!$A$6:$A$55,0)</f>
        <v>0</v>
      </c>
      <c r="Q18" s="14" t="str">
        <f>_xlfn.XLOOKUP($B18,'GP7'!$C$6:$C$101,'GP7'!$B$6:$B$101,"")</f>
        <v/>
      </c>
      <c r="R18" s="134">
        <f>_xlfn.XLOOKUP(Q18,'GP7'!$B$6:$B$55,'GP7'!$A$6:$A$55,0)</f>
        <v>0</v>
      </c>
      <c r="S18" s="14" t="str">
        <f>_xlfn.XLOOKUP($B18,'GP8'!$C$6:$C$101,'GP8'!$B$6:$B$101,"")</f>
        <v/>
      </c>
      <c r="T18" s="134">
        <f>_xlfn.XLOOKUP(S18,'GP8'!$B$6:$B$55,'GP8'!$A$6:$A$55,0)</f>
        <v>0</v>
      </c>
      <c r="U18" s="14" t="str">
        <f>_xlfn.XLOOKUP(B18,MPW!C$6:C$101,MPW!B$6:B$101,"")</f>
        <v/>
      </c>
      <c r="V18" s="134">
        <f>_xlfn.XLOOKUP(U18,MPW!B$6:B$55,MPW!A$6:A$55,0)</f>
        <v>0</v>
      </c>
      <c r="X18" s="11" t="str">
        <f>_xlfn.XLOOKUP($B18,'PEW1'!$C$6:$C$201,'PEW1'!$B$6:$B$201,"")</f>
        <v/>
      </c>
      <c r="Y18" s="85">
        <f>_xlfn.XLOOKUP(X18,'PEW1'!$B$6:$B$201,'PEW1'!$A$6:$A$201,0)</f>
        <v>0</v>
      </c>
      <c r="Z18" s="11" t="str">
        <f>_xlfn.XLOOKUP($B18,'PEW2'!$C$6:$C$201,'PEW2'!$B$6:$B$201,"")</f>
        <v/>
      </c>
      <c r="AA18" s="85">
        <f>_xlfn.XLOOKUP(Z18,'PEW2'!$B$6:$B$201,'PEW2'!$A$6:$A$201,0)</f>
        <v>0</v>
      </c>
      <c r="AB18" s="11" t="str">
        <f>_xlfn.XLOOKUP($B18,'PEW3'!$C$6:$C$201,'PEW3'!$B$6:$B$201,"")</f>
        <v/>
      </c>
      <c r="AC18" s="85">
        <f>_xlfn.XLOOKUP(AB18,'PEW3'!$B$6:$B$201,'PEW3'!$A$6:$A$201,0)</f>
        <v>0</v>
      </c>
      <c r="AD18" s="11" t="str">
        <f>_xlfn.XLOOKUP($B18,VFC!$C$6:$C$201,VFC!$B$6:$B$201,"")</f>
        <v/>
      </c>
      <c r="AE18" s="85">
        <f>_xlfn.XLOOKUP(AD18,VFC!$B$6:$B$201,VFC!$A$6:$A$201,0)</f>
        <v>0</v>
      </c>
      <c r="AF18" s="11" t="str">
        <f>_xlfn.XLOOKUP($B18,'PEW4'!$C$6:$C$201,'PEW4'!$B$6:$B$201,"")</f>
        <v/>
      </c>
      <c r="AG18" s="85">
        <f>_xlfn.XLOOKUP(AF18,'PEW4'!$B$6:$B$201,'PEW4'!$A$6:$A$201,0)</f>
        <v>0</v>
      </c>
      <c r="AH18" s="11" t="str">
        <f>_xlfn.XLOOKUP($B18,'PEW5'!$C$6:$C$201,'PEW5'!$B$6:$B$201,"")</f>
        <v/>
      </c>
      <c r="AI18" s="85">
        <f>_xlfn.XLOOKUP(AH18,'PEW5'!$B$6:$B$201,'PEW5'!$A$6:$A$201,0)</f>
        <v>0</v>
      </c>
      <c r="AJ18" s="11" t="str">
        <f>_xlfn.XLOOKUP($B18,'PEW6'!$C$6:$C$201,'PEW6'!$B$6:$B$201,"")</f>
        <v/>
      </c>
      <c r="AK18" s="85">
        <f>_xlfn.XLOOKUP(AJ18,'PEW6'!$B$6:$B$201,'PEW6'!$A$6:$A$201,0)</f>
        <v>0</v>
      </c>
      <c r="AL18" s="11" t="str">
        <f>_xlfn.XLOOKUP($B18,'PEW7'!$C$6:$C$201,'PEW7'!$B$6:$B$201,"")</f>
        <v/>
      </c>
      <c r="AM18" s="85">
        <f>_xlfn.XLOOKUP(AL18,'PEW7'!$B$6:$B$201,'PEW7'!$A$6:$A$201,0)</f>
        <v>0</v>
      </c>
      <c r="AN18" s="11" t="str">
        <f>_xlfn.XLOOKUP($B18,'PEW8'!$C$6:$C$201,'PEW8'!$B$6:$B$201,"")</f>
        <v/>
      </c>
      <c r="AO18" s="85">
        <f>_xlfn.XLOOKUP(AN18,'PEW8'!$B$6:$B$201,'PEW8'!$A$6:$A$201,0)</f>
        <v>0</v>
      </c>
      <c r="AP18" s="11" t="str">
        <f>_xlfn.XLOOKUP($B18,'PEW9'!$C$6:$C$201,'PEW9'!$B$6:$B$201,"")</f>
        <v/>
      </c>
      <c r="AQ18" s="85">
        <f>_xlfn.XLOOKUP(AP18,'PEW9'!$B$6:$B$201,'PEW9'!$A$6:$A$201,0)</f>
        <v>0</v>
      </c>
      <c r="AR18" s="11" t="str">
        <f>_xlfn.XLOOKUP($B18,'PEW10'!$C$6:$C$201,'PEW10'!$B$6:$B$201,"")</f>
        <v/>
      </c>
      <c r="AS18" s="85">
        <f>_xlfn.XLOOKUP(AR18,'PEW10'!$B$6:$B$201,'PEW10'!$A$6:$A$201,0)</f>
        <v>0</v>
      </c>
      <c r="AT18" s="11" t="str">
        <f>_xlfn.XLOOKUP($B18,'PEW11'!$C$6:$C$201,'PEW11'!$B$6:$B$201,"")</f>
        <v/>
      </c>
      <c r="AU18" s="85">
        <f>_xlfn.XLOOKUP(AT18,'PEW11'!$B$6:$B$201,'PEW11'!$A$6:$A$201,0)</f>
        <v>0</v>
      </c>
      <c r="AV18" s="11" t="str">
        <f>_xlfn.XLOOKUP($B18,'PEW12'!$C$6:$C$201,'PEW12'!$B$6:$B$201,"")</f>
        <v/>
      </c>
      <c r="AW18" s="85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86">
        <f>_xlfn.XLOOKUP(AX18,IMEW!$B$6:$B$201,IMEW!$A$6:$A$201,0)</f>
        <v>0</v>
      </c>
      <c r="BA18" s="87">
        <f t="shared" si="0"/>
        <v>0</v>
      </c>
      <c r="BB18" s="87">
        <f t="shared" si="1"/>
        <v>0</v>
      </c>
      <c r="BC18" s="87">
        <f t="shared" si="2"/>
        <v>0</v>
      </c>
      <c r="BD18" s="87">
        <f t="shared" si="3"/>
        <v>0</v>
      </c>
      <c r="BE18" s="87">
        <f t="shared" si="4"/>
        <v>0</v>
      </c>
      <c r="BF18" s="87">
        <f t="shared" si="5"/>
        <v>0</v>
      </c>
      <c r="BG18" s="87">
        <f t="shared" si="6"/>
        <v>0</v>
      </c>
    </row>
    <row r="19" spans="1:59" ht="14.8" customHeight="1" x14ac:dyDescent="0.25">
      <c r="A19" s="9">
        <f>ROW()-5</f>
        <v>14</v>
      </c>
      <c r="B19" s="12"/>
      <c r="C19" s="13"/>
      <c r="D19" s="82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4" t="str">
        <f>_xlfn.XLOOKUP($B19,'GP1'!$C$6:$C$101,'GP1'!$B$6:$B$101,"")</f>
        <v/>
      </c>
      <c r="F19" s="133">
        <f>_xlfn.XLOOKUP(E19,'GP1'!$B$6:$B$55,'GP1'!$A$6:$A$55,0)</f>
        <v>0</v>
      </c>
      <c r="G19" s="14">
        <f>_xlfn.XLOOKUP($B19,'GP2'!$C$6:$C$101,'GP2'!$B$6:$B$101,"")</f>
        <v>0</v>
      </c>
      <c r="H19" s="133">
        <f>_xlfn.XLOOKUP(G19,'GP2'!$B$6:$B$55,'GP2'!$A$6:$A$55,0)</f>
        <v>0</v>
      </c>
      <c r="I19" s="14" t="str">
        <f>_xlfn.XLOOKUP($B19,'GP3'!$C$6:$C$101,'GP3'!$B$6:$B$101,"")</f>
        <v/>
      </c>
      <c r="J19" s="83">
        <f>_xlfn.XLOOKUP(I19,'GP3'!$B$6:$B$55,'GP3'!$A$6:$A$55,0)</f>
        <v>0</v>
      </c>
      <c r="K19" s="14" t="str">
        <f>_xlfn.XLOOKUP($B19,'GP4'!$C$6:$C$101,'GP4'!$B$6:$B$101,"")</f>
        <v/>
      </c>
      <c r="L19" s="133">
        <f>_xlfn.XLOOKUP(K19,'GP4'!$B$6:$B$55,'GP4'!$A$6:$A$55,0)</f>
        <v>0</v>
      </c>
      <c r="M19" s="14">
        <f>_xlfn.XLOOKUP($B19,'GP5'!$C$6:$C$101,'GP5'!$B$6:$B$101,"")</f>
        <v>0</v>
      </c>
      <c r="N19" s="134">
        <f>_xlfn.XLOOKUP(M19,'GP5'!$B$6:$B$55,'GP5'!$A$6:$A$55,0)</f>
        <v>0</v>
      </c>
      <c r="O19" s="14">
        <f>_xlfn.XLOOKUP($B19,'GP6'!$C$6:$C$101,'GP6'!$B$6:$B$101,"")</f>
        <v>0</v>
      </c>
      <c r="P19" s="134">
        <f>_xlfn.XLOOKUP(O19,'GP6'!$B$6:$B$55,'GP6'!$A$6:$A$55,0)</f>
        <v>0</v>
      </c>
      <c r="Q19" s="14" t="str">
        <f>_xlfn.XLOOKUP($B19,'GP7'!$C$6:$C$101,'GP7'!$B$6:$B$101,"")</f>
        <v/>
      </c>
      <c r="R19" s="134">
        <f>_xlfn.XLOOKUP(Q19,'GP7'!$B$6:$B$55,'GP7'!$A$6:$A$55,0)</f>
        <v>0</v>
      </c>
      <c r="S19" s="14" t="str">
        <f>_xlfn.XLOOKUP($B19,'GP8'!$C$6:$C$101,'GP8'!$B$6:$B$101,"")</f>
        <v/>
      </c>
      <c r="T19" s="134">
        <f>_xlfn.XLOOKUP(S19,'GP8'!$B$6:$B$55,'GP8'!$A$6:$A$55,0)</f>
        <v>0</v>
      </c>
      <c r="U19" s="14" t="str">
        <f>_xlfn.XLOOKUP(B19,MPW!C$6:C$101,MPW!B$6:B$101,"")</f>
        <v/>
      </c>
      <c r="V19" s="134">
        <f>_xlfn.XLOOKUP(U19,MPW!B$6:B$55,MPW!A$6:A$55,0)</f>
        <v>0</v>
      </c>
      <c r="X19" s="11" t="str">
        <f>_xlfn.XLOOKUP($B19,'PEW1'!$C$6:$C$201,'PEW1'!$B$6:$B$201,"")</f>
        <v/>
      </c>
      <c r="Y19" s="85">
        <f>_xlfn.XLOOKUP(X19,'PEW1'!$B$6:$B$201,'PEW1'!$A$6:$A$201,0)</f>
        <v>0</v>
      </c>
      <c r="Z19" s="11" t="str">
        <f>_xlfn.XLOOKUP($B19,'PEW2'!$C$6:$C$201,'PEW2'!$B$6:$B$201,"")</f>
        <v/>
      </c>
      <c r="AA19" s="85">
        <f>_xlfn.XLOOKUP(Z19,'PEW2'!$B$6:$B$201,'PEW2'!$A$6:$A$201,0)</f>
        <v>0</v>
      </c>
      <c r="AB19" s="11" t="str">
        <f>_xlfn.XLOOKUP($B19,'PEW3'!$C$6:$C$201,'PEW3'!$B$6:$B$201,"")</f>
        <v/>
      </c>
      <c r="AC19" s="85">
        <f>_xlfn.XLOOKUP(AB19,'PEW3'!$B$6:$B$201,'PEW3'!$A$6:$A$201,0)</f>
        <v>0</v>
      </c>
      <c r="AD19" s="11" t="str">
        <f>_xlfn.XLOOKUP($B19,VFC!$C$6:$C$201,VFC!$B$6:$B$201,"")</f>
        <v/>
      </c>
      <c r="AE19" s="85">
        <f>_xlfn.XLOOKUP(AD19,VFC!$B$6:$B$201,VFC!$A$6:$A$201,0)</f>
        <v>0</v>
      </c>
      <c r="AF19" s="11" t="str">
        <f>_xlfn.XLOOKUP($B19,'PEW4'!$C$6:$C$201,'PEW4'!$B$6:$B$201,"")</f>
        <v/>
      </c>
      <c r="AG19" s="85">
        <f>_xlfn.XLOOKUP(AF19,'PEW4'!$B$6:$B$201,'PEW4'!$A$6:$A$201,0)</f>
        <v>0</v>
      </c>
      <c r="AH19" s="11" t="str">
        <f>_xlfn.XLOOKUP($B19,'PEW5'!$C$6:$C$201,'PEW5'!$B$6:$B$201,"")</f>
        <v/>
      </c>
      <c r="AI19" s="85">
        <f>_xlfn.XLOOKUP(AH19,'PEW5'!$B$6:$B$201,'PEW5'!$A$6:$A$201,0)</f>
        <v>0</v>
      </c>
      <c r="AJ19" s="11" t="str">
        <f>_xlfn.XLOOKUP($B19,'PEW6'!$C$6:$C$201,'PEW6'!$B$6:$B$201,"")</f>
        <v/>
      </c>
      <c r="AK19" s="85">
        <f>_xlfn.XLOOKUP(AJ19,'PEW6'!$B$6:$B$201,'PEW6'!$A$6:$A$201,0)</f>
        <v>0</v>
      </c>
      <c r="AL19" s="11" t="str">
        <f>_xlfn.XLOOKUP($B19,'PEW7'!$C$6:$C$201,'PEW7'!$B$6:$B$201,"")</f>
        <v/>
      </c>
      <c r="AM19" s="85">
        <f>_xlfn.XLOOKUP(AL19,'PEW7'!$B$6:$B$201,'PEW7'!$A$6:$A$201,0)</f>
        <v>0</v>
      </c>
      <c r="AN19" s="11" t="str">
        <f>_xlfn.XLOOKUP($B19,'PEW8'!$C$6:$C$201,'PEW8'!$B$6:$B$201,"")</f>
        <v/>
      </c>
      <c r="AO19" s="85">
        <f>_xlfn.XLOOKUP(AN19,'PEW8'!$B$6:$B$201,'PEW8'!$A$6:$A$201,0)</f>
        <v>0</v>
      </c>
      <c r="AP19" s="11" t="str">
        <f>_xlfn.XLOOKUP($B19,'PEW9'!$C$6:$C$201,'PEW9'!$B$6:$B$201,"")</f>
        <v/>
      </c>
      <c r="AQ19" s="85">
        <f>_xlfn.XLOOKUP(AP19,'PEW9'!$B$6:$B$201,'PEW9'!$A$6:$A$201,0)</f>
        <v>0</v>
      </c>
      <c r="AR19" s="11" t="str">
        <f>_xlfn.XLOOKUP($B19,'PEW10'!$C$6:$C$201,'PEW10'!$B$6:$B$201,"")</f>
        <v/>
      </c>
      <c r="AS19" s="85">
        <f>_xlfn.XLOOKUP(AR19,'PEW10'!$B$6:$B$201,'PEW10'!$A$6:$A$201,0)</f>
        <v>0</v>
      </c>
      <c r="AT19" s="11" t="str">
        <f>_xlfn.XLOOKUP($B19,'PEW11'!$C$6:$C$201,'PEW11'!$B$6:$B$201,"")</f>
        <v/>
      </c>
      <c r="AU19" s="85">
        <f>_xlfn.XLOOKUP(AT19,'PEW11'!$B$6:$B$201,'PEW11'!$A$6:$A$201,0)</f>
        <v>0</v>
      </c>
      <c r="AV19" s="11" t="str">
        <f>_xlfn.XLOOKUP($B19,'PEW12'!$C$6:$C$201,'PEW12'!$B$6:$B$201,"")</f>
        <v/>
      </c>
      <c r="AW19" s="85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86">
        <f>_xlfn.XLOOKUP(AX19,IMEW!$B$6:$B$201,IMEW!$A$6:$A$201,0)</f>
        <v>0</v>
      </c>
      <c r="BA19" s="87">
        <f t="shared" si="0"/>
        <v>0</v>
      </c>
      <c r="BB19" s="87">
        <f t="shared" si="1"/>
        <v>0</v>
      </c>
      <c r="BC19" s="87">
        <f t="shared" si="2"/>
        <v>0</v>
      </c>
      <c r="BD19" s="87">
        <f t="shared" si="3"/>
        <v>0</v>
      </c>
      <c r="BE19" s="87">
        <f t="shared" si="4"/>
        <v>0</v>
      </c>
      <c r="BF19" s="87">
        <f t="shared" si="5"/>
        <v>0</v>
      </c>
      <c r="BG19" s="87">
        <f t="shared" si="6"/>
        <v>0</v>
      </c>
    </row>
    <row r="20" spans="1:59" ht="14.8" customHeight="1" x14ac:dyDescent="0.25">
      <c r="A20" s="9">
        <f>ROW()-5</f>
        <v>15</v>
      </c>
      <c r="B20" s="12"/>
      <c r="C20" s="13"/>
      <c r="D20" s="82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4" t="str">
        <f>_xlfn.XLOOKUP($B20,'GP1'!$C$6:$C$101,'GP1'!$B$6:$B$101,"")</f>
        <v/>
      </c>
      <c r="F20" s="133">
        <f>_xlfn.XLOOKUP(E20,'GP1'!$B$6:$B$55,'GP1'!$A$6:$A$55,0)</f>
        <v>0</v>
      </c>
      <c r="G20" s="14">
        <f>_xlfn.XLOOKUP($B20,'GP2'!$C$6:$C$101,'GP2'!$B$6:$B$101,"")</f>
        <v>0</v>
      </c>
      <c r="H20" s="133">
        <f>_xlfn.XLOOKUP(G20,'GP2'!$B$6:$B$55,'GP2'!$A$6:$A$55,0)</f>
        <v>0</v>
      </c>
      <c r="I20" s="14" t="str">
        <f>_xlfn.XLOOKUP($B20,'GP3'!$C$6:$C$101,'GP3'!$B$6:$B$101,"")</f>
        <v/>
      </c>
      <c r="J20" s="83">
        <f>_xlfn.XLOOKUP(I20,'GP3'!$B$6:$B$55,'GP3'!$A$6:$A$55,0)</f>
        <v>0</v>
      </c>
      <c r="K20" s="14" t="str">
        <f>_xlfn.XLOOKUP($B20,'GP4'!$C$6:$C$101,'GP4'!$B$6:$B$101,"")</f>
        <v/>
      </c>
      <c r="L20" s="133">
        <f>_xlfn.XLOOKUP(K20,'GP4'!$B$6:$B$55,'GP4'!$A$6:$A$55,0)</f>
        <v>0</v>
      </c>
      <c r="M20" s="14">
        <f>_xlfn.XLOOKUP($B20,'GP5'!$C$6:$C$101,'GP5'!$B$6:$B$101,"")</f>
        <v>0</v>
      </c>
      <c r="N20" s="134">
        <f>_xlfn.XLOOKUP(M20,'GP5'!$B$6:$B$55,'GP5'!$A$6:$A$55,0)</f>
        <v>0</v>
      </c>
      <c r="O20" s="14">
        <f>_xlfn.XLOOKUP($B20,'GP6'!$C$6:$C$101,'GP6'!$B$6:$B$101,"")</f>
        <v>0</v>
      </c>
      <c r="P20" s="134">
        <f>_xlfn.XLOOKUP(O20,'GP6'!$B$6:$B$55,'GP6'!$A$6:$A$55,0)</f>
        <v>0</v>
      </c>
      <c r="Q20" s="14" t="str">
        <f>_xlfn.XLOOKUP($B20,'GP7'!$C$6:$C$101,'GP7'!$B$6:$B$101,"")</f>
        <v/>
      </c>
      <c r="R20" s="134">
        <f>_xlfn.XLOOKUP(Q20,'GP7'!$B$6:$B$55,'GP7'!$A$6:$A$55,0)</f>
        <v>0</v>
      </c>
      <c r="S20" s="14" t="str">
        <f>_xlfn.XLOOKUP($B20,'GP8'!$C$6:$C$101,'GP8'!$B$6:$B$101,"")</f>
        <v/>
      </c>
      <c r="T20" s="134">
        <f>_xlfn.XLOOKUP(S20,'GP8'!$B$6:$B$55,'GP8'!$A$6:$A$55,0)</f>
        <v>0</v>
      </c>
      <c r="U20" s="14" t="str">
        <f>_xlfn.XLOOKUP(B20,MPW!C$6:C$101,MPW!B$6:B$101,"")</f>
        <v/>
      </c>
      <c r="V20" s="134">
        <f>_xlfn.XLOOKUP(U20,MPW!B$6:B$55,MPW!A$6:A$55,0)</f>
        <v>0</v>
      </c>
      <c r="X20" s="11" t="str">
        <f>_xlfn.XLOOKUP($B20,'PEW1'!$C$6:$C$201,'PEW1'!$B$6:$B$201,"")</f>
        <v/>
      </c>
      <c r="Y20" s="85">
        <f>_xlfn.XLOOKUP(X20,'PEW1'!$B$6:$B$201,'PEW1'!$A$6:$A$201,0)</f>
        <v>0</v>
      </c>
      <c r="Z20" s="11" t="str">
        <f>_xlfn.XLOOKUP($B20,'PEW2'!$C$6:$C$201,'PEW2'!$B$6:$B$201,"")</f>
        <v/>
      </c>
      <c r="AA20" s="85">
        <f>_xlfn.XLOOKUP(Z20,'PEW2'!$B$6:$B$201,'PEW2'!$A$6:$A$201,0)</f>
        <v>0</v>
      </c>
      <c r="AB20" s="11" t="str">
        <f>_xlfn.XLOOKUP($B20,'PEW3'!$C$6:$C$201,'PEW3'!$B$6:$B$201,"")</f>
        <v/>
      </c>
      <c r="AC20" s="85">
        <f>_xlfn.XLOOKUP(AB20,'PEW3'!$B$6:$B$201,'PEW3'!$A$6:$A$201,0)</f>
        <v>0</v>
      </c>
      <c r="AD20" s="11" t="str">
        <f>_xlfn.XLOOKUP($B20,VFC!$C$6:$C$201,VFC!$B$6:$B$201,"")</f>
        <v/>
      </c>
      <c r="AE20" s="85">
        <f>_xlfn.XLOOKUP(AD20,VFC!$B$6:$B$201,VFC!$A$6:$A$201,0)</f>
        <v>0</v>
      </c>
      <c r="AF20" s="11" t="str">
        <f>_xlfn.XLOOKUP($B20,'PEW4'!$C$6:$C$201,'PEW4'!$B$6:$B$201,"")</f>
        <v/>
      </c>
      <c r="AG20" s="85">
        <f>_xlfn.XLOOKUP(AF20,'PEW4'!$B$6:$B$201,'PEW4'!$A$6:$A$201,0)</f>
        <v>0</v>
      </c>
      <c r="AH20" s="11" t="str">
        <f>_xlfn.XLOOKUP($B20,'PEW5'!$C$6:$C$201,'PEW5'!$B$6:$B$201,"")</f>
        <v/>
      </c>
      <c r="AI20" s="85">
        <f>_xlfn.XLOOKUP(AH20,'PEW5'!$B$6:$B$201,'PEW5'!$A$6:$A$201,0)</f>
        <v>0</v>
      </c>
      <c r="AJ20" s="11" t="str">
        <f>_xlfn.XLOOKUP($B20,'PEW6'!$C$6:$C$201,'PEW6'!$B$6:$B$201,"")</f>
        <v/>
      </c>
      <c r="AK20" s="85">
        <f>_xlfn.XLOOKUP(AJ20,'PEW6'!$B$6:$B$201,'PEW6'!$A$6:$A$201,0)</f>
        <v>0</v>
      </c>
      <c r="AL20" s="11" t="str">
        <f>_xlfn.XLOOKUP($B20,'PEW7'!$C$6:$C$201,'PEW7'!$B$6:$B$201,"")</f>
        <v/>
      </c>
      <c r="AM20" s="85">
        <f>_xlfn.XLOOKUP(AL20,'PEW7'!$B$6:$B$201,'PEW7'!$A$6:$A$201,0)</f>
        <v>0</v>
      </c>
      <c r="AN20" s="11" t="str">
        <f>_xlfn.XLOOKUP($B20,'PEW8'!$C$6:$C$201,'PEW8'!$B$6:$B$201,"")</f>
        <v/>
      </c>
      <c r="AO20" s="85">
        <f>_xlfn.XLOOKUP(AN20,'PEW8'!$B$6:$B$201,'PEW8'!$A$6:$A$201,0)</f>
        <v>0</v>
      </c>
      <c r="AP20" s="11" t="str">
        <f>_xlfn.XLOOKUP($B20,'PEW9'!$C$6:$C$201,'PEW9'!$B$6:$B$201,"")</f>
        <v/>
      </c>
      <c r="AQ20" s="85">
        <f>_xlfn.XLOOKUP(AP20,'PEW9'!$B$6:$B$201,'PEW9'!$A$6:$A$201,0)</f>
        <v>0</v>
      </c>
      <c r="AR20" s="11" t="str">
        <f>_xlfn.XLOOKUP($B20,'PEW10'!$C$6:$C$201,'PEW10'!$B$6:$B$201,"")</f>
        <v/>
      </c>
      <c r="AS20" s="85">
        <f>_xlfn.XLOOKUP(AR20,'PEW10'!$B$6:$B$201,'PEW10'!$A$6:$A$201,0)</f>
        <v>0</v>
      </c>
      <c r="AT20" s="11" t="str">
        <f>_xlfn.XLOOKUP($B20,'PEW11'!$C$6:$C$201,'PEW11'!$B$6:$B$201,"")</f>
        <v/>
      </c>
      <c r="AU20" s="85">
        <f>_xlfn.XLOOKUP(AT20,'PEW11'!$B$6:$B$201,'PEW11'!$A$6:$A$201,0)</f>
        <v>0</v>
      </c>
      <c r="AV20" s="11" t="str">
        <f>_xlfn.XLOOKUP($B20,'PEW12'!$C$6:$C$201,'PEW12'!$B$6:$B$201,"")</f>
        <v/>
      </c>
      <c r="AW20" s="85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86">
        <f>_xlfn.XLOOKUP(AX20,IMEW!$B$6:$B$201,IMEW!$A$6:$A$201,0)</f>
        <v>0</v>
      </c>
      <c r="BA20" s="87">
        <f t="shared" si="0"/>
        <v>0</v>
      </c>
      <c r="BB20" s="87">
        <f t="shared" si="1"/>
        <v>0</v>
      </c>
      <c r="BC20" s="87">
        <f t="shared" si="2"/>
        <v>0</v>
      </c>
      <c r="BD20" s="87">
        <f t="shared" si="3"/>
        <v>0</v>
      </c>
      <c r="BE20" s="87">
        <f t="shared" si="4"/>
        <v>0</v>
      </c>
      <c r="BF20" s="87">
        <f t="shared" si="5"/>
        <v>0</v>
      </c>
      <c r="BG20" s="87">
        <f t="shared" si="6"/>
        <v>0</v>
      </c>
    </row>
    <row r="21" spans="1:59" ht="14.8" customHeight="1" x14ac:dyDescent="0.25">
      <c r="A21" s="9">
        <f>ROW()-5</f>
        <v>16</v>
      </c>
      <c r="B21" s="12"/>
      <c r="C21" s="13"/>
      <c r="D21" s="82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4" t="str">
        <f>_xlfn.XLOOKUP($B21,'GP1'!$C$6:$C$101,'GP1'!$B$6:$B$101,"")</f>
        <v/>
      </c>
      <c r="F21" s="133">
        <f>_xlfn.XLOOKUP(E21,'GP1'!$B$6:$B$55,'GP1'!$A$6:$A$55,0)</f>
        <v>0</v>
      </c>
      <c r="G21" s="14">
        <f>_xlfn.XLOOKUP($B21,'GP2'!$C$6:$C$101,'GP2'!$B$6:$B$101,"")</f>
        <v>0</v>
      </c>
      <c r="H21" s="133">
        <f>_xlfn.XLOOKUP(G21,'GP2'!$B$6:$B$55,'GP2'!$A$6:$A$55,0)</f>
        <v>0</v>
      </c>
      <c r="I21" s="14" t="str">
        <f>_xlfn.XLOOKUP($B21,'GP3'!$C$6:$C$101,'GP3'!$B$6:$B$101,"")</f>
        <v/>
      </c>
      <c r="J21" s="83">
        <f>_xlfn.XLOOKUP(I21,'GP3'!$B$6:$B$55,'GP3'!$A$6:$A$55,0)</f>
        <v>0</v>
      </c>
      <c r="K21" s="14" t="str">
        <f>_xlfn.XLOOKUP($B21,'GP4'!$C$6:$C$101,'GP4'!$B$6:$B$101,"")</f>
        <v/>
      </c>
      <c r="L21" s="133">
        <f>_xlfn.XLOOKUP(K21,'GP4'!$B$6:$B$55,'GP4'!$A$6:$A$55,0)</f>
        <v>0</v>
      </c>
      <c r="M21" s="14">
        <f>_xlfn.XLOOKUP($B21,'GP5'!$C$6:$C$101,'GP5'!$B$6:$B$101,"")</f>
        <v>0</v>
      </c>
      <c r="N21" s="134">
        <f>_xlfn.XLOOKUP(M21,'GP5'!$B$6:$B$55,'GP5'!$A$6:$A$55,0)</f>
        <v>0</v>
      </c>
      <c r="O21" s="14">
        <f>_xlfn.XLOOKUP($B21,'GP6'!$C$6:$C$101,'GP6'!$B$6:$B$101,"")</f>
        <v>0</v>
      </c>
      <c r="P21" s="134">
        <f>_xlfn.XLOOKUP(O21,'GP6'!$B$6:$B$55,'GP6'!$A$6:$A$55,0)</f>
        <v>0</v>
      </c>
      <c r="Q21" s="14" t="str">
        <f>_xlfn.XLOOKUP($B21,'GP7'!$C$6:$C$101,'GP7'!$B$6:$B$101,"")</f>
        <v/>
      </c>
      <c r="R21" s="134">
        <f>_xlfn.XLOOKUP(Q21,'GP7'!$B$6:$B$55,'GP7'!$A$6:$A$55,0)</f>
        <v>0</v>
      </c>
      <c r="S21" s="14" t="str">
        <f>_xlfn.XLOOKUP($B21,'GP8'!$C$6:$C$101,'GP8'!$B$6:$B$101,"")</f>
        <v/>
      </c>
      <c r="T21" s="134">
        <f>_xlfn.XLOOKUP(S21,'GP8'!$B$6:$B$55,'GP8'!$A$6:$A$55,0)</f>
        <v>0</v>
      </c>
      <c r="U21" s="14" t="str">
        <f>_xlfn.XLOOKUP(B21,MPW!C$6:C$101,MPW!B$6:B$101,"")</f>
        <v/>
      </c>
      <c r="V21" s="134">
        <f>_xlfn.XLOOKUP(U21,MPW!B$6:B$55,MPW!A$6:A$55,0)</f>
        <v>0</v>
      </c>
      <c r="X21" s="11" t="str">
        <f>_xlfn.XLOOKUP($B21,'PEW1'!$C$6:$C$201,'PEW1'!$B$6:$B$201,"")</f>
        <v/>
      </c>
      <c r="Y21" s="85">
        <f>_xlfn.XLOOKUP(X21,'PEW1'!$B$6:$B$201,'PEW1'!$A$6:$A$201,0)</f>
        <v>0</v>
      </c>
      <c r="Z21" s="11" t="str">
        <f>_xlfn.XLOOKUP($B21,'PEW2'!$C$6:$C$201,'PEW2'!$B$6:$B$201,"")</f>
        <v/>
      </c>
      <c r="AA21" s="85">
        <f>_xlfn.XLOOKUP(Z21,'PEW2'!$B$6:$B$201,'PEW2'!$A$6:$A$201,0)</f>
        <v>0</v>
      </c>
      <c r="AB21" s="11" t="str">
        <f>_xlfn.XLOOKUP($B21,'PEW3'!$C$6:$C$201,'PEW3'!$B$6:$B$201,"")</f>
        <v/>
      </c>
      <c r="AC21" s="85">
        <f>_xlfn.XLOOKUP(AB21,'PEW3'!$B$6:$B$201,'PEW3'!$A$6:$A$201,0)</f>
        <v>0</v>
      </c>
      <c r="AD21" s="11" t="str">
        <f>_xlfn.XLOOKUP($B21,VFC!$C$6:$C$201,VFC!$B$6:$B$201,"")</f>
        <v/>
      </c>
      <c r="AE21" s="85">
        <f>_xlfn.XLOOKUP(AD21,VFC!$B$6:$B$201,VFC!$A$6:$A$201,0)</f>
        <v>0</v>
      </c>
      <c r="AF21" s="11" t="str">
        <f>_xlfn.XLOOKUP($B21,'PEW4'!$C$6:$C$201,'PEW4'!$B$6:$B$201,"")</f>
        <v/>
      </c>
      <c r="AG21" s="85">
        <f>_xlfn.XLOOKUP(AF21,'PEW4'!$B$6:$B$201,'PEW4'!$A$6:$A$201,0)</f>
        <v>0</v>
      </c>
      <c r="AH21" s="11" t="str">
        <f>_xlfn.XLOOKUP($B21,'PEW5'!$C$6:$C$201,'PEW5'!$B$6:$B$201,"")</f>
        <v/>
      </c>
      <c r="AI21" s="85">
        <f>_xlfn.XLOOKUP(AH21,'PEW5'!$B$6:$B$201,'PEW5'!$A$6:$A$201,0)</f>
        <v>0</v>
      </c>
      <c r="AJ21" s="11" t="str">
        <f>_xlfn.XLOOKUP($B21,'PEW6'!$C$6:$C$201,'PEW6'!$B$6:$B$201,"")</f>
        <v/>
      </c>
      <c r="AK21" s="85">
        <f>_xlfn.XLOOKUP(AJ21,'PEW6'!$B$6:$B$201,'PEW6'!$A$6:$A$201,0)</f>
        <v>0</v>
      </c>
      <c r="AL21" s="11" t="str">
        <f>_xlfn.XLOOKUP($B21,'PEW7'!$C$6:$C$201,'PEW7'!$B$6:$B$201,"")</f>
        <v/>
      </c>
      <c r="AM21" s="85">
        <f>_xlfn.XLOOKUP(AL21,'PEW7'!$B$6:$B$201,'PEW7'!$A$6:$A$201,0)</f>
        <v>0</v>
      </c>
      <c r="AN21" s="11" t="str">
        <f>_xlfn.XLOOKUP($B21,'PEW8'!$C$6:$C$201,'PEW8'!$B$6:$B$201,"")</f>
        <v/>
      </c>
      <c r="AO21" s="85">
        <f>_xlfn.XLOOKUP(AN21,'PEW8'!$B$6:$B$201,'PEW8'!$A$6:$A$201,0)</f>
        <v>0</v>
      </c>
      <c r="AP21" s="11" t="str">
        <f>_xlfn.XLOOKUP($B21,'PEW9'!$C$6:$C$201,'PEW9'!$B$6:$B$201,"")</f>
        <v/>
      </c>
      <c r="AQ21" s="85">
        <f>_xlfn.XLOOKUP(AP21,'PEW9'!$B$6:$B$201,'PEW9'!$A$6:$A$201,0)</f>
        <v>0</v>
      </c>
      <c r="AR21" s="11" t="str">
        <f>_xlfn.XLOOKUP($B21,'PEW10'!$C$6:$C$201,'PEW10'!$B$6:$B$201,"")</f>
        <v/>
      </c>
      <c r="AS21" s="85">
        <f>_xlfn.XLOOKUP(AR21,'PEW10'!$B$6:$B$201,'PEW10'!$A$6:$A$201,0)</f>
        <v>0</v>
      </c>
      <c r="AT21" s="11" t="str">
        <f>_xlfn.XLOOKUP($B21,'PEW11'!$C$6:$C$201,'PEW11'!$B$6:$B$201,"")</f>
        <v/>
      </c>
      <c r="AU21" s="85">
        <f>_xlfn.XLOOKUP(AT21,'PEW11'!$B$6:$B$201,'PEW11'!$A$6:$A$201,0)</f>
        <v>0</v>
      </c>
      <c r="AV21" s="11" t="str">
        <f>_xlfn.XLOOKUP($B21,'PEW12'!$C$6:$C$201,'PEW12'!$B$6:$B$201,"")</f>
        <v/>
      </c>
      <c r="AW21" s="85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86">
        <f>_xlfn.XLOOKUP(AX21,IMEW!$B$6:$B$201,IMEW!$A$6:$A$201,0)</f>
        <v>0</v>
      </c>
      <c r="BA21" s="87">
        <f t="shared" si="0"/>
        <v>0</v>
      </c>
      <c r="BB21" s="87">
        <f t="shared" si="1"/>
        <v>0</v>
      </c>
      <c r="BC21" s="87">
        <f t="shared" si="2"/>
        <v>0</v>
      </c>
      <c r="BD21" s="87">
        <f t="shared" si="3"/>
        <v>0</v>
      </c>
      <c r="BE21" s="87">
        <f t="shared" si="4"/>
        <v>0</v>
      </c>
      <c r="BF21" s="87">
        <f t="shared" si="5"/>
        <v>0</v>
      </c>
      <c r="BG21" s="87">
        <f t="shared" si="6"/>
        <v>0</v>
      </c>
    </row>
    <row r="22" spans="1:59" ht="14.8" customHeight="1" x14ac:dyDescent="0.25">
      <c r="A22" s="9">
        <f>ROW()-5</f>
        <v>17</v>
      </c>
      <c r="B22" s="12"/>
      <c r="C22" s="13"/>
      <c r="D22" s="82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4" t="str">
        <f>_xlfn.XLOOKUP($B22,'GP1'!$C$6:$C$101,'GP1'!$B$6:$B$101,"")</f>
        <v/>
      </c>
      <c r="F22" s="133">
        <f>_xlfn.XLOOKUP(E22,'GP1'!$B$6:$B$55,'GP1'!$A$6:$A$55,0)</f>
        <v>0</v>
      </c>
      <c r="G22" s="14">
        <f>_xlfn.XLOOKUP($B22,'GP2'!$C$6:$C$101,'GP2'!$B$6:$B$101,"")</f>
        <v>0</v>
      </c>
      <c r="H22" s="133">
        <f>_xlfn.XLOOKUP(G22,'GP2'!$B$6:$B$55,'GP2'!$A$6:$A$55,0)</f>
        <v>0</v>
      </c>
      <c r="I22" s="14" t="str">
        <f>_xlfn.XLOOKUP($B22,'GP3'!$C$6:$C$101,'GP3'!$B$6:$B$101,"")</f>
        <v/>
      </c>
      <c r="J22" s="83">
        <f>_xlfn.XLOOKUP(I22,'GP3'!$B$6:$B$55,'GP3'!$A$6:$A$55,0)</f>
        <v>0</v>
      </c>
      <c r="K22" s="14" t="str">
        <f>_xlfn.XLOOKUP($B22,'GP4'!$C$6:$C$101,'GP4'!$B$6:$B$101,"")</f>
        <v/>
      </c>
      <c r="L22" s="133">
        <f>_xlfn.XLOOKUP(K22,'GP4'!$B$6:$B$55,'GP4'!$A$6:$A$55,0)</f>
        <v>0</v>
      </c>
      <c r="M22" s="14">
        <f>_xlfn.XLOOKUP($B22,'GP5'!$C$6:$C$101,'GP5'!$B$6:$B$101,"")</f>
        <v>0</v>
      </c>
      <c r="N22" s="134">
        <f>_xlfn.XLOOKUP(M22,'GP5'!$B$6:$B$55,'GP5'!$A$6:$A$55,0)</f>
        <v>0</v>
      </c>
      <c r="O22" s="14">
        <f>_xlfn.XLOOKUP($B22,'GP6'!$C$6:$C$101,'GP6'!$B$6:$B$101,"")</f>
        <v>0</v>
      </c>
      <c r="P22" s="134">
        <f>_xlfn.XLOOKUP(O22,'GP6'!$B$6:$B$55,'GP6'!$A$6:$A$55,0)</f>
        <v>0</v>
      </c>
      <c r="Q22" s="14" t="str">
        <f>_xlfn.XLOOKUP($B22,'GP7'!$C$6:$C$101,'GP7'!$B$6:$B$101,"")</f>
        <v/>
      </c>
      <c r="R22" s="134">
        <f>_xlfn.XLOOKUP(Q22,'GP7'!$B$6:$B$55,'GP7'!$A$6:$A$55,0)</f>
        <v>0</v>
      </c>
      <c r="S22" s="14" t="str">
        <f>_xlfn.XLOOKUP($B22,'GP8'!$C$6:$C$101,'GP8'!$B$6:$B$101,"")</f>
        <v/>
      </c>
      <c r="T22" s="134">
        <f>_xlfn.XLOOKUP(S22,'GP8'!$B$6:$B$55,'GP8'!$A$6:$A$55,0)</f>
        <v>0</v>
      </c>
      <c r="U22" s="14" t="str">
        <f>_xlfn.XLOOKUP(B22,MPW!C$6:C$101,MPW!B$6:B$101,"")</f>
        <v/>
      </c>
      <c r="V22" s="134">
        <f>_xlfn.XLOOKUP(U22,MPW!B$6:B$55,MPW!A$6:A$55,0)</f>
        <v>0</v>
      </c>
      <c r="X22" s="11" t="str">
        <f>_xlfn.XLOOKUP($B22,'PEW1'!$C$6:$C$201,'PEW1'!$B$6:$B$201,"")</f>
        <v/>
      </c>
      <c r="Y22" s="85">
        <f>_xlfn.XLOOKUP(X22,'PEW1'!$B$6:$B$201,'PEW1'!$A$6:$A$201,0)</f>
        <v>0</v>
      </c>
      <c r="Z22" s="11" t="str">
        <f>_xlfn.XLOOKUP($B22,'PEW2'!$C$6:$C$201,'PEW2'!$B$6:$B$201,"")</f>
        <v/>
      </c>
      <c r="AA22" s="85">
        <f>_xlfn.XLOOKUP(Z22,'PEW2'!$B$6:$B$201,'PEW2'!$A$6:$A$201,0)</f>
        <v>0</v>
      </c>
      <c r="AB22" s="11" t="str">
        <f>_xlfn.XLOOKUP($B22,'PEW3'!$C$6:$C$201,'PEW3'!$B$6:$B$201,"")</f>
        <v/>
      </c>
      <c r="AC22" s="85">
        <f>_xlfn.XLOOKUP(AB22,'PEW3'!$B$6:$B$201,'PEW3'!$A$6:$A$201,0)</f>
        <v>0</v>
      </c>
      <c r="AD22" s="11" t="str">
        <f>_xlfn.XLOOKUP($B22,VFC!$C$6:$C$201,VFC!$B$6:$B$201,"")</f>
        <v/>
      </c>
      <c r="AE22" s="85">
        <f>_xlfn.XLOOKUP(AD22,VFC!$B$6:$B$201,VFC!$A$6:$A$201,0)</f>
        <v>0</v>
      </c>
      <c r="AF22" s="11" t="str">
        <f>_xlfn.XLOOKUP($B22,'PEW4'!$C$6:$C$201,'PEW4'!$B$6:$B$201,"")</f>
        <v/>
      </c>
      <c r="AG22" s="85">
        <f>_xlfn.XLOOKUP(AF22,'PEW4'!$B$6:$B$201,'PEW4'!$A$6:$A$201,0)</f>
        <v>0</v>
      </c>
      <c r="AH22" s="11" t="str">
        <f>_xlfn.XLOOKUP($B22,'PEW5'!$C$6:$C$201,'PEW5'!$B$6:$B$201,"")</f>
        <v/>
      </c>
      <c r="AI22" s="85">
        <f>_xlfn.XLOOKUP(AH22,'PEW5'!$B$6:$B$201,'PEW5'!$A$6:$A$201,0)</f>
        <v>0</v>
      </c>
      <c r="AJ22" s="11" t="str">
        <f>_xlfn.XLOOKUP($B22,'PEW6'!$C$6:$C$201,'PEW6'!$B$6:$B$201,"")</f>
        <v/>
      </c>
      <c r="AK22" s="85">
        <f>_xlfn.XLOOKUP(AJ22,'PEW6'!$B$6:$B$201,'PEW6'!$A$6:$A$201,0)</f>
        <v>0</v>
      </c>
      <c r="AL22" s="11" t="str">
        <f>_xlfn.XLOOKUP($B22,'PEW7'!$C$6:$C$201,'PEW7'!$B$6:$B$201,"")</f>
        <v/>
      </c>
      <c r="AM22" s="85">
        <f>_xlfn.XLOOKUP(AL22,'PEW7'!$B$6:$B$201,'PEW7'!$A$6:$A$201,0)</f>
        <v>0</v>
      </c>
      <c r="AN22" s="11" t="str">
        <f>_xlfn.XLOOKUP($B22,'PEW8'!$C$6:$C$201,'PEW8'!$B$6:$B$201,"")</f>
        <v/>
      </c>
      <c r="AO22" s="85">
        <f>_xlfn.XLOOKUP(AN22,'PEW8'!$B$6:$B$201,'PEW8'!$A$6:$A$201,0)</f>
        <v>0</v>
      </c>
      <c r="AP22" s="11" t="str">
        <f>_xlfn.XLOOKUP($B22,'PEW9'!$C$6:$C$201,'PEW9'!$B$6:$B$201,"")</f>
        <v/>
      </c>
      <c r="AQ22" s="85">
        <f>_xlfn.XLOOKUP(AP22,'PEW9'!$B$6:$B$201,'PEW9'!$A$6:$A$201,0)</f>
        <v>0</v>
      </c>
      <c r="AR22" s="11" t="str">
        <f>_xlfn.XLOOKUP($B22,'PEW10'!$C$6:$C$201,'PEW10'!$B$6:$B$201,"")</f>
        <v/>
      </c>
      <c r="AS22" s="85">
        <f>_xlfn.XLOOKUP(AR22,'PEW10'!$B$6:$B$201,'PEW10'!$A$6:$A$201,0)</f>
        <v>0</v>
      </c>
      <c r="AT22" s="11" t="str">
        <f>_xlfn.XLOOKUP($B22,'PEW11'!$C$6:$C$201,'PEW11'!$B$6:$B$201,"")</f>
        <v/>
      </c>
      <c r="AU22" s="85">
        <f>_xlfn.XLOOKUP(AT22,'PEW11'!$B$6:$B$201,'PEW11'!$A$6:$A$201,0)</f>
        <v>0</v>
      </c>
      <c r="AV22" s="11" t="str">
        <f>_xlfn.XLOOKUP($B22,'PEW12'!$C$6:$C$201,'PEW12'!$B$6:$B$201,"")</f>
        <v/>
      </c>
      <c r="AW22" s="85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86">
        <f>_xlfn.XLOOKUP(AX22,IMEW!$B$6:$B$201,IMEW!$A$6:$A$201,0)</f>
        <v>0</v>
      </c>
      <c r="BA22" s="87">
        <f t="shared" si="0"/>
        <v>0</v>
      </c>
      <c r="BB22" s="87">
        <f t="shared" si="1"/>
        <v>0</v>
      </c>
      <c r="BC22" s="87">
        <f t="shared" si="2"/>
        <v>0</v>
      </c>
      <c r="BD22" s="87">
        <f t="shared" si="3"/>
        <v>0</v>
      </c>
      <c r="BE22" s="87">
        <f t="shared" si="4"/>
        <v>0</v>
      </c>
      <c r="BF22" s="87">
        <f t="shared" si="5"/>
        <v>0</v>
      </c>
      <c r="BG22" s="87">
        <f t="shared" si="6"/>
        <v>0</v>
      </c>
    </row>
    <row r="23" spans="1:59" ht="14.8" customHeight="1" x14ac:dyDescent="0.25">
      <c r="A23" s="9">
        <f>ROW()-5</f>
        <v>18</v>
      </c>
      <c r="B23" s="12"/>
      <c r="C23" s="13"/>
      <c r="D23" s="82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4" t="str">
        <f>_xlfn.XLOOKUP($B23,'GP1'!$C$6:$C$101,'GP1'!$B$6:$B$101,"")</f>
        <v/>
      </c>
      <c r="F23" s="133">
        <f>_xlfn.XLOOKUP(E23,'GP1'!$B$6:$B$55,'GP1'!$A$6:$A$55,0)</f>
        <v>0</v>
      </c>
      <c r="G23" s="14">
        <f>_xlfn.XLOOKUP($B23,'GP2'!$C$6:$C$101,'GP2'!$B$6:$B$101,"")</f>
        <v>0</v>
      </c>
      <c r="H23" s="133">
        <f>_xlfn.XLOOKUP(G23,'GP2'!$B$6:$B$55,'GP2'!$A$6:$A$55,0)</f>
        <v>0</v>
      </c>
      <c r="I23" s="14" t="str">
        <f>_xlfn.XLOOKUP($B23,'GP3'!$C$6:$C$101,'GP3'!$B$6:$B$101,"")</f>
        <v/>
      </c>
      <c r="J23" s="83">
        <f>_xlfn.XLOOKUP(I23,'GP3'!$B$6:$B$55,'GP3'!$A$6:$A$55,0)</f>
        <v>0</v>
      </c>
      <c r="K23" s="14" t="str">
        <f>_xlfn.XLOOKUP($B23,'GP4'!$C$6:$C$101,'GP4'!$B$6:$B$101,"")</f>
        <v/>
      </c>
      <c r="L23" s="133">
        <f>_xlfn.XLOOKUP(K23,'GP4'!$B$6:$B$55,'GP4'!$A$6:$A$55,0)</f>
        <v>0</v>
      </c>
      <c r="M23" s="14">
        <f>_xlfn.XLOOKUP($B23,'GP5'!$C$6:$C$101,'GP5'!$B$6:$B$101,"")</f>
        <v>0</v>
      </c>
      <c r="N23" s="134">
        <f>_xlfn.XLOOKUP(M23,'GP5'!$B$6:$B$55,'GP5'!$A$6:$A$55,0)</f>
        <v>0</v>
      </c>
      <c r="O23" s="14">
        <f>_xlfn.XLOOKUP($B23,'GP6'!$C$6:$C$101,'GP6'!$B$6:$B$101,"")</f>
        <v>0</v>
      </c>
      <c r="P23" s="134">
        <f>_xlfn.XLOOKUP(O23,'GP6'!$B$6:$B$55,'GP6'!$A$6:$A$55,0)</f>
        <v>0</v>
      </c>
      <c r="Q23" s="14" t="str">
        <f>_xlfn.XLOOKUP($B23,'GP7'!$C$6:$C$101,'GP7'!$B$6:$B$101,"")</f>
        <v/>
      </c>
      <c r="R23" s="134">
        <f>_xlfn.XLOOKUP(Q23,'GP7'!$B$6:$B$55,'GP7'!$A$6:$A$55,0)</f>
        <v>0</v>
      </c>
      <c r="S23" s="14" t="str">
        <f>_xlfn.XLOOKUP($B23,'GP8'!$C$6:$C$101,'GP8'!$B$6:$B$101,"")</f>
        <v/>
      </c>
      <c r="T23" s="134">
        <f>_xlfn.XLOOKUP(S23,'GP8'!$B$6:$B$55,'GP8'!$A$6:$A$55,0)</f>
        <v>0</v>
      </c>
      <c r="U23" s="14" t="str">
        <f>_xlfn.XLOOKUP(B23,MPW!C$6:C$101,MPW!B$6:B$101,"")</f>
        <v/>
      </c>
      <c r="V23" s="134">
        <f>_xlfn.XLOOKUP(U23,MPW!B$6:B$55,MPW!A$6:A$55,0)</f>
        <v>0</v>
      </c>
      <c r="X23" s="11" t="str">
        <f>_xlfn.XLOOKUP($B23,'PEW1'!$C$6:$C$201,'PEW1'!$B$6:$B$201,"")</f>
        <v/>
      </c>
      <c r="Y23" s="85">
        <f>_xlfn.XLOOKUP(X23,'PEW1'!$B$6:$B$201,'PEW1'!$A$6:$A$201,0)</f>
        <v>0</v>
      </c>
      <c r="Z23" s="11" t="str">
        <f>_xlfn.XLOOKUP($B23,'PEW2'!$C$6:$C$201,'PEW2'!$B$6:$B$201,"")</f>
        <v/>
      </c>
      <c r="AA23" s="85">
        <f>_xlfn.XLOOKUP(Z23,'PEW2'!$B$6:$B$201,'PEW2'!$A$6:$A$201,0)</f>
        <v>0</v>
      </c>
      <c r="AB23" s="11" t="str">
        <f>_xlfn.XLOOKUP($B23,'PEW3'!$C$6:$C$201,'PEW3'!$B$6:$B$201,"")</f>
        <v/>
      </c>
      <c r="AC23" s="85">
        <f>_xlfn.XLOOKUP(AB23,'PEW3'!$B$6:$B$201,'PEW3'!$A$6:$A$201,0)</f>
        <v>0</v>
      </c>
      <c r="AD23" s="11" t="str">
        <f>_xlfn.XLOOKUP($B23,VFC!$C$6:$C$201,VFC!$B$6:$B$201,"")</f>
        <v/>
      </c>
      <c r="AE23" s="85">
        <f>_xlfn.XLOOKUP(AD23,VFC!$B$6:$B$201,VFC!$A$6:$A$201,0)</f>
        <v>0</v>
      </c>
      <c r="AF23" s="11" t="str">
        <f>_xlfn.XLOOKUP($B23,'PEW4'!$C$6:$C$201,'PEW4'!$B$6:$B$201,"")</f>
        <v/>
      </c>
      <c r="AG23" s="85">
        <f>_xlfn.XLOOKUP(AF23,'PEW4'!$B$6:$B$201,'PEW4'!$A$6:$A$201,0)</f>
        <v>0</v>
      </c>
      <c r="AH23" s="11" t="str">
        <f>_xlfn.XLOOKUP($B23,'PEW5'!$C$6:$C$201,'PEW5'!$B$6:$B$201,"")</f>
        <v/>
      </c>
      <c r="AI23" s="85">
        <f>_xlfn.XLOOKUP(AH23,'PEW5'!$B$6:$B$201,'PEW5'!$A$6:$A$201,0)</f>
        <v>0</v>
      </c>
      <c r="AJ23" s="11" t="str">
        <f>_xlfn.XLOOKUP($B23,'PEW6'!$C$6:$C$201,'PEW6'!$B$6:$B$201,"")</f>
        <v/>
      </c>
      <c r="AK23" s="85">
        <f>_xlfn.XLOOKUP(AJ23,'PEW6'!$B$6:$B$201,'PEW6'!$A$6:$A$201,0)</f>
        <v>0</v>
      </c>
      <c r="AL23" s="11" t="str">
        <f>_xlfn.XLOOKUP($B23,'PEW7'!$C$6:$C$201,'PEW7'!$B$6:$B$201,"")</f>
        <v/>
      </c>
      <c r="AM23" s="85">
        <f>_xlfn.XLOOKUP(AL23,'PEW7'!$B$6:$B$201,'PEW7'!$A$6:$A$201,0)</f>
        <v>0</v>
      </c>
      <c r="AN23" s="11" t="str">
        <f>_xlfn.XLOOKUP($B23,'PEW8'!$C$6:$C$201,'PEW8'!$B$6:$B$201,"")</f>
        <v/>
      </c>
      <c r="AO23" s="85">
        <f>_xlfn.XLOOKUP(AN23,'PEW8'!$B$6:$B$201,'PEW8'!$A$6:$A$201,0)</f>
        <v>0</v>
      </c>
      <c r="AP23" s="11" t="str">
        <f>_xlfn.XLOOKUP($B23,'PEW9'!$C$6:$C$201,'PEW9'!$B$6:$B$201,"")</f>
        <v/>
      </c>
      <c r="AQ23" s="85">
        <f>_xlfn.XLOOKUP(AP23,'PEW9'!$B$6:$B$201,'PEW9'!$A$6:$A$201,0)</f>
        <v>0</v>
      </c>
      <c r="AR23" s="11" t="str">
        <f>_xlfn.XLOOKUP($B23,'PEW10'!$C$6:$C$201,'PEW10'!$B$6:$B$201,"")</f>
        <v/>
      </c>
      <c r="AS23" s="85">
        <f>_xlfn.XLOOKUP(AR23,'PEW10'!$B$6:$B$201,'PEW10'!$A$6:$A$201,0)</f>
        <v>0</v>
      </c>
      <c r="AT23" s="11" t="str">
        <f>_xlfn.XLOOKUP($B23,'PEW11'!$C$6:$C$201,'PEW11'!$B$6:$B$201,"")</f>
        <v/>
      </c>
      <c r="AU23" s="85">
        <f>_xlfn.XLOOKUP(AT23,'PEW11'!$B$6:$B$201,'PEW11'!$A$6:$A$201,0)</f>
        <v>0</v>
      </c>
      <c r="AV23" s="11" t="str">
        <f>_xlfn.XLOOKUP($B23,'PEW12'!$C$6:$C$201,'PEW12'!$B$6:$B$201,"")</f>
        <v/>
      </c>
      <c r="AW23" s="85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86">
        <f>_xlfn.XLOOKUP(AX23,IMEW!$B$6:$B$201,IMEW!$A$6:$A$201,0)</f>
        <v>0</v>
      </c>
      <c r="BA23" s="87">
        <f t="shared" si="0"/>
        <v>0</v>
      </c>
      <c r="BB23" s="87">
        <f t="shared" si="1"/>
        <v>0</v>
      </c>
      <c r="BC23" s="87">
        <f t="shared" si="2"/>
        <v>0</v>
      </c>
      <c r="BD23" s="87">
        <f t="shared" si="3"/>
        <v>0</v>
      </c>
      <c r="BE23" s="87">
        <f t="shared" si="4"/>
        <v>0</v>
      </c>
      <c r="BF23" s="87">
        <f t="shared" si="5"/>
        <v>0</v>
      </c>
      <c r="BG23" s="87">
        <f t="shared" si="6"/>
        <v>0</v>
      </c>
    </row>
    <row r="24" spans="1:59" ht="14.3" x14ac:dyDescent="0.25">
      <c r="A24" s="9">
        <f>ROW()-5</f>
        <v>19</v>
      </c>
      <c r="B24" s="12"/>
      <c r="C24" s="13"/>
      <c r="D24" s="82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4" t="str">
        <f>_xlfn.XLOOKUP($B24,'GP1'!$C$6:$C$101,'GP1'!$B$6:$B$101,"")</f>
        <v/>
      </c>
      <c r="F24" s="133">
        <f>_xlfn.XLOOKUP(E24,'GP1'!$B$6:$B$55,'GP1'!$A$6:$A$55,0)</f>
        <v>0</v>
      </c>
      <c r="G24" s="14">
        <f>_xlfn.XLOOKUP($B24,'GP2'!$C$6:$C$101,'GP2'!$B$6:$B$101,"")</f>
        <v>0</v>
      </c>
      <c r="H24" s="133">
        <f>_xlfn.XLOOKUP(G24,'GP2'!$B$6:$B$55,'GP2'!$A$6:$A$55,0)</f>
        <v>0</v>
      </c>
      <c r="I24" s="14" t="str">
        <f>_xlfn.XLOOKUP($B24,'GP3'!$C$6:$C$101,'GP3'!$B$6:$B$101,"")</f>
        <v/>
      </c>
      <c r="J24" s="83">
        <f>_xlfn.XLOOKUP(I24,'GP3'!$B$6:$B$55,'GP3'!$A$6:$A$55,0)</f>
        <v>0</v>
      </c>
      <c r="K24" s="14" t="str">
        <f>_xlfn.XLOOKUP($B24,'GP4'!$C$6:$C$101,'GP4'!$B$6:$B$101,"")</f>
        <v/>
      </c>
      <c r="L24" s="133">
        <f>_xlfn.XLOOKUP(K24,'GP4'!$B$6:$B$55,'GP4'!$A$6:$A$55,0)</f>
        <v>0</v>
      </c>
      <c r="M24" s="14">
        <f>_xlfn.XLOOKUP($B24,'GP5'!$C$6:$C$101,'GP5'!$B$6:$B$101,"")</f>
        <v>0</v>
      </c>
      <c r="N24" s="134">
        <f>_xlfn.XLOOKUP(M24,'GP5'!$B$6:$B$55,'GP5'!$A$6:$A$55,0)</f>
        <v>0</v>
      </c>
      <c r="O24" s="14">
        <f>_xlfn.XLOOKUP($B24,'GP6'!$C$6:$C$101,'GP6'!$B$6:$B$101,"")</f>
        <v>0</v>
      </c>
      <c r="P24" s="134">
        <f>_xlfn.XLOOKUP(O24,'GP6'!$B$6:$B$55,'GP6'!$A$6:$A$55,0)</f>
        <v>0</v>
      </c>
      <c r="Q24" s="14" t="str">
        <f>_xlfn.XLOOKUP($B24,'GP7'!$C$6:$C$101,'GP7'!$B$6:$B$101,"")</f>
        <v/>
      </c>
      <c r="R24" s="134">
        <f>_xlfn.XLOOKUP(Q24,'GP7'!$B$6:$B$55,'GP7'!$A$6:$A$55,0)</f>
        <v>0</v>
      </c>
      <c r="S24" s="14" t="str">
        <f>_xlfn.XLOOKUP($B24,'GP8'!$C$6:$C$101,'GP8'!$B$6:$B$101,"")</f>
        <v/>
      </c>
      <c r="T24" s="134">
        <f>_xlfn.XLOOKUP(S24,'GP8'!$B$6:$B$55,'GP8'!$A$6:$A$55,0)</f>
        <v>0</v>
      </c>
      <c r="U24" s="14" t="str">
        <f>_xlfn.XLOOKUP(B24,MPW!C$6:C$101,MPW!B$6:B$101,"")</f>
        <v/>
      </c>
      <c r="V24" s="134">
        <f>_xlfn.XLOOKUP(U24,MPW!B$6:B$55,MPW!A$6:A$55,0)</f>
        <v>0</v>
      </c>
      <c r="X24" s="11" t="str">
        <f>_xlfn.XLOOKUP($B24,'PEW1'!$C$6:$C$201,'PEW1'!$B$6:$B$201,"")</f>
        <v/>
      </c>
      <c r="Y24" s="85">
        <f>_xlfn.XLOOKUP(X24,'PEW1'!$B$6:$B$201,'PEW1'!$A$6:$A$201,0)</f>
        <v>0</v>
      </c>
      <c r="Z24" s="11" t="str">
        <f>_xlfn.XLOOKUP($B24,'PEW2'!$C$6:$C$201,'PEW2'!$B$6:$B$201,"")</f>
        <v/>
      </c>
      <c r="AA24" s="85">
        <f>_xlfn.XLOOKUP(Z24,'PEW2'!$B$6:$B$201,'PEW2'!$A$6:$A$201,0)</f>
        <v>0</v>
      </c>
      <c r="AB24" s="11" t="str">
        <f>_xlfn.XLOOKUP($B24,'PEW3'!$C$6:$C$201,'PEW3'!$B$6:$B$201,"")</f>
        <v/>
      </c>
      <c r="AC24" s="85">
        <f>_xlfn.XLOOKUP(AB24,'PEW3'!$B$6:$B$201,'PEW3'!$A$6:$A$201,0)</f>
        <v>0</v>
      </c>
      <c r="AD24" s="11" t="str">
        <f>_xlfn.XLOOKUP($B24,VFC!$C$6:$C$201,VFC!$B$6:$B$201,"")</f>
        <v/>
      </c>
      <c r="AE24" s="85">
        <f>_xlfn.XLOOKUP(AD24,VFC!$B$6:$B$201,VFC!$A$6:$A$201,0)</f>
        <v>0</v>
      </c>
      <c r="AF24" s="11" t="str">
        <f>_xlfn.XLOOKUP($B24,'PEW4'!$C$6:$C$201,'PEW4'!$B$6:$B$201,"")</f>
        <v/>
      </c>
      <c r="AG24" s="85">
        <f>_xlfn.XLOOKUP(AF24,'PEW4'!$B$6:$B$201,'PEW4'!$A$6:$A$201,0)</f>
        <v>0</v>
      </c>
      <c r="AH24" s="11" t="str">
        <f>_xlfn.XLOOKUP($B24,'PEW5'!$C$6:$C$201,'PEW5'!$B$6:$B$201,"")</f>
        <v/>
      </c>
      <c r="AI24" s="85">
        <f>_xlfn.XLOOKUP(AH24,'PEW5'!$B$6:$B$201,'PEW5'!$A$6:$A$201,0)</f>
        <v>0</v>
      </c>
      <c r="AJ24" s="11" t="str">
        <f>_xlfn.XLOOKUP($B24,'PEW6'!$C$6:$C$201,'PEW6'!$B$6:$B$201,"")</f>
        <v/>
      </c>
      <c r="AK24" s="85">
        <f>_xlfn.XLOOKUP(AJ24,'PEW6'!$B$6:$B$201,'PEW6'!$A$6:$A$201,0)</f>
        <v>0</v>
      </c>
      <c r="AL24" s="11" t="str">
        <f>_xlfn.XLOOKUP($B24,'PEW7'!$C$6:$C$201,'PEW7'!$B$6:$B$201,"")</f>
        <v/>
      </c>
      <c r="AM24" s="85">
        <f>_xlfn.XLOOKUP(AL24,'PEW7'!$B$6:$B$201,'PEW7'!$A$6:$A$201,0)</f>
        <v>0</v>
      </c>
      <c r="AN24" s="11" t="str">
        <f>_xlfn.XLOOKUP($B24,'PEW8'!$C$6:$C$201,'PEW8'!$B$6:$B$201,"")</f>
        <v/>
      </c>
      <c r="AO24" s="85">
        <f>_xlfn.XLOOKUP(AN24,'PEW8'!$B$6:$B$201,'PEW8'!$A$6:$A$201,0)</f>
        <v>0</v>
      </c>
      <c r="AP24" s="11" t="str">
        <f>_xlfn.XLOOKUP($B24,'PEW9'!$C$6:$C$201,'PEW9'!$B$6:$B$201,"")</f>
        <v/>
      </c>
      <c r="AQ24" s="85">
        <f>_xlfn.XLOOKUP(AP24,'PEW9'!$B$6:$B$201,'PEW9'!$A$6:$A$201,0)</f>
        <v>0</v>
      </c>
      <c r="AR24" s="11" t="str">
        <f>_xlfn.XLOOKUP($B24,'PEW10'!$C$6:$C$201,'PEW10'!$B$6:$B$201,"")</f>
        <v/>
      </c>
      <c r="AS24" s="85">
        <f>_xlfn.XLOOKUP(AR24,'PEW10'!$B$6:$B$201,'PEW10'!$A$6:$A$201,0)</f>
        <v>0</v>
      </c>
      <c r="AT24" s="11" t="str">
        <f>_xlfn.XLOOKUP($B24,'PEW11'!$C$6:$C$201,'PEW11'!$B$6:$B$201,"")</f>
        <v/>
      </c>
      <c r="AU24" s="85">
        <f>_xlfn.XLOOKUP(AT24,'PEW11'!$B$6:$B$201,'PEW11'!$A$6:$A$201,0)</f>
        <v>0</v>
      </c>
      <c r="AV24" s="11" t="str">
        <f>_xlfn.XLOOKUP($B24,'PEW12'!$C$6:$C$201,'PEW12'!$B$6:$B$201,"")</f>
        <v/>
      </c>
      <c r="AW24" s="85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86">
        <f>_xlfn.XLOOKUP(AX24,IMEW!$B$6:$B$201,IMEW!$A$6:$A$201,0)</f>
        <v>0</v>
      </c>
      <c r="BA24" s="87">
        <f t="shared" si="0"/>
        <v>0</v>
      </c>
      <c r="BB24" s="87">
        <f t="shared" si="1"/>
        <v>0</v>
      </c>
      <c r="BC24" s="87">
        <f t="shared" si="2"/>
        <v>0</v>
      </c>
      <c r="BD24" s="87">
        <f t="shared" si="3"/>
        <v>0</v>
      </c>
      <c r="BE24" s="87">
        <f t="shared" si="4"/>
        <v>0</v>
      </c>
      <c r="BF24" s="87">
        <f t="shared" si="5"/>
        <v>0</v>
      </c>
      <c r="BG24" s="87">
        <f t="shared" si="6"/>
        <v>0</v>
      </c>
    </row>
    <row r="25" spans="1:59" ht="14.3" x14ac:dyDescent="0.25">
      <c r="A25" s="9">
        <f>ROW()-5</f>
        <v>20</v>
      </c>
      <c r="B25" s="12"/>
      <c r="C25" s="13"/>
      <c r="D25" s="82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4" t="str">
        <f>_xlfn.XLOOKUP($B25,'GP1'!$C$6:$C$101,'GP1'!$B$6:$B$101,"")</f>
        <v/>
      </c>
      <c r="F25" s="133">
        <f>_xlfn.XLOOKUP(E25,'GP1'!$B$6:$B$55,'GP1'!$A$6:$A$55,0)</f>
        <v>0</v>
      </c>
      <c r="G25" s="14">
        <f>_xlfn.XLOOKUP($B25,'GP2'!$C$6:$C$101,'GP2'!$B$6:$B$101,"")</f>
        <v>0</v>
      </c>
      <c r="H25" s="133">
        <f>_xlfn.XLOOKUP(G25,'GP2'!$B$6:$B$55,'GP2'!$A$6:$A$55,0)</f>
        <v>0</v>
      </c>
      <c r="I25" s="14" t="str">
        <f>_xlfn.XLOOKUP($B25,'GP3'!$C$6:$C$101,'GP3'!$B$6:$B$101,"")</f>
        <v/>
      </c>
      <c r="J25" s="83">
        <f>_xlfn.XLOOKUP(I25,'GP3'!$B$6:$B$55,'GP3'!$A$6:$A$55,0)</f>
        <v>0</v>
      </c>
      <c r="K25" s="14" t="str">
        <f>_xlfn.XLOOKUP($B25,'GP4'!$C$6:$C$101,'GP4'!$B$6:$B$101,"")</f>
        <v/>
      </c>
      <c r="L25" s="133">
        <f>_xlfn.XLOOKUP(K25,'GP4'!$B$6:$B$55,'GP4'!$A$6:$A$55,0)</f>
        <v>0</v>
      </c>
      <c r="M25" s="14">
        <f>_xlfn.XLOOKUP($B25,'GP5'!$C$6:$C$101,'GP5'!$B$6:$B$101,"")</f>
        <v>0</v>
      </c>
      <c r="N25" s="134">
        <f>_xlfn.XLOOKUP(M25,'GP5'!$B$6:$B$55,'GP5'!$A$6:$A$55,0)</f>
        <v>0</v>
      </c>
      <c r="O25" s="14">
        <f>_xlfn.XLOOKUP($B25,'GP6'!$C$6:$C$101,'GP6'!$B$6:$B$101,"")</f>
        <v>0</v>
      </c>
      <c r="P25" s="134">
        <f>_xlfn.XLOOKUP(O25,'GP6'!$B$6:$B$55,'GP6'!$A$6:$A$55,0)</f>
        <v>0</v>
      </c>
      <c r="Q25" s="14" t="str">
        <f>_xlfn.XLOOKUP($B25,'GP7'!$C$6:$C$101,'GP7'!$B$6:$B$101,"")</f>
        <v/>
      </c>
      <c r="R25" s="134">
        <f>_xlfn.XLOOKUP(Q25,'GP7'!$B$6:$B$55,'GP7'!$A$6:$A$55,0)</f>
        <v>0</v>
      </c>
      <c r="S25" s="14" t="str">
        <f>_xlfn.XLOOKUP($B25,'GP8'!$C$6:$C$101,'GP8'!$B$6:$B$101,"")</f>
        <v/>
      </c>
      <c r="T25" s="134">
        <f>_xlfn.XLOOKUP(S25,'GP8'!$B$6:$B$55,'GP8'!$A$6:$A$55,0)</f>
        <v>0</v>
      </c>
      <c r="U25" s="14" t="str">
        <f>_xlfn.XLOOKUP(B25,MPW!C$6:C$101,MPW!B$6:B$101,"")</f>
        <v/>
      </c>
      <c r="V25" s="134">
        <f>_xlfn.XLOOKUP(U25,MPW!B$6:B$55,MPW!A$6:A$55,0)</f>
        <v>0</v>
      </c>
      <c r="X25" s="11" t="str">
        <f>_xlfn.XLOOKUP($B25,'PEW1'!$C$6:$C$201,'PEW1'!$B$6:$B$201,"")</f>
        <v/>
      </c>
      <c r="Y25" s="85">
        <f>_xlfn.XLOOKUP(X25,'PEW1'!$B$6:$B$201,'PEW1'!$A$6:$A$201,0)</f>
        <v>0</v>
      </c>
      <c r="Z25" s="11" t="str">
        <f>_xlfn.XLOOKUP($B25,'PEW2'!$C$6:$C$201,'PEW2'!$B$6:$B$201,"")</f>
        <v/>
      </c>
      <c r="AA25" s="85">
        <f>_xlfn.XLOOKUP(Z25,'PEW2'!$B$6:$B$201,'PEW2'!$A$6:$A$201,0)</f>
        <v>0</v>
      </c>
      <c r="AB25" s="11" t="str">
        <f>_xlfn.XLOOKUP($B25,'PEW3'!$C$6:$C$201,'PEW3'!$B$6:$B$201,"")</f>
        <v/>
      </c>
      <c r="AC25" s="85">
        <f>_xlfn.XLOOKUP(AB25,'PEW3'!$B$6:$B$201,'PEW3'!$A$6:$A$201,0)</f>
        <v>0</v>
      </c>
      <c r="AD25" s="11" t="str">
        <f>_xlfn.XLOOKUP($B25,VFC!$C$6:$C$201,VFC!$B$6:$B$201,"")</f>
        <v/>
      </c>
      <c r="AE25" s="85">
        <f>_xlfn.XLOOKUP(AD25,VFC!$B$6:$B$201,VFC!$A$6:$A$201,0)</f>
        <v>0</v>
      </c>
      <c r="AF25" s="11" t="str">
        <f>_xlfn.XLOOKUP($B25,'PEW4'!$C$6:$C$201,'PEW4'!$B$6:$B$201,"")</f>
        <v/>
      </c>
      <c r="AG25" s="85">
        <f>_xlfn.XLOOKUP(AF25,'PEW4'!$B$6:$B$201,'PEW4'!$A$6:$A$201,0)</f>
        <v>0</v>
      </c>
      <c r="AH25" s="11" t="str">
        <f>_xlfn.XLOOKUP($B25,'PEW5'!$C$6:$C$201,'PEW5'!$B$6:$B$201,"")</f>
        <v/>
      </c>
      <c r="AI25" s="85">
        <f>_xlfn.XLOOKUP(AH25,'PEW5'!$B$6:$B$201,'PEW5'!$A$6:$A$201,0)</f>
        <v>0</v>
      </c>
      <c r="AJ25" s="11" t="str">
        <f>_xlfn.XLOOKUP($B25,'PEW6'!$C$6:$C$201,'PEW6'!$B$6:$B$201,"")</f>
        <v/>
      </c>
      <c r="AK25" s="85">
        <f>_xlfn.XLOOKUP(AJ25,'PEW6'!$B$6:$B$201,'PEW6'!$A$6:$A$201,0)</f>
        <v>0</v>
      </c>
      <c r="AL25" s="11" t="str">
        <f>_xlfn.XLOOKUP($B25,'PEW7'!$C$6:$C$201,'PEW7'!$B$6:$B$201,"")</f>
        <v/>
      </c>
      <c r="AM25" s="85">
        <f>_xlfn.XLOOKUP(AL25,'PEW7'!$B$6:$B$201,'PEW7'!$A$6:$A$201,0)</f>
        <v>0</v>
      </c>
      <c r="AN25" s="11" t="str">
        <f>_xlfn.XLOOKUP($B25,'PEW8'!$C$6:$C$201,'PEW8'!$B$6:$B$201,"")</f>
        <v/>
      </c>
      <c r="AO25" s="85">
        <f>_xlfn.XLOOKUP(AN25,'PEW8'!$B$6:$B$201,'PEW8'!$A$6:$A$201,0)</f>
        <v>0</v>
      </c>
      <c r="AP25" s="11" t="str">
        <f>_xlfn.XLOOKUP($B25,'PEW9'!$C$6:$C$201,'PEW9'!$B$6:$B$201,"")</f>
        <v/>
      </c>
      <c r="AQ25" s="85">
        <f>_xlfn.XLOOKUP(AP25,'PEW9'!$B$6:$B$201,'PEW9'!$A$6:$A$201,0)</f>
        <v>0</v>
      </c>
      <c r="AR25" s="11" t="str">
        <f>_xlfn.XLOOKUP($B25,'PEW10'!$C$6:$C$201,'PEW10'!$B$6:$B$201,"")</f>
        <v/>
      </c>
      <c r="AS25" s="85">
        <f>_xlfn.XLOOKUP(AR25,'PEW10'!$B$6:$B$201,'PEW10'!$A$6:$A$201,0)</f>
        <v>0</v>
      </c>
      <c r="AT25" s="11" t="str">
        <f>_xlfn.XLOOKUP($B25,'PEW11'!$C$6:$C$201,'PEW11'!$B$6:$B$201,"")</f>
        <v/>
      </c>
      <c r="AU25" s="85">
        <f>_xlfn.XLOOKUP(AT25,'PEW11'!$B$6:$B$201,'PEW11'!$A$6:$A$201,0)</f>
        <v>0</v>
      </c>
      <c r="AV25" s="11" t="str">
        <f>_xlfn.XLOOKUP($B25,'PEW12'!$C$6:$C$201,'PEW12'!$B$6:$B$201,"")</f>
        <v/>
      </c>
      <c r="AW25" s="85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86">
        <f>_xlfn.XLOOKUP(AX25,IMEW!$B$6:$B$201,IMEW!$A$6:$A$201,0)</f>
        <v>0</v>
      </c>
      <c r="BA25" s="87">
        <f t="shared" si="0"/>
        <v>0</v>
      </c>
      <c r="BB25" s="87">
        <f t="shared" si="1"/>
        <v>0</v>
      </c>
      <c r="BC25" s="87">
        <f t="shared" si="2"/>
        <v>0</v>
      </c>
      <c r="BD25" s="87">
        <f t="shared" si="3"/>
        <v>0</v>
      </c>
      <c r="BE25" s="87">
        <f t="shared" si="4"/>
        <v>0</v>
      </c>
      <c r="BF25" s="87">
        <f t="shared" si="5"/>
        <v>0</v>
      </c>
      <c r="BG25" s="87">
        <f t="shared" si="6"/>
        <v>0</v>
      </c>
    </row>
    <row r="26" spans="1:59" ht="14.3" x14ac:dyDescent="0.25">
      <c r="A26" s="9">
        <f>ROW()-5</f>
        <v>21</v>
      </c>
      <c r="B26" s="12"/>
      <c r="C26" s="13"/>
      <c r="D26" s="82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4" t="str">
        <f>_xlfn.XLOOKUP($B26,'GP1'!$C$6:$C$101,'GP1'!$B$6:$B$101,"")</f>
        <v/>
      </c>
      <c r="F26" s="133">
        <f>_xlfn.XLOOKUP(E26,'GP1'!$B$6:$B$55,'GP1'!$A$6:$A$55,0)</f>
        <v>0</v>
      </c>
      <c r="G26" s="14">
        <f>_xlfn.XLOOKUP($B26,'GP2'!$C$6:$C$101,'GP2'!$B$6:$B$101,"")</f>
        <v>0</v>
      </c>
      <c r="H26" s="133">
        <f>_xlfn.XLOOKUP(G26,'GP2'!$B$6:$B$55,'GP2'!$A$6:$A$55,0)</f>
        <v>0</v>
      </c>
      <c r="I26" s="14" t="str">
        <f>_xlfn.XLOOKUP($B26,'GP3'!$C$6:$C$101,'GP3'!$B$6:$B$101,"")</f>
        <v/>
      </c>
      <c r="J26" s="83">
        <f>_xlfn.XLOOKUP(I26,'GP3'!$B$6:$B$55,'GP3'!$A$6:$A$55,0)</f>
        <v>0</v>
      </c>
      <c r="K26" s="14" t="str">
        <f>_xlfn.XLOOKUP($B26,'GP4'!$C$6:$C$101,'GP4'!$B$6:$B$101,"")</f>
        <v/>
      </c>
      <c r="L26" s="133">
        <f>_xlfn.XLOOKUP(K26,'GP4'!$B$6:$B$55,'GP4'!$A$6:$A$55,0)</f>
        <v>0</v>
      </c>
      <c r="M26" s="14">
        <f>_xlfn.XLOOKUP($B26,'GP5'!$C$6:$C$101,'GP5'!$B$6:$B$101,"")</f>
        <v>0</v>
      </c>
      <c r="N26" s="134">
        <f>_xlfn.XLOOKUP(M26,'GP5'!$B$6:$B$55,'GP5'!$A$6:$A$55,0)</f>
        <v>0</v>
      </c>
      <c r="O26" s="14">
        <f>_xlfn.XLOOKUP($B26,'GP6'!$C$6:$C$101,'GP6'!$B$6:$B$101,"")</f>
        <v>0</v>
      </c>
      <c r="P26" s="134">
        <f>_xlfn.XLOOKUP(O26,'GP6'!$B$6:$B$55,'GP6'!$A$6:$A$55,0)</f>
        <v>0</v>
      </c>
      <c r="Q26" s="14" t="str">
        <f>_xlfn.XLOOKUP($B26,'GP7'!$C$6:$C$101,'GP7'!$B$6:$B$101,"")</f>
        <v/>
      </c>
      <c r="R26" s="134">
        <f>_xlfn.XLOOKUP(Q26,'GP7'!$B$6:$B$55,'GP7'!$A$6:$A$55,0)</f>
        <v>0</v>
      </c>
      <c r="S26" s="14" t="str">
        <f>_xlfn.XLOOKUP($B26,'GP8'!$C$6:$C$101,'GP8'!$B$6:$B$101,"")</f>
        <v/>
      </c>
      <c r="T26" s="134">
        <f>_xlfn.XLOOKUP(S26,'GP8'!$B$6:$B$55,'GP8'!$A$6:$A$55,0)</f>
        <v>0</v>
      </c>
      <c r="U26" s="14" t="str">
        <f>_xlfn.XLOOKUP(B26,MPW!C$6:C$101,MPW!B$6:B$101,"")</f>
        <v/>
      </c>
      <c r="V26" s="134">
        <f>_xlfn.XLOOKUP(U26,MPW!B$6:B$55,MPW!A$6:A$55,0)</f>
        <v>0</v>
      </c>
      <c r="X26" s="11" t="str">
        <f>_xlfn.XLOOKUP($B26,'PEW1'!$C$6:$C$201,'PEW1'!$B$6:$B$201,"")</f>
        <v/>
      </c>
      <c r="Y26" s="85">
        <f>_xlfn.XLOOKUP(X26,'PEW1'!$B$6:$B$201,'PEW1'!$A$6:$A$201,0)</f>
        <v>0</v>
      </c>
      <c r="Z26" s="11" t="str">
        <f>_xlfn.XLOOKUP($B26,'PEW2'!$C$6:$C$201,'PEW2'!$B$6:$B$201,"")</f>
        <v/>
      </c>
      <c r="AA26" s="85">
        <f>_xlfn.XLOOKUP(Z26,'PEW2'!$B$6:$B$201,'PEW2'!$A$6:$A$201,0)</f>
        <v>0</v>
      </c>
      <c r="AB26" s="11" t="str">
        <f>_xlfn.XLOOKUP($B26,'PEW3'!$C$6:$C$201,'PEW3'!$B$6:$B$201,"")</f>
        <v/>
      </c>
      <c r="AC26" s="85">
        <f>_xlfn.XLOOKUP(AB26,'PEW3'!$B$6:$B$201,'PEW3'!$A$6:$A$201,0)</f>
        <v>0</v>
      </c>
      <c r="AD26" s="11" t="str">
        <f>_xlfn.XLOOKUP($B26,VFC!$C$6:$C$201,VFC!$B$6:$B$201,"")</f>
        <v/>
      </c>
      <c r="AE26" s="85">
        <f>_xlfn.XLOOKUP(AD26,VFC!$B$6:$B$201,VFC!$A$6:$A$201,0)</f>
        <v>0</v>
      </c>
      <c r="AF26" s="11" t="str">
        <f>_xlfn.XLOOKUP($B26,'PEW4'!$C$6:$C$201,'PEW4'!$B$6:$B$201,"")</f>
        <v/>
      </c>
      <c r="AG26" s="85">
        <f>_xlfn.XLOOKUP(AF26,'PEW4'!$B$6:$B$201,'PEW4'!$A$6:$A$201,0)</f>
        <v>0</v>
      </c>
      <c r="AH26" s="11" t="str">
        <f>_xlfn.XLOOKUP($B26,'PEW5'!$C$6:$C$201,'PEW5'!$B$6:$B$201,"")</f>
        <v/>
      </c>
      <c r="AI26" s="85">
        <f>_xlfn.XLOOKUP(AH26,'PEW5'!$B$6:$B$201,'PEW5'!$A$6:$A$201,0)</f>
        <v>0</v>
      </c>
      <c r="AJ26" s="11" t="str">
        <f>_xlfn.XLOOKUP($B26,'PEW6'!$C$6:$C$201,'PEW6'!$B$6:$B$201,"")</f>
        <v/>
      </c>
      <c r="AK26" s="85">
        <f>_xlfn.XLOOKUP(AJ26,'PEW6'!$B$6:$B$201,'PEW6'!$A$6:$A$201,0)</f>
        <v>0</v>
      </c>
      <c r="AL26" s="11" t="str">
        <f>_xlfn.XLOOKUP($B26,'PEW7'!$C$6:$C$201,'PEW7'!$B$6:$B$201,"")</f>
        <v/>
      </c>
      <c r="AM26" s="85">
        <f>_xlfn.XLOOKUP(AL26,'PEW7'!$B$6:$B$201,'PEW7'!$A$6:$A$201,0)</f>
        <v>0</v>
      </c>
      <c r="AN26" s="11" t="str">
        <f>_xlfn.XLOOKUP($B26,'PEW8'!$C$6:$C$201,'PEW8'!$B$6:$B$201,"")</f>
        <v/>
      </c>
      <c r="AO26" s="85">
        <f>_xlfn.XLOOKUP(AN26,'PEW8'!$B$6:$B$201,'PEW8'!$A$6:$A$201,0)</f>
        <v>0</v>
      </c>
      <c r="AP26" s="11" t="str">
        <f>_xlfn.XLOOKUP($B26,'PEW9'!$C$6:$C$201,'PEW9'!$B$6:$B$201,"")</f>
        <v/>
      </c>
      <c r="AQ26" s="85">
        <f>_xlfn.XLOOKUP(AP26,'PEW9'!$B$6:$B$201,'PEW9'!$A$6:$A$201,0)</f>
        <v>0</v>
      </c>
      <c r="AR26" s="11" t="str">
        <f>_xlfn.XLOOKUP($B26,'PEW10'!$C$6:$C$201,'PEW10'!$B$6:$B$201,"")</f>
        <v/>
      </c>
      <c r="AS26" s="85">
        <f>_xlfn.XLOOKUP(AR26,'PEW10'!$B$6:$B$201,'PEW10'!$A$6:$A$201,0)</f>
        <v>0</v>
      </c>
      <c r="AT26" s="11" t="str">
        <f>_xlfn.XLOOKUP($B26,'PEW11'!$C$6:$C$201,'PEW11'!$B$6:$B$201,"")</f>
        <v/>
      </c>
      <c r="AU26" s="85">
        <f>_xlfn.XLOOKUP(AT26,'PEW11'!$B$6:$B$201,'PEW11'!$A$6:$A$201,0)</f>
        <v>0</v>
      </c>
      <c r="AV26" s="11" t="str">
        <f>_xlfn.XLOOKUP($B26,'PEW12'!$C$6:$C$201,'PEW12'!$B$6:$B$201,"")</f>
        <v/>
      </c>
      <c r="AW26" s="85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86">
        <f>_xlfn.XLOOKUP(AX26,IMEW!$B$6:$B$201,IMEW!$A$6:$A$201,0)</f>
        <v>0</v>
      </c>
      <c r="BA26" s="87">
        <f t="shared" si="0"/>
        <v>0</v>
      </c>
      <c r="BB26" s="87">
        <f t="shared" si="1"/>
        <v>0</v>
      </c>
      <c r="BC26" s="87">
        <f t="shared" si="2"/>
        <v>0</v>
      </c>
      <c r="BD26" s="87">
        <f t="shared" si="3"/>
        <v>0</v>
      </c>
      <c r="BE26" s="87">
        <f t="shared" si="4"/>
        <v>0</v>
      </c>
      <c r="BF26" s="87">
        <f t="shared" si="5"/>
        <v>0</v>
      </c>
      <c r="BG26" s="87">
        <f t="shared" si="6"/>
        <v>0</v>
      </c>
    </row>
    <row r="27" spans="1:59" ht="14.3" x14ac:dyDescent="0.25">
      <c r="A27" s="9">
        <f>ROW()-5</f>
        <v>22</v>
      </c>
      <c r="B27" s="12"/>
      <c r="C27" s="13"/>
      <c r="D27" s="82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4" t="str">
        <f>_xlfn.XLOOKUP($B27,'GP1'!$C$6:$C$101,'GP1'!$B$6:$B$101,"")</f>
        <v/>
      </c>
      <c r="F27" s="133">
        <f>_xlfn.XLOOKUP(E27,'GP1'!$B$6:$B$55,'GP1'!$A$6:$A$55,0)</f>
        <v>0</v>
      </c>
      <c r="G27" s="14">
        <f>_xlfn.XLOOKUP($B27,'GP2'!$C$6:$C$101,'GP2'!$B$6:$B$101,"")</f>
        <v>0</v>
      </c>
      <c r="H27" s="133">
        <f>_xlfn.XLOOKUP(G27,'GP2'!$B$6:$B$55,'GP2'!$A$6:$A$55,0)</f>
        <v>0</v>
      </c>
      <c r="I27" s="14" t="str">
        <f>_xlfn.XLOOKUP($B27,'GP3'!$C$6:$C$101,'GP3'!$B$6:$B$101,"")</f>
        <v/>
      </c>
      <c r="J27" s="83">
        <f>_xlfn.XLOOKUP(I27,'GP3'!$B$6:$B$55,'GP3'!$A$6:$A$55,0)</f>
        <v>0</v>
      </c>
      <c r="K27" s="14" t="str">
        <f>_xlfn.XLOOKUP($B27,'GP4'!$C$6:$C$101,'GP4'!$B$6:$B$101,"")</f>
        <v/>
      </c>
      <c r="L27" s="133">
        <f>_xlfn.XLOOKUP(K27,'GP4'!$B$6:$B$55,'GP4'!$A$6:$A$55,0)</f>
        <v>0</v>
      </c>
      <c r="M27" s="14">
        <f>_xlfn.XLOOKUP($B27,'GP5'!$C$6:$C$101,'GP5'!$B$6:$B$101,"")</f>
        <v>0</v>
      </c>
      <c r="N27" s="134">
        <f>_xlfn.XLOOKUP(M27,'GP5'!$B$6:$B$55,'GP5'!$A$6:$A$55,0)</f>
        <v>0</v>
      </c>
      <c r="O27" s="14">
        <f>_xlfn.XLOOKUP($B27,'GP6'!$C$6:$C$101,'GP6'!$B$6:$B$101,"")</f>
        <v>0</v>
      </c>
      <c r="P27" s="134">
        <f>_xlfn.XLOOKUP(O27,'GP6'!$B$6:$B$55,'GP6'!$A$6:$A$55,0)</f>
        <v>0</v>
      </c>
      <c r="Q27" s="14" t="str">
        <f>_xlfn.XLOOKUP($B27,'GP7'!$C$6:$C$101,'GP7'!$B$6:$B$101,"")</f>
        <v/>
      </c>
      <c r="R27" s="134">
        <f>_xlfn.XLOOKUP(Q27,'GP7'!$B$6:$B$55,'GP7'!$A$6:$A$55,0)</f>
        <v>0</v>
      </c>
      <c r="S27" s="14" t="str">
        <f>_xlfn.XLOOKUP($B27,'GP8'!$C$6:$C$101,'GP8'!$B$6:$B$101,"")</f>
        <v/>
      </c>
      <c r="T27" s="134">
        <f>_xlfn.XLOOKUP(S27,'GP8'!$B$6:$B$55,'GP8'!$A$6:$A$55,0)</f>
        <v>0</v>
      </c>
      <c r="U27" s="14" t="str">
        <f>_xlfn.XLOOKUP(B27,MPW!C$6:C$101,MPW!B$6:B$101,"")</f>
        <v/>
      </c>
      <c r="V27" s="134">
        <f>_xlfn.XLOOKUP(U27,MPW!B$6:B$55,MPW!A$6:A$55,0)</f>
        <v>0</v>
      </c>
      <c r="X27" s="11" t="str">
        <f>_xlfn.XLOOKUP($B27,'PEW1'!$C$6:$C$201,'PEW1'!$B$6:$B$201,"")</f>
        <v/>
      </c>
      <c r="Y27" s="85">
        <f>_xlfn.XLOOKUP(X27,'PEW1'!$B$6:$B$201,'PEW1'!$A$6:$A$201,0)</f>
        <v>0</v>
      </c>
      <c r="Z27" s="11" t="str">
        <f>_xlfn.XLOOKUP($B27,'PEW2'!$C$6:$C$201,'PEW2'!$B$6:$B$201,"")</f>
        <v/>
      </c>
      <c r="AA27" s="85">
        <f>_xlfn.XLOOKUP(Z27,'PEW2'!$B$6:$B$201,'PEW2'!$A$6:$A$201,0)</f>
        <v>0</v>
      </c>
      <c r="AB27" s="11" t="str">
        <f>_xlfn.XLOOKUP($B27,'PEW3'!$C$6:$C$201,'PEW3'!$B$6:$B$201,"")</f>
        <v/>
      </c>
      <c r="AC27" s="85">
        <f>_xlfn.XLOOKUP(AB27,'PEW3'!$B$6:$B$201,'PEW3'!$A$6:$A$201,0)</f>
        <v>0</v>
      </c>
      <c r="AD27" s="11" t="str">
        <f>_xlfn.XLOOKUP($B27,VFC!$C$6:$C$201,VFC!$B$6:$B$201,"")</f>
        <v/>
      </c>
      <c r="AE27" s="85">
        <f>_xlfn.XLOOKUP(AD27,VFC!$B$6:$B$201,VFC!$A$6:$A$201,0)</f>
        <v>0</v>
      </c>
      <c r="AF27" s="11" t="str">
        <f>_xlfn.XLOOKUP($B27,'PEW4'!$C$6:$C$201,'PEW4'!$B$6:$B$201,"")</f>
        <v/>
      </c>
      <c r="AG27" s="85">
        <f>_xlfn.XLOOKUP(AF27,'PEW4'!$B$6:$B$201,'PEW4'!$A$6:$A$201,0)</f>
        <v>0</v>
      </c>
      <c r="AH27" s="11" t="str">
        <f>_xlfn.XLOOKUP($B27,'PEW5'!$C$6:$C$201,'PEW5'!$B$6:$B$201,"")</f>
        <v/>
      </c>
      <c r="AI27" s="85">
        <f>_xlfn.XLOOKUP(AH27,'PEW5'!$B$6:$B$201,'PEW5'!$A$6:$A$201,0)</f>
        <v>0</v>
      </c>
      <c r="AJ27" s="11" t="str">
        <f>_xlfn.XLOOKUP($B27,'PEW6'!$C$6:$C$201,'PEW6'!$B$6:$B$201,"")</f>
        <v/>
      </c>
      <c r="AK27" s="85">
        <f>_xlfn.XLOOKUP(AJ27,'PEW6'!$B$6:$B$201,'PEW6'!$A$6:$A$201,0)</f>
        <v>0</v>
      </c>
      <c r="AL27" s="11" t="str">
        <f>_xlfn.XLOOKUP($B27,'PEW7'!$C$6:$C$201,'PEW7'!$B$6:$B$201,"")</f>
        <v/>
      </c>
      <c r="AM27" s="85">
        <f>_xlfn.XLOOKUP(AL27,'PEW7'!$B$6:$B$201,'PEW7'!$A$6:$A$201,0)</f>
        <v>0</v>
      </c>
      <c r="AN27" s="11" t="str">
        <f>_xlfn.XLOOKUP($B27,'PEW8'!$C$6:$C$201,'PEW8'!$B$6:$B$201,"")</f>
        <v/>
      </c>
      <c r="AO27" s="85">
        <f>_xlfn.XLOOKUP(AN27,'PEW8'!$B$6:$B$201,'PEW8'!$A$6:$A$201,0)</f>
        <v>0</v>
      </c>
      <c r="AP27" s="11" t="str">
        <f>_xlfn.XLOOKUP($B27,'PEW9'!$C$6:$C$201,'PEW9'!$B$6:$B$201,"")</f>
        <v/>
      </c>
      <c r="AQ27" s="85">
        <f>_xlfn.XLOOKUP(AP27,'PEW9'!$B$6:$B$201,'PEW9'!$A$6:$A$201,0)</f>
        <v>0</v>
      </c>
      <c r="AR27" s="11" t="str">
        <f>_xlfn.XLOOKUP($B27,'PEW10'!$C$6:$C$201,'PEW10'!$B$6:$B$201,"")</f>
        <v/>
      </c>
      <c r="AS27" s="85">
        <f>_xlfn.XLOOKUP(AR27,'PEW10'!$B$6:$B$201,'PEW10'!$A$6:$A$201,0)</f>
        <v>0</v>
      </c>
      <c r="AT27" s="11" t="str">
        <f>_xlfn.XLOOKUP($B27,'PEW11'!$C$6:$C$201,'PEW11'!$B$6:$B$201,"")</f>
        <v/>
      </c>
      <c r="AU27" s="85">
        <f>_xlfn.XLOOKUP(AT27,'PEW11'!$B$6:$B$201,'PEW11'!$A$6:$A$201,0)</f>
        <v>0</v>
      </c>
      <c r="AV27" s="11" t="str">
        <f>_xlfn.XLOOKUP($B27,'PEW12'!$C$6:$C$201,'PEW12'!$B$6:$B$201,"")</f>
        <v/>
      </c>
      <c r="AW27" s="85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86">
        <f>_xlfn.XLOOKUP(AX27,IMEW!$B$6:$B$201,IMEW!$A$6:$A$201,0)</f>
        <v>0</v>
      </c>
      <c r="BA27" s="87">
        <f t="shared" si="0"/>
        <v>0</v>
      </c>
      <c r="BB27" s="87">
        <f t="shared" si="1"/>
        <v>0</v>
      </c>
      <c r="BC27" s="87">
        <f t="shared" si="2"/>
        <v>0</v>
      </c>
      <c r="BD27" s="87">
        <f t="shared" si="3"/>
        <v>0</v>
      </c>
      <c r="BE27" s="87">
        <f t="shared" si="4"/>
        <v>0</v>
      </c>
      <c r="BF27" s="87">
        <f t="shared" si="5"/>
        <v>0</v>
      </c>
      <c r="BG27" s="87">
        <f t="shared" si="6"/>
        <v>0</v>
      </c>
    </row>
    <row r="28" spans="1:59" ht="14.3" x14ac:dyDescent="0.25">
      <c r="A28" s="9">
        <f>ROW()-5</f>
        <v>23</v>
      </c>
      <c r="B28" s="12"/>
      <c r="C28" s="13"/>
      <c r="D28" s="82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4" t="str">
        <f>_xlfn.XLOOKUP($B28,'GP1'!$C$6:$C$101,'GP1'!$B$6:$B$101,"")</f>
        <v/>
      </c>
      <c r="F28" s="133">
        <f>_xlfn.XLOOKUP(E28,'GP1'!$B$6:$B$55,'GP1'!$A$6:$A$55,0)</f>
        <v>0</v>
      </c>
      <c r="G28" s="14">
        <f>_xlfn.XLOOKUP($B28,'GP2'!$C$6:$C$101,'GP2'!$B$6:$B$101,"")</f>
        <v>0</v>
      </c>
      <c r="H28" s="133">
        <f>_xlfn.XLOOKUP(G28,'GP2'!$B$6:$B$55,'GP2'!$A$6:$A$55,0)</f>
        <v>0</v>
      </c>
      <c r="I28" s="14" t="str">
        <f>_xlfn.XLOOKUP($B28,'GP3'!$C$6:$C$101,'GP3'!$B$6:$B$101,"")</f>
        <v/>
      </c>
      <c r="J28" s="83">
        <f>_xlfn.XLOOKUP(I28,'GP3'!$B$6:$B$55,'GP3'!$A$6:$A$55,0)</f>
        <v>0</v>
      </c>
      <c r="K28" s="14" t="str">
        <f>_xlfn.XLOOKUP($B28,'GP4'!$C$6:$C$101,'GP4'!$B$6:$B$101,"")</f>
        <v/>
      </c>
      <c r="L28" s="133">
        <f>_xlfn.XLOOKUP(K28,'GP4'!$B$6:$B$55,'GP4'!$A$6:$A$55,0)</f>
        <v>0</v>
      </c>
      <c r="M28" s="14">
        <f>_xlfn.XLOOKUP($B28,'GP5'!$C$6:$C$101,'GP5'!$B$6:$B$101,"")</f>
        <v>0</v>
      </c>
      <c r="N28" s="134">
        <f>_xlfn.XLOOKUP(M28,'GP5'!$B$6:$B$55,'GP5'!$A$6:$A$55,0)</f>
        <v>0</v>
      </c>
      <c r="O28" s="14">
        <f>_xlfn.XLOOKUP($B28,'GP6'!$C$6:$C$101,'GP6'!$B$6:$B$101,"")</f>
        <v>0</v>
      </c>
      <c r="P28" s="134">
        <f>_xlfn.XLOOKUP(O28,'GP6'!$B$6:$B$55,'GP6'!$A$6:$A$55,0)</f>
        <v>0</v>
      </c>
      <c r="Q28" s="14" t="str">
        <f>_xlfn.XLOOKUP($B28,'GP7'!$C$6:$C$101,'GP7'!$B$6:$B$101,"")</f>
        <v/>
      </c>
      <c r="R28" s="134">
        <f>_xlfn.XLOOKUP(Q28,'GP7'!$B$6:$B$55,'GP7'!$A$6:$A$55,0)</f>
        <v>0</v>
      </c>
      <c r="S28" s="14" t="str">
        <f>_xlfn.XLOOKUP($B28,'GP8'!$C$6:$C$101,'GP8'!$B$6:$B$101,"")</f>
        <v/>
      </c>
      <c r="T28" s="134">
        <f>_xlfn.XLOOKUP(S28,'GP8'!$B$6:$B$55,'GP8'!$A$6:$A$55,0)</f>
        <v>0</v>
      </c>
      <c r="U28" s="14" t="str">
        <f>_xlfn.XLOOKUP(B28,MPW!C$6:C$101,MPW!B$6:B$101,"")</f>
        <v/>
      </c>
      <c r="V28" s="134">
        <f>_xlfn.XLOOKUP(U28,MPW!B$6:B$55,MPW!A$6:A$55,0)</f>
        <v>0</v>
      </c>
      <c r="X28" s="11" t="str">
        <f>_xlfn.XLOOKUP($B28,'PEW1'!$C$6:$C$201,'PEW1'!$B$6:$B$201,"")</f>
        <v/>
      </c>
      <c r="Y28" s="85">
        <f>_xlfn.XLOOKUP(X28,'PEW1'!$B$6:$B$201,'PEW1'!$A$6:$A$201,0)</f>
        <v>0</v>
      </c>
      <c r="Z28" s="11" t="str">
        <f>_xlfn.XLOOKUP($B28,'PEW2'!$C$6:$C$201,'PEW2'!$B$6:$B$201,"")</f>
        <v/>
      </c>
      <c r="AA28" s="85">
        <f>_xlfn.XLOOKUP(Z28,'PEW2'!$B$6:$B$201,'PEW2'!$A$6:$A$201,0)</f>
        <v>0</v>
      </c>
      <c r="AB28" s="11" t="str">
        <f>_xlfn.XLOOKUP($B28,'PEW3'!$C$6:$C$201,'PEW3'!$B$6:$B$201,"")</f>
        <v/>
      </c>
      <c r="AC28" s="85">
        <f>_xlfn.XLOOKUP(AB28,'PEW3'!$B$6:$B$201,'PEW3'!$A$6:$A$201,0)</f>
        <v>0</v>
      </c>
      <c r="AD28" s="11" t="str">
        <f>_xlfn.XLOOKUP($B28,VFC!$C$6:$C$201,VFC!$B$6:$B$201,"")</f>
        <v/>
      </c>
      <c r="AE28" s="85">
        <f>_xlfn.XLOOKUP(AD28,VFC!$B$6:$B$201,VFC!$A$6:$A$201,0)</f>
        <v>0</v>
      </c>
      <c r="AF28" s="11" t="str">
        <f>_xlfn.XLOOKUP($B28,'PEW4'!$C$6:$C$201,'PEW4'!$B$6:$B$201,"")</f>
        <v/>
      </c>
      <c r="AG28" s="85">
        <f>_xlfn.XLOOKUP(AF28,'PEW4'!$B$6:$B$201,'PEW4'!$A$6:$A$201,0)</f>
        <v>0</v>
      </c>
      <c r="AH28" s="11" t="str">
        <f>_xlfn.XLOOKUP($B28,'PEW5'!$C$6:$C$201,'PEW5'!$B$6:$B$201,"")</f>
        <v/>
      </c>
      <c r="AI28" s="85">
        <f>_xlfn.XLOOKUP(AH28,'PEW5'!$B$6:$B$201,'PEW5'!$A$6:$A$201,0)</f>
        <v>0</v>
      </c>
      <c r="AJ28" s="11" t="str">
        <f>_xlfn.XLOOKUP($B28,'PEW6'!$C$6:$C$201,'PEW6'!$B$6:$B$201,"")</f>
        <v/>
      </c>
      <c r="AK28" s="85">
        <f>_xlfn.XLOOKUP(AJ28,'PEW6'!$B$6:$B$201,'PEW6'!$A$6:$A$201,0)</f>
        <v>0</v>
      </c>
      <c r="AL28" s="11" t="str">
        <f>_xlfn.XLOOKUP($B28,'PEW7'!$C$6:$C$201,'PEW7'!$B$6:$B$201,"")</f>
        <v/>
      </c>
      <c r="AM28" s="85">
        <f>_xlfn.XLOOKUP(AL28,'PEW7'!$B$6:$B$201,'PEW7'!$A$6:$A$201,0)</f>
        <v>0</v>
      </c>
      <c r="AN28" s="11" t="str">
        <f>_xlfn.XLOOKUP($B28,'PEW8'!$C$6:$C$201,'PEW8'!$B$6:$B$201,"")</f>
        <v/>
      </c>
      <c r="AO28" s="85">
        <f>_xlfn.XLOOKUP(AN28,'PEW8'!$B$6:$B$201,'PEW8'!$A$6:$A$201,0)</f>
        <v>0</v>
      </c>
      <c r="AP28" s="11" t="str">
        <f>_xlfn.XLOOKUP($B28,'PEW9'!$C$6:$C$201,'PEW9'!$B$6:$B$201,"")</f>
        <v/>
      </c>
      <c r="AQ28" s="85">
        <f>_xlfn.XLOOKUP(AP28,'PEW9'!$B$6:$B$201,'PEW9'!$A$6:$A$201,0)</f>
        <v>0</v>
      </c>
      <c r="AR28" s="11" t="str">
        <f>_xlfn.XLOOKUP($B28,'PEW10'!$C$6:$C$201,'PEW10'!$B$6:$B$201,"")</f>
        <v/>
      </c>
      <c r="AS28" s="85">
        <f>_xlfn.XLOOKUP(AR28,'PEW10'!$B$6:$B$201,'PEW10'!$A$6:$A$201,0)</f>
        <v>0</v>
      </c>
      <c r="AT28" s="11" t="str">
        <f>_xlfn.XLOOKUP($B28,'PEW11'!$C$6:$C$201,'PEW11'!$B$6:$B$201,"")</f>
        <v/>
      </c>
      <c r="AU28" s="85">
        <f>_xlfn.XLOOKUP(AT28,'PEW11'!$B$6:$B$201,'PEW11'!$A$6:$A$201,0)</f>
        <v>0</v>
      </c>
      <c r="AV28" s="11" t="str">
        <f>_xlfn.XLOOKUP($B28,'PEW12'!$C$6:$C$201,'PEW12'!$B$6:$B$201,"")</f>
        <v/>
      </c>
      <c r="AW28" s="85">
        <f>_xlfn.XLOOKUP(AV28,'PEW12'!$B$6:$B$201,'PEW12'!$A$6:$A$201,0)</f>
        <v>0</v>
      </c>
      <c r="AX28" s="11" t="str" cm="1">
        <f t="array" ref="AX28">_xlfn.XLOOKUP($B28,IMEW!C$6:C$201,IMEW!$B$6:B$201,"")</f>
        <v/>
      </c>
      <c r="AY28" s="86">
        <f>_xlfn.XLOOKUP(AX28,IMEW!$B$6:$B$201,IMEW!$A$6:$A$201,0)</f>
        <v>0</v>
      </c>
      <c r="BA28" s="87">
        <f t="shared" si="0"/>
        <v>0</v>
      </c>
      <c r="BB28" s="87">
        <f t="shared" si="1"/>
        <v>0</v>
      </c>
      <c r="BC28" s="87">
        <f t="shared" si="2"/>
        <v>0</v>
      </c>
      <c r="BD28" s="87">
        <f t="shared" si="3"/>
        <v>0</v>
      </c>
      <c r="BE28" s="87">
        <f t="shared" si="4"/>
        <v>0</v>
      </c>
      <c r="BF28" s="87">
        <f t="shared" si="5"/>
        <v>0</v>
      </c>
      <c r="BG28" s="87">
        <f t="shared" si="6"/>
        <v>0</v>
      </c>
    </row>
    <row r="29" spans="1:59" ht="14.3" x14ac:dyDescent="0.25">
      <c r="A29" s="9">
        <f>ROW()-5</f>
        <v>24</v>
      </c>
      <c r="B29" s="12"/>
      <c r="C29" s="13"/>
      <c r="D29" s="82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4" t="str">
        <f>_xlfn.XLOOKUP($B29,'GP1'!$C$6:$C$101,'GP1'!$B$6:$B$101,"")</f>
        <v/>
      </c>
      <c r="F29" s="133">
        <f>_xlfn.XLOOKUP(E29,'GP1'!$B$6:$B$55,'GP1'!$A$6:$A$55,0)</f>
        <v>0</v>
      </c>
      <c r="G29" s="14">
        <f>_xlfn.XLOOKUP($B29,'GP2'!$C$6:$C$101,'GP2'!$B$6:$B$101,"")</f>
        <v>0</v>
      </c>
      <c r="H29" s="133">
        <f>_xlfn.XLOOKUP(G29,'GP2'!$B$6:$B$55,'GP2'!$A$6:$A$55,0)</f>
        <v>0</v>
      </c>
      <c r="I29" s="14" t="str">
        <f>_xlfn.XLOOKUP($B29,'GP3'!$C$6:$C$101,'GP3'!$B$6:$B$101,"")</f>
        <v/>
      </c>
      <c r="J29" s="83">
        <f>_xlfn.XLOOKUP(I29,'GP3'!$B$6:$B$55,'GP3'!$A$6:$A$55,0)</f>
        <v>0</v>
      </c>
      <c r="K29" s="14" t="str">
        <f>_xlfn.XLOOKUP($B29,'GP4'!$C$6:$C$101,'GP4'!$B$6:$B$101,"")</f>
        <v/>
      </c>
      <c r="L29" s="133">
        <f>_xlfn.XLOOKUP(K29,'GP4'!$B$6:$B$55,'GP4'!$A$6:$A$55,0)</f>
        <v>0</v>
      </c>
      <c r="M29" s="14">
        <f>_xlfn.XLOOKUP($B29,'GP5'!$C$6:$C$101,'GP5'!$B$6:$B$101,"")</f>
        <v>0</v>
      </c>
      <c r="N29" s="134">
        <f>_xlfn.XLOOKUP(M29,'GP5'!$B$6:$B$55,'GP5'!$A$6:$A$55,0)</f>
        <v>0</v>
      </c>
      <c r="O29" s="14">
        <f>_xlfn.XLOOKUP($B29,'GP6'!$C$6:$C$101,'GP6'!$B$6:$B$101,"")</f>
        <v>0</v>
      </c>
      <c r="P29" s="134">
        <f>_xlfn.XLOOKUP(O29,'GP6'!$B$6:$B$55,'GP6'!$A$6:$A$55,0)</f>
        <v>0</v>
      </c>
      <c r="Q29" s="14" t="str">
        <f>_xlfn.XLOOKUP($B29,'GP7'!$C$6:$C$101,'GP7'!$B$6:$B$101,"")</f>
        <v/>
      </c>
      <c r="R29" s="134">
        <f>_xlfn.XLOOKUP(Q29,'GP7'!$B$6:$B$55,'GP7'!$A$6:$A$55,0)</f>
        <v>0</v>
      </c>
      <c r="S29" s="14" t="str">
        <f>_xlfn.XLOOKUP($B29,'GP8'!$C$6:$C$101,'GP8'!$B$6:$B$101,"")</f>
        <v/>
      </c>
      <c r="T29" s="134">
        <f>_xlfn.XLOOKUP(S29,'GP8'!$B$6:$B$55,'GP8'!$A$6:$A$55,0)</f>
        <v>0</v>
      </c>
      <c r="U29" s="14" t="str">
        <f>_xlfn.XLOOKUP(B29,MPW!C$6:C$101,MPW!B$6:B$101,"")</f>
        <v/>
      </c>
      <c r="V29" s="134">
        <f>_xlfn.XLOOKUP(U29,MPW!B$6:B$55,MPW!A$6:A$55,0)</f>
        <v>0</v>
      </c>
      <c r="X29" s="11" t="str">
        <f>_xlfn.XLOOKUP($B29,'PEW1'!$C$6:$C$201,'PEW1'!$B$6:$B$201,"")</f>
        <v/>
      </c>
      <c r="Y29" s="85">
        <f>_xlfn.XLOOKUP(X29,'PEW1'!$B$6:$B$201,'PEW1'!$A$6:$A$201,0)</f>
        <v>0</v>
      </c>
      <c r="Z29" s="11" t="str">
        <f>_xlfn.XLOOKUP($B29,'PEW2'!$C$6:$C$201,'PEW2'!$B$6:$B$201,"")</f>
        <v/>
      </c>
      <c r="AA29" s="85">
        <f>_xlfn.XLOOKUP(Z29,'PEW2'!$B$6:$B$201,'PEW2'!$A$6:$A$201,0)</f>
        <v>0</v>
      </c>
      <c r="AB29" s="11" t="str">
        <f>_xlfn.XLOOKUP($B29,'PEW3'!$C$6:$C$201,'PEW3'!$B$6:$B$201,"")</f>
        <v/>
      </c>
      <c r="AC29" s="85">
        <f>_xlfn.XLOOKUP(AB29,'PEW3'!$B$6:$B$201,'PEW3'!$A$6:$A$201,0)</f>
        <v>0</v>
      </c>
      <c r="AD29" s="11" t="str">
        <f>_xlfn.XLOOKUP($B29,VFC!$C$6:$C$201,VFC!$B$6:$B$201,"")</f>
        <v/>
      </c>
      <c r="AE29" s="85">
        <f>_xlfn.XLOOKUP(AD29,VFC!$B$6:$B$201,VFC!$A$6:$A$201,0)</f>
        <v>0</v>
      </c>
      <c r="AF29" s="11" t="str">
        <f>_xlfn.XLOOKUP($B29,'PEW4'!$C$6:$C$201,'PEW4'!$B$6:$B$201,"")</f>
        <v/>
      </c>
      <c r="AG29" s="85">
        <f>_xlfn.XLOOKUP(AF29,'PEW4'!$B$6:$B$201,'PEW4'!$A$6:$A$201,0)</f>
        <v>0</v>
      </c>
      <c r="AH29" s="11" t="str">
        <f>_xlfn.XLOOKUP($B29,'PEW5'!$C$6:$C$201,'PEW5'!$B$6:$B$201,"")</f>
        <v/>
      </c>
      <c r="AI29" s="85">
        <f>_xlfn.XLOOKUP(AH29,'PEW5'!$B$6:$B$201,'PEW5'!$A$6:$A$201,0)</f>
        <v>0</v>
      </c>
      <c r="AJ29" s="11" t="str">
        <f>_xlfn.XLOOKUP($B29,'PEW6'!$C$6:$C$201,'PEW6'!$B$6:$B$201,"")</f>
        <v/>
      </c>
      <c r="AK29" s="85">
        <f>_xlfn.XLOOKUP(AJ29,'PEW6'!$B$6:$B$201,'PEW6'!$A$6:$A$201,0)</f>
        <v>0</v>
      </c>
      <c r="AL29" s="11" t="str">
        <f>_xlfn.XLOOKUP($B29,'PEW7'!$C$6:$C$201,'PEW7'!$B$6:$B$201,"")</f>
        <v/>
      </c>
      <c r="AM29" s="85">
        <f>_xlfn.XLOOKUP(AL29,'PEW7'!$B$6:$B$201,'PEW7'!$A$6:$A$201,0)</f>
        <v>0</v>
      </c>
      <c r="AN29" s="11" t="str">
        <f>_xlfn.XLOOKUP($B29,'PEW8'!$C$6:$C$201,'PEW8'!$B$6:$B$201,"")</f>
        <v/>
      </c>
      <c r="AO29" s="85">
        <f>_xlfn.XLOOKUP(AN29,'PEW8'!$B$6:$B$201,'PEW8'!$A$6:$A$201,0)</f>
        <v>0</v>
      </c>
      <c r="AP29" s="11" t="str">
        <f>_xlfn.XLOOKUP($B29,'PEW9'!$C$6:$C$201,'PEW9'!$B$6:$B$201,"")</f>
        <v/>
      </c>
      <c r="AQ29" s="85">
        <f>_xlfn.XLOOKUP(AP29,'PEW9'!$B$6:$B$201,'PEW9'!$A$6:$A$201,0)</f>
        <v>0</v>
      </c>
      <c r="AR29" s="11" t="str">
        <f>_xlfn.XLOOKUP($B29,'PEW10'!$C$6:$C$201,'PEW10'!$B$6:$B$201,"")</f>
        <v/>
      </c>
      <c r="AS29" s="85">
        <f>_xlfn.XLOOKUP(AR29,'PEW10'!$B$6:$B$201,'PEW10'!$A$6:$A$201,0)</f>
        <v>0</v>
      </c>
      <c r="AT29" s="11" t="str">
        <f>_xlfn.XLOOKUP($B29,'PEW11'!$C$6:$C$201,'PEW11'!$B$6:$B$201,"")</f>
        <v/>
      </c>
      <c r="AU29" s="85">
        <f>_xlfn.XLOOKUP(AT29,'PEW11'!$B$6:$B$201,'PEW11'!$A$6:$A$201,0)</f>
        <v>0</v>
      </c>
      <c r="AV29" s="11" t="str">
        <f>_xlfn.XLOOKUP($B29,'PEW12'!$C$6:$C$201,'PEW12'!$B$6:$B$201,"")</f>
        <v/>
      </c>
      <c r="AW29" s="85">
        <f>_xlfn.XLOOKUP(AV29,'PEW12'!$B$6:$B$201,'PEW12'!$A$6:$A$201,0)</f>
        <v>0</v>
      </c>
      <c r="AX29" s="11" t="str" cm="1">
        <f t="array" ref="AX29">_xlfn.XLOOKUP($B29,IMEW!C$6:C$201,IMEW!$B$6:B$201,"")</f>
        <v/>
      </c>
      <c r="AY29" s="86">
        <f>_xlfn.XLOOKUP(AX29,IMEW!$B$6:$B$201,IMEW!$A$6:$A$201,0)</f>
        <v>0</v>
      </c>
      <c r="BA29" s="87">
        <f t="shared" si="0"/>
        <v>0</v>
      </c>
      <c r="BB29" s="87">
        <f t="shared" si="1"/>
        <v>0</v>
      </c>
      <c r="BC29" s="87">
        <f t="shared" si="2"/>
        <v>0</v>
      </c>
      <c r="BD29" s="87">
        <f t="shared" si="3"/>
        <v>0</v>
      </c>
      <c r="BE29" s="87">
        <f t="shared" si="4"/>
        <v>0</v>
      </c>
      <c r="BF29" s="87">
        <f t="shared" si="5"/>
        <v>0</v>
      </c>
      <c r="BG29" s="87">
        <f t="shared" si="6"/>
        <v>0</v>
      </c>
    </row>
    <row r="30" spans="1:59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59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59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169" spans="3:3" x14ac:dyDescent="0.2">
      <c r="C169" t="s">
        <v>53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C3"/>
    <mergeCell ref="AN4:AO4"/>
    <mergeCell ref="AP4:AQ4"/>
    <mergeCell ref="AR4:AS4"/>
    <mergeCell ref="X4:Y4"/>
    <mergeCell ref="Z4:AA4"/>
    <mergeCell ref="AX4:AY4"/>
    <mergeCell ref="AT4:AU4"/>
    <mergeCell ref="AV4:AW4"/>
    <mergeCell ref="AB4:AC4"/>
    <mergeCell ref="AF4:AG4"/>
    <mergeCell ref="AD4:AE4"/>
    <mergeCell ref="AJ4:AK4"/>
    <mergeCell ref="AL4:AM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B6B7-5394-454B-BD1E-41CC85774289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135" t="s">
        <v>125</v>
      </c>
      <c r="D2" s="75"/>
      <c r="E2" s="23"/>
      <c r="F2" s="23"/>
      <c r="G2" s="23"/>
      <c r="H2" s="94">
        <v>7</v>
      </c>
      <c r="I2" s="95">
        <v>50</v>
      </c>
      <c r="J2" s="95">
        <v>10</v>
      </c>
      <c r="K2" s="96">
        <f>3*H2^(1/3)</f>
        <v>5.738793548317167</v>
      </c>
      <c r="L2" s="92"/>
      <c r="M2" s="92"/>
      <c r="N2" s="88"/>
      <c r="O2" s="88"/>
      <c r="P2" s="88"/>
      <c r="Q2" s="88"/>
      <c r="R2" s="88"/>
    </row>
    <row r="3" spans="1:36" s="93" customFormat="1" x14ac:dyDescent="0.25">
      <c r="A3" s="88"/>
      <c r="B3" s="97" t="s">
        <v>32</v>
      </c>
      <c r="C3" s="76" t="s">
        <v>126</v>
      </c>
      <c r="D3" s="76"/>
      <c r="E3" s="28"/>
      <c r="F3" s="28"/>
      <c r="G3" s="28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37" si="0">M6</f>
        <v>97.216380644951499</v>
      </c>
      <c r="B6" s="36">
        <f>IF(H6&gt;$H$2,"",(ROW()-5))</f>
        <v>1</v>
      </c>
      <c r="C6" s="37" t="s">
        <v>53</v>
      </c>
      <c r="D6" s="37"/>
      <c r="E6" s="37"/>
      <c r="F6" s="37" t="s">
        <v>47</v>
      </c>
      <c r="G6" s="30"/>
      <c r="H6" s="103">
        <v>1</v>
      </c>
      <c r="I6" s="104">
        <f t="shared" ref="I6:I69" si="1">IF(H6&lt;$H$2+1,($I$2-($I$2-1)*(LOG(H6)/LOG($H$2))),"")</f>
        <v>50</v>
      </c>
      <c r="J6" s="103">
        <f t="shared" ref="J6:J69" si="2">INT(LOG($H$2,2))-ROUNDUP(LOG(H6,2),0)+IF(OR($H$2=1,$H$2=2,$H$2=4,$H$2=8,$H$2=16,$H$2=32,$H$2=64,$H$2=128,$H$2=256),0,1)</f>
        <v>3</v>
      </c>
      <c r="K6" s="103">
        <f t="shared" ref="K6:K69" si="3">J6*$J$2</f>
        <v>30</v>
      </c>
      <c r="L6" s="105">
        <f>3*K2</f>
        <v>17.216380644951499</v>
      </c>
      <c r="M6" s="105">
        <f t="shared" ref="M6:M69" si="4">IF(I6&lt;&gt;"",K6+I6+L6,0)</f>
        <v>97.216380644951499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64.023434928341246</v>
      </c>
      <c r="B7" s="42">
        <f>IF(H7&gt;$H$2,"",(ROW()-5))</f>
        <v>2</v>
      </c>
      <c r="C7" s="43" t="s">
        <v>53</v>
      </c>
      <c r="D7" s="43"/>
      <c r="E7" s="43"/>
      <c r="F7" s="43" t="s">
        <v>47</v>
      </c>
      <c r="G7" s="30"/>
      <c r="H7" s="107">
        <v>2</v>
      </c>
      <c r="I7" s="108">
        <f t="shared" si="1"/>
        <v>32.545847831706908</v>
      </c>
      <c r="J7" s="107">
        <f t="shared" si="2"/>
        <v>2</v>
      </c>
      <c r="K7" s="107">
        <f t="shared" si="3"/>
        <v>20</v>
      </c>
      <c r="L7" s="109">
        <f>2*K2</f>
        <v>11.477587096634334</v>
      </c>
      <c r="M7" s="109">
        <f t="shared" si="4"/>
        <v>64.023434928341246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38.074616879691767</v>
      </c>
      <c r="B8" s="36">
        <f>IF(H8&gt;$H$2,"",(ROW()-5))</f>
        <v>3</v>
      </c>
      <c r="C8" s="37" t="s">
        <v>53</v>
      </c>
      <c r="D8" s="37"/>
      <c r="E8" s="37"/>
      <c r="F8" s="37" t="s">
        <v>47</v>
      </c>
      <c r="G8" s="30"/>
      <c r="H8" s="103">
        <v>3</v>
      </c>
      <c r="I8" s="104">
        <f t="shared" si="1"/>
        <v>22.335823331374595</v>
      </c>
      <c r="J8" s="103">
        <f t="shared" si="2"/>
        <v>1</v>
      </c>
      <c r="K8" s="103">
        <f t="shared" si="3"/>
        <v>10</v>
      </c>
      <c r="L8" s="105">
        <f>K2</f>
        <v>5.738793548317167</v>
      </c>
      <c r="M8" s="105">
        <f t="shared" si="4"/>
        <v>38.074616879691767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38.074616879691767</v>
      </c>
      <c r="B9" s="42">
        <f>IF(H9&gt;$H$2,"",3)</f>
        <v>3</v>
      </c>
      <c r="C9" s="43" t="s">
        <v>53</v>
      </c>
      <c r="D9" s="43"/>
      <c r="E9" s="43"/>
      <c r="F9" s="43"/>
      <c r="G9" s="30"/>
      <c r="H9" s="107">
        <v>3</v>
      </c>
      <c r="I9" s="108">
        <f t="shared" si="1"/>
        <v>22.335823331374595</v>
      </c>
      <c r="J9" s="107">
        <f t="shared" si="2"/>
        <v>1</v>
      </c>
      <c r="K9" s="107">
        <f t="shared" si="3"/>
        <v>10</v>
      </c>
      <c r="L9" s="109">
        <f>K2</f>
        <v>5.738793548317167</v>
      </c>
      <c r="M9" s="109">
        <f t="shared" si="4"/>
        <v>38.074616879691767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9.472713708001109</v>
      </c>
      <c r="B10" s="36">
        <f t="shared" ref="B10:B65" si="5">IF(H10&gt;$H$2,"",(ROW()-5))</f>
        <v>5</v>
      </c>
      <c r="C10" s="37" t="s">
        <v>53</v>
      </c>
      <c r="D10" s="37"/>
      <c r="E10" s="37"/>
      <c r="F10" s="37"/>
      <c r="G10" s="30"/>
      <c r="H10" s="103">
        <v>5</v>
      </c>
      <c r="I10" s="104">
        <f t="shared" si="1"/>
        <v>9.472713708001109</v>
      </c>
      <c r="J10" s="103">
        <f t="shared" si="2"/>
        <v>0</v>
      </c>
      <c r="K10" s="103">
        <f t="shared" si="3"/>
        <v>0</v>
      </c>
      <c r="L10" s="103"/>
      <c r="M10" s="105">
        <f t="shared" si="4"/>
        <v>9.472713708001109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4.8816711630815135</v>
      </c>
      <c r="B11" s="42">
        <f t="shared" si="5"/>
        <v>6</v>
      </c>
      <c r="C11" s="43" t="s">
        <v>53</v>
      </c>
      <c r="D11" s="43"/>
      <c r="E11" s="43"/>
      <c r="F11" s="43"/>
      <c r="G11" s="30"/>
      <c r="H11" s="107">
        <v>6</v>
      </c>
      <c r="I11" s="108">
        <f t="shared" si="1"/>
        <v>4.8816711630815135</v>
      </c>
      <c r="J11" s="107">
        <f t="shared" si="2"/>
        <v>0</v>
      </c>
      <c r="K11" s="107">
        <f t="shared" si="3"/>
        <v>0</v>
      </c>
      <c r="L11" s="107"/>
      <c r="M11" s="109">
        <f t="shared" si="4"/>
        <v>4.8816711630815135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1</v>
      </c>
      <c r="B12" s="36">
        <f t="shared" si="5"/>
        <v>7</v>
      </c>
      <c r="C12" s="37" t="s">
        <v>53</v>
      </c>
      <c r="D12" s="37"/>
      <c r="E12" s="37"/>
      <c r="F12" s="37"/>
      <c r="G12" s="30"/>
      <c r="H12" s="103">
        <v>7</v>
      </c>
      <c r="I12" s="104">
        <f t="shared" si="1"/>
        <v>1</v>
      </c>
      <c r="J12" s="103">
        <f t="shared" si="2"/>
        <v>0</v>
      </c>
      <c r="K12" s="103">
        <f t="shared" si="3"/>
        <v>0</v>
      </c>
      <c r="L12" s="103"/>
      <c r="M12" s="105">
        <f t="shared" si="4"/>
        <v>1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7">
        <f t="shared" si="2"/>
        <v>0</v>
      </c>
      <c r="K13" s="107">
        <f t="shared" si="3"/>
        <v>0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3">
        <f t="shared" si="2"/>
        <v>-1</v>
      </c>
      <c r="K14" s="103">
        <f t="shared" si="3"/>
        <v>-10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7">
        <f t="shared" si="2"/>
        <v>-1</v>
      </c>
      <c r="K15" s="107">
        <f t="shared" si="3"/>
        <v>-10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3">
        <f t="shared" si="2"/>
        <v>-1</v>
      </c>
      <c r="K16" s="103">
        <f t="shared" si="3"/>
        <v>-10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7">
        <f t="shared" si="2"/>
        <v>-1</v>
      </c>
      <c r="K17" s="107">
        <f t="shared" si="3"/>
        <v>-10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3">
        <f t="shared" si="2"/>
        <v>-1</v>
      </c>
      <c r="K18" s="103">
        <f t="shared" si="3"/>
        <v>-10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7">
        <f t="shared" si="2"/>
        <v>-1</v>
      </c>
      <c r="K19" s="107">
        <f t="shared" si="3"/>
        <v>-10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3">
        <f t="shared" si="2"/>
        <v>-1</v>
      </c>
      <c r="K20" s="103">
        <f t="shared" si="3"/>
        <v>-10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7">
        <f t="shared" si="2"/>
        <v>-1</v>
      </c>
      <c r="K21" s="107">
        <f t="shared" si="3"/>
        <v>-10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3">
        <f t="shared" si="2"/>
        <v>-2</v>
      </c>
      <c r="K22" s="103">
        <f t="shared" si="3"/>
        <v>-20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7">
        <f t="shared" si="2"/>
        <v>-2</v>
      </c>
      <c r="K23" s="107">
        <f t="shared" si="3"/>
        <v>-20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3">
        <f t="shared" si="2"/>
        <v>-2</v>
      </c>
      <c r="K24" s="103">
        <f t="shared" si="3"/>
        <v>-20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7">
        <f t="shared" si="2"/>
        <v>-2</v>
      </c>
      <c r="K25" s="107">
        <f t="shared" si="3"/>
        <v>-20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3">
        <f t="shared" si="2"/>
        <v>-2</v>
      </c>
      <c r="K26" s="103">
        <f t="shared" si="3"/>
        <v>-20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7">
        <f t="shared" si="2"/>
        <v>-2</v>
      </c>
      <c r="K27" s="107">
        <f t="shared" si="3"/>
        <v>-20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3">
        <f t="shared" si="2"/>
        <v>-2</v>
      </c>
      <c r="K28" s="103">
        <f t="shared" si="3"/>
        <v>-20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7">
        <f t="shared" si="2"/>
        <v>-2</v>
      </c>
      <c r="K29" s="107">
        <f t="shared" si="3"/>
        <v>-20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3">
        <f t="shared" si="2"/>
        <v>-2</v>
      </c>
      <c r="K30" s="103">
        <f t="shared" si="3"/>
        <v>-20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7">
        <f t="shared" si="2"/>
        <v>-2</v>
      </c>
      <c r="K31" s="107">
        <f t="shared" si="3"/>
        <v>-20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3">
        <f t="shared" si="2"/>
        <v>-2</v>
      </c>
      <c r="K32" s="103">
        <f t="shared" si="3"/>
        <v>-20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7">
        <f t="shared" si="2"/>
        <v>-2</v>
      </c>
      <c r="K33" s="107">
        <f t="shared" si="3"/>
        <v>-20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3">
        <f t="shared" si="2"/>
        <v>-2</v>
      </c>
      <c r="K34" s="103">
        <f t="shared" si="3"/>
        <v>-20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7">
        <f t="shared" si="2"/>
        <v>-2</v>
      </c>
      <c r="K35" s="107">
        <f t="shared" si="3"/>
        <v>-20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3">
        <f t="shared" si="2"/>
        <v>-2</v>
      </c>
      <c r="K36" s="103">
        <f t="shared" si="3"/>
        <v>-20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7">
        <f t="shared" si="2"/>
        <v>-2</v>
      </c>
      <c r="K37" s="107">
        <f t="shared" si="3"/>
        <v>-20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 x14ac:dyDescent="0.25">
      <c r="A38" s="102"/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3">
        <f t="shared" si="2"/>
        <v>-3</v>
      </c>
      <c r="K38" s="103">
        <f t="shared" si="3"/>
        <v>-30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 x14ac:dyDescent="0.25">
      <c r="A39" s="106"/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7">
        <f t="shared" si="2"/>
        <v>-3</v>
      </c>
      <c r="K39" s="107">
        <f t="shared" si="3"/>
        <v>-30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 x14ac:dyDescent="0.25">
      <c r="A40" s="102"/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3">
        <f t="shared" si="2"/>
        <v>-3</v>
      </c>
      <c r="K40" s="103">
        <f t="shared" si="3"/>
        <v>-30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 x14ac:dyDescent="0.25">
      <c r="A41" s="106"/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7">
        <f t="shared" si="2"/>
        <v>-3</v>
      </c>
      <c r="K41" s="107">
        <f t="shared" si="3"/>
        <v>-30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2"/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3">
        <f t="shared" si="2"/>
        <v>-3</v>
      </c>
      <c r="K42" s="103">
        <f t="shared" si="3"/>
        <v>-30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 x14ac:dyDescent="0.25">
      <c r="A43" s="106"/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7">
        <f t="shared" si="2"/>
        <v>-3</v>
      </c>
      <c r="K43" s="107">
        <f t="shared" si="3"/>
        <v>-30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 x14ac:dyDescent="0.25">
      <c r="A44" s="102"/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3">
        <f t="shared" si="2"/>
        <v>-3</v>
      </c>
      <c r="K44" s="103">
        <f t="shared" si="3"/>
        <v>-30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 x14ac:dyDescent="0.25">
      <c r="A45" s="106"/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7">
        <f t="shared" si="2"/>
        <v>-3</v>
      </c>
      <c r="K45" s="107">
        <f t="shared" si="3"/>
        <v>-30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 x14ac:dyDescent="0.25">
      <c r="A46" s="102"/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3">
        <f t="shared" si="2"/>
        <v>-3</v>
      </c>
      <c r="K46" s="103">
        <f t="shared" si="3"/>
        <v>-30</v>
      </c>
      <c r="L46" s="103"/>
      <c r="M46" s="105">
        <f t="shared" si="4"/>
        <v>0</v>
      </c>
      <c r="N46" s="88"/>
      <c r="O46" s="88"/>
      <c r="P46" s="88"/>
      <c r="Q46" s="88"/>
      <c r="R46" s="88">
        <f>LOG($H$2,2)</f>
        <v>2.8073549220576042</v>
      </c>
      <c r="T46" s="93">
        <f>LOG(H38,2)</f>
        <v>5.0443941193584534</v>
      </c>
      <c r="U46" s="93">
        <f>R46-T46</f>
        <v>-2.2370391973008492</v>
      </c>
    </row>
    <row r="47" spans="1:21" s="93" customFormat="1" x14ac:dyDescent="0.25">
      <c r="A47" s="106"/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7">
        <f t="shared" si="2"/>
        <v>-3</v>
      </c>
      <c r="K47" s="107">
        <f t="shared" si="3"/>
        <v>-30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 x14ac:dyDescent="0.25">
      <c r="A48" s="102"/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3">
        <f t="shared" si="2"/>
        <v>-3</v>
      </c>
      <c r="K48" s="103">
        <f t="shared" si="3"/>
        <v>-30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6"/>
      <c r="B49" s="42" t="str">
        <f t="shared" si="5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7">
        <f t="shared" si="2"/>
        <v>-3</v>
      </c>
      <c r="K49" s="107">
        <f t="shared" si="3"/>
        <v>-30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2"/>
      <c r="B50" s="36" t="str">
        <f t="shared" si="5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3">
        <f t="shared" si="2"/>
        <v>-3</v>
      </c>
      <c r="K50" s="103">
        <f t="shared" si="3"/>
        <v>-30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/>
      <c r="B51" s="42" t="str">
        <f t="shared" si="5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7">
        <f t="shared" si="2"/>
        <v>-3</v>
      </c>
      <c r="K51" s="107">
        <f t="shared" si="3"/>
        <v>-30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20"/>
      <c r="B52" s="36" t="str">
        <f t="shared" si="5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3">
        <f t="shared" si="2"/>
        <v>-3</v>
      </c>
      <c r="K52" s="103">
        <f t="shared" si="3"/>
        <v>-30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21"/>
      <c r="B53" s="42" t="str">
        <f t="shared" si="5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7">
        <f t="shared" si="2"/>
        <v>-3</v>
      </c>
      <c r="K53" s="107">
        <f t="shared" si="3"/>
        <v>-30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20"/>
      <c r="B54" s="36" t="str">
        <f t="shared" si="5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3">
        <f t="shared" si="2"/>
        <v>-3</v>
      </c>
      <c r="K54" s="103">
        <f t="shared" si="3"/>
        <v>-30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21"/>
      <c r="B55" s="42" t="str">
        <f t="shared" si="5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7">
        <f t="shared" si="2"/>
        <v>-3</v>
      </c>
      <c r="K55" s="107">
        <f t="shared" si="3"/>
        <v>-30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20"/>
      <c r="B56" s="36" t="str">
        <f t="shared" si="5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3">
        <f t="shared" si="2"/>
        <v>-3</v>
      </c>
      <c r="K56" s="103">
        <f t="shared" si="3"/>
        <v>-30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21"/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7">
        <f t="shared" si="2"/>
        <v>-3</v>
      </c>
      <c r="K57" s="107">
        <f t="shared" si="3"/>
        <v>-30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20"/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3">
        <f t="shared" si="2"/>
        <v>-3</v>
      </c>
      <c r="K58" s="103">
        <f t="shared" si="3"/>
        <v>-30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21"/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7">
        <f t="shared" si="2"/>
        <v>-3</v>
      </c>
      <c r="K59" s="107">
        <f t="shared" si="3"/>
        <v>-30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20"/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3">
        <f t="shared" si="2"/>
        <v>-3</v>
      </c>
      <c r="K60" s="103">
        <f t="shared" si="3"/>
        <v>-30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21"/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7">
        <f t="shared" si="2"/>
        <v>-3</v>
      </c>
      <c r="K61" s="107">
        <f t="shared" si="3"/>
        <v>-30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20"/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3">
        <f t="shared" si="2"/>
        <v>-3</v>
      </c>
      <c r="K62" s="103">
        <f t="shared" si="3"/>
        <v>-30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21"/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7">
        <f t="shared" si="2"/>
        <v>-3</v>
      </c>
      <c r="K63" s="107">
        <f t="shared" si="3"/>
        <v>-30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20"/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3">
        <f t="shared" si="2"/>
        <v>-3</v>
      </c>
      <c r="K64" s="103">
        <f t="shared" si="3"/>
        <v>-30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21"/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7">
        <f t="shared" si="2"/>
        <v>-3</v>
      </c>
      <c r="K65" s="107">
        <f t="shared" si="3"/>
        <v>-30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22"/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>
        <f t="shared" si="2"/>
        <v>-3</v>
      </c>
      <c r="K66" s="103">
        <f t="shared" si="3"/>
        <v>-30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22"/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>
        <f t="shared" si="2"/>
        <v>-3</v>
      </c>
      <c r="K67" s="103">
        <f t="shared" si="3"/>
        <v>-30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22"/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>
        <f t="shared" si="2"/>
        <v>-3</v>
      </c>
      <c r="K68" s="103">
        <f t="shared" si="3"/>
        <v>-30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22"/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>
        <f t="shared" si="2"/>
        <v>-3</v>
      </c>
      <c r="K69" s="103">
        <f t="shared" si="3"/>
        <v>-30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>
        <f t="shared" ref="J70:J133" si="7">INT(LOG($H$2,2))-ROUNDUP(LOG(H70,2),0)+IF(OR($H$2=1,$H$2=2,$H$2=4,$H$2=8,$H$2=16,$H$2=32,$H$2=64,$H$2=128,$H$2=256),0,1)</f>
        <v>-4</v>
      </c>
      <c r="K70" s="103">
        <f t="shared" ref="K70:K133" si="8">J70*$J$2</f>
        <v>-40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>
        <f t="shared" si="7"/>
        <v>-4</v>
      </c>
      <c r="K71" s="103">
        <f t="shared" si="8"/>
        <v>-40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>
        <f t="shared" si="7"/>
        <v>-4</v>
      </c>
      <c r="K72" s="103">
        <f t="shared" si="8"/>
        <v>-40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>
        <f t="shared" si="7"/>
        <v>-4</v>
      </c>
      <c r="K73" s="103">
        <f t="shared" si="8"/>
        <v>-40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>
        <f t="shared" si="7"/>
        <v>-4</v>
      </c>
      <c r="K74" s="103">
        <f t="shared" si="8"/>
        <v>-40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>
        <f t="shared" si="7"/>
        <v>-4</v>
      </c>
      <c r="K75" s="103">
        <f t="shared" si="8"/>
        <v>-40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>
        <f t="shared" si="7"/>
        <v>-4</v>
      </c>
      <c r="K76" s="103">
        <f t="shared" si="8"/>
        <v>-40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>
        <f t="shared" si="7"/>
        <v>-4</v>
      </c>
      <c r="K77" s="103">
        <f t="shared" si="8"/>
        <v>-40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>
        <f t="shared" si="7"/>
        <v>-4</v>
      </c>
      <c r="K78" s="103">
        <f t="shared" si="8"/>
        <v>-40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>
        <f t="shared" si="7"/>
        <v>-4</v>
      </c>
      <c r="K79" s="103">
        <f t="shared" si="8"/>
        <v>-40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>
        <f t="shared" si="7"/>
        <v>-4</v>
      </c>
      <c r="K80" s="103">
        <f t="shared" si="8"/>
        <v>-40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>
        <f t="shared" si="7"/>
        <v>-4</v>
      </c>
      <c r="K81" s="103">
        <f t="shared" si="8"/>
        <v>-40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>
        <f t="shared" si="7"/>
        <v>-4</v>
      </c>
      <c r="K82" s="103">
        <f t="shared" si="8"/>
        <v>-40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>
        <f t="shared" si="7"/>
        <v>-4</v>
      </c>
      <c r="K83" s="103">
        <f t="shared" si="8"/>
        <v>-40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>
        <f t="shared" si="7"/>
        <v>-4</v>
      </c>
      <c r="K84" s="103">
        <f t="shared" si="8"/>
        <v>-40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>
        <f t="shared" si="7"/>
        <v>-4</v>
      </c>
      <c r="K85" s="103">
        <f t="shared" si="8"/>
        <v>-40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>
        <f t="shared" si="7"/>
        <v>-4</v>
      </c>
      <c r="K86" s="103">
        <f t="shared" si="8"/>
        <v>-40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>
        <f t="shared" si="7"/>
        <v>-4</v>
      </c>
      <c r="K87" s="103">
        <f t="shared" si="8"/>
        <v>-40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>
        <f t="shared" si="7"/>
        <v>-4</v>
      </c>
      <c r="K88" s="103">
        <f t="shared" si="8"/>
        <v>-40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>
        <f t="shared" si="7"/>
        <v>-4</v>
      </c>
      <c r="K89" s="103">
        <f t="shared" si="8"/>
        <v>-40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>
        <f t="shared" si="7"/>
        <v>-4</v>
      </c>
      <c r="K90" s="103">
        <f t="shared" si="8"/>
        <v>-40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>
        <f t="shared" si="7"/>
        <v>-4</v>
      </c>
      <c r="K91" s="103">
        <f t="shared" si="8"/>
        <v>-40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>
        <f t="shared" si="7"/>
        <v>-4</v>
      </c>
      <c r="K92" s="103">
        <f t="shared" si="8"/>
        <v>-40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>
        <f t="shared" si="7"/>
        <v>-4</v>
      </c>
      <c r="K93" s="103">
        <f t="shared" si="8"/>
        <v>-40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>
        <f t="shared" si="7"/>
        <v>-4</v>
      </c>
      <c r="K94" s="103">
        <f t="shared" si="8"/>
        <v>-40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>
        <f t="shared" si="7"/>
        <v>-4</v>
      </c>
      <c r="K95" s="103">
        <f t="shared" si="8"/>
        <v>-40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>
        <f t="shared" si="7"/>
        <v>-4</v>
      </c>
      <c r="K96" s="103">
        <f t="shared" si="8"/>
        <v>-40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>
        <f t="shared" si="7"/>
        <v>-4</v>
      </c>
      <c r="K97" s="103">
        <f t="shared" si="8"/>
        <v>-40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>
        <f t="shared" si="7"/>
        <v>-4</v>
      </c>
      <c r="K98" s="103">
        <f t="shared" si="8"/>
        <v>-40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>
        <f t="shared" si="7"/>
        <v>-4</v>
      </c>
      <c r="K99" s="103">
        <f t="shared" si="8"/>
        <v>-40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>
        <f t="shared" si="7"/>
        <v>-4</v>
      </c>
      <c r="K100" s="103">
        <f t="shared" si="8"/>
        <v>-40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2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>
        <f t="shared" si="7"/>
        <v>-4</v>
      </c>
      <c r="K101" s="103">
        <f t="shared" si="8"/>
        <v>-40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2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>
        <f t="shared" si="7"/>
        <v>-4</v>
      </c>
      <c r="K102" s="103">
        <f t="shared" si="8"/>
        <v>-40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2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>
        <f t="shared" si="7"/>
        <v>-4</v>
      </c>
      <c r="K103" s="103">
        <f t="shared" si="8"/>
        <v>-40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2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>
        <f t="shared" si="7"/>
        <v>-4</v>
      </c>
      <c r="K104" s="103">
        <f t="shared" si="8"/>
        <v>-40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2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>
        <f t="shared" si="7"/>
        <v>-4</v>
      </c>
      <c r="K105" s="103">
        <f t="shared" si="8"/>
        <v>-40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2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>
        <f t="shared" si="7"/>
        <v>-4</v>
      </c>
      <c r="K106" s="103">
        <f t="shared" si="8"/>
        <v>-40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2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>
        <f t="shared" si="7"/>
        <v>-4</v>
      </c>
      <c r="K107" s="103">
        <f t="shared" si="8"/>
        <v>-40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2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>
        <f t="shared" si="7"/>
        <v>-4</v>
      </c>
      <c r="K108" s="103">
        <f t="shared" si="8"/>
        <v>-40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2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>
        <f t="shared" si="7"/>
        <v>-4</v>
      </c>
      <c r="K109" s="103">
        <f t="shared" si="8"/>
        <v>-40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2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>
        <f t="shared" si="7"/>
        <v>-4</v>
      </c>
      <c r="K110" s="103">
        <f t="shared" si="8"/>
        <v>-40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2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>
        <f t="shared" si="7"/>
        <v>-4</v>
      </c>
      <c r="K111" s="103">
        <f t="shared" si="8"/>
        <v>-40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2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>
        <f t="shared" si="7"/>
        <v>-4</v>
      </c>
      <c r="K112" s="103">
        <f t="shared" si="8"/>
        <v>-40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2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>
        <f t="shared" si="7"/>
        <v>-4</v>
      </c>
      <c r="K113" s="103">
        <f t="shared" si="8"/>
        <v>-40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2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>
        <f t="shared" si="7"/>
        <v>-4</v>
      </c>
      <c r="K114" s="103">
        <f t="shared" si="8"/>
        <v>-40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2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>
        <f t="shared" si="7"/>
        <v>-4</v>
      </c>
      <c r="K115" s="103">
        <f t="shared" si="8"/>
        <v>-40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2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>
        <f t="shared" si="7"/>
        <v>-4</v>
      </c>
      <c r="K116" s="103">
        <f t="shared" si="8"/>
        <v>-40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2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>
        <f t="shared" si="7"/>
        <v>-4</v>
      </c>
      <c r="K117" s="103">
        <f t="shared" si="8"/>
        <v>-40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2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>
        <f t="shared" si="7"/>
        <v>-4</v>
      </c>
      <c r="K118" s="103">
        <f t="shared" si="8"/>
        <v>-40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2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>
        <f t="shared" si="7"/>
        <v>-4</v>
      </c>
      <c r="K119" s="103">
        <f t="shared" si="8"/>
        <v>-40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2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>
        <f t="shared" si="7"/>
        <v>-4</v>
      </c>
      <c r="K120" s="103">
        <f t="shared" si="8"/>
        <v>-40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2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>
        <f t="shared" si="7"/>
        <v>-4</v>
      </c>
      <c r="K121" s="103">
        <f t="shared" si="8"/>
        <v>-40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2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>
        <f t="shared" si="7"/>
        <v>-4</v>
      </c>
      <c r="K122" s="103">
        <f t="shared" si="8"/>
        <v>-40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2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>
        <f t="shared" si="7"/>
        <v>-4</v>
      </c>
      <c r="K123" s="103">
        <f t="shared" si="8"/>
        <v>-40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2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>
        <f t="shared" si="7"/>
        <v>-4</v>
      </c>
      <c r="K124" s="103">
        <f t="shared" si="8"/>
        <v>-40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2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>
        <f t="shared" si="7"/>
        <v>-4</v>
      </c>
      <c r="K125" s="103">
        <f t="shared" si="8"/>
        <v>-40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2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>
        <f t="shared" si="7"/>
        <v>-4</v>
      </c>
      <c r="K126" s="103">
        <f t="shared" si="8"/>
        <v>-40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2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>
        <f t="shared" si="7"/>
        <v>-4</v>
      </c>
      <c r="K127" s="103">
        <f t="shared" si="8"/>
        <v>-40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2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>
        <f t="shared" si="7"/>
        <v>-4</v>
      </c>
      <c r="K128" s="103">
        <f t="shared" si="8"/>
        <v>-40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2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>
        <f t="shared" si="7"/>
        <v>-4</v>
      </c>
      <c r="K129" s="103">
        <f t="shared" si="8"/>
        <v>-40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2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>
        <f t="shared" si="7"/>
        <v>-4</v>
      </c>
      <c r="K130" s="103">
        <f t="shared" si="8"/>
        <v>-40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2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>
        <f t="shared" si="7"/>
        <v>-4</v>
      </c>
      <c r="K131" s="103">
        <f t="shared" si="8"/>
        <v>-40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2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>
        <f t="shared" si="7"/>
        <v>-4</v>
      </c>
      <c r="K132" s="103">
        <f t="shared" si="8"/>
        <v>-40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2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>
        <f t="shared" si="7"/>
        <v>-4</v>
      </c>
      <c r="K133" s="103">
        <f t="shared" si="8"/>
        <v>-40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2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>
        <f t="shared" ref="J134:J197" si="11">INT(LOG($H$2,2))-ROUNDUP(LOG(H134,2),0)+IF(OR($H$2=1,$H$2=2,$H$2=4,$H$2=8,$H$2=16,$H$2=32,$H$2=64,$H$2=128,$H$2=256),0,1)</f>
        <v>-5</v>
      </c>
      <c r="K134" s="103">
        <f t="shared" ref="K134:K197" si="12">J134*$J$2</f>
        <v>-50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2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>
        <f t="shared" si="11"/>
        <v>-5</v>
      </c>
      <c r="K135" s="103">
        <f t="shared" si="12"/>
        <v>-50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2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>
        <f t="shared" si="11"/>
        <v>-5</v>
      </c>
      <c r="K136" s="103">
        <f t="shared" si="12"/>
        <v>-50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2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>
        <f t="shared" si="11"/>
        <v>-5</v>
      </c>
      <c r="K137" s="103">
        <f t="shared" si="12"/>
        <v>-50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2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>
        <f t="shared" si="11"/>
        <v>-5</v>
      </c>
      <c r="K138" s="103">
        <f t="shared" si="12"/>
        <v>-50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2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>
        <f t="shared" si="11"/>
        <v>-5</v>
      </c>
      <c r="K139" s="103">
        <f t="shared" si="12"/>
        <v>-50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2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>
        <f t="shared" si="11"/>
        <v>-5</v>
      </c>
      <c r="K140" s="103">
        <f t="shared" si="12"/>
        <v>-50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2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>
        <f t="shared" si="11"/>
        <v>-5</v>
      </c>
      <c r="K141" s="103">
        <f t="shared" si="12"/>
        <v>-50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2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>
        <f t="shared" si="11"/>
        <v>-5</v>
      </c>
      <c r="K142" s="103">
        <f t="shared" si="12"/>
        <v>-50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2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>
        <f t="shared" si="11"/>
        <v>-5</v>
      </c>
      <c r="K143" s="103">
        <f t="shared" si="12"/>
        <v>-50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2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>
        <f t="shared" si="11"/>
        <v>-5</v>
      </c>
      <c r="K144" s="103">
        <f t="shared" si="12"/>
        <v>-50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2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>
        <f t="shared" si="11"/>
        <v>-5</v>
      </c>
      <c r="K145" s="103">
        <f t="shared" si="12"/>
        <v>-50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2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>
        <f t="shared" si="11"/>
        <v>-5</v>
      </c>
      <c r="K146" s="103">
        <f t="shared" si="12"/>
        <v>-50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2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>
        <f t="shared" si="11"/>
        <v>-5</v>
      </c>
      <c r="K147" s="103">
        <f t="shared" si="12"/>
        <v>-50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2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>
        <f t="shared" si="11"/>
        <v>-5</v>
      </c>
      <c r="K148" s="103">
        <f t="shared" si="12"/>
        <v>-50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2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>
        <f t="shared" si="11"/>
        <v>-5</v>
      </c>
      <c r="K149" s="103">
        <f t="shared" si="12"/>
        <v>-50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2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>
        <f t="shared" si="11"/>
        <v>-5</v>
      </c>
      <c r="K150" s="103">
        <f t="shared" si="12"/>
        <v>-50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2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>
        <f t="shared" si="11"/>
        <v>-5</v>
      </c>
      <c r="K151" s="103">
        <f t="shared" si="12"/>
        <v>-50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2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>
        <f t="shared" si="11"/>
        <v>-5</v>
      </c>
      <c r="K152" s="103">
        <f t="shared" si="12"/>
        <v>-50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2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>
        <f t="shared" si="11"/>
        <v>-5</v>
      </c>
      <c r="K153" s="103">
        <f t="shared" si="12"/>
        <v>-50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2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>
        <f t="shared" si="11"/>
        <v>-5</v>
      </c>
      <c r="K154" s="103">
        <f t="shared" si="12"/>
        <v>-50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>
        <f t="shared" si="11"/>
        <v>-5</v>
      </c>
      <c r="K155" s="103">
        <f t="shared" si="12"/>
        <v>-50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>
        <f t="shared" si="11"/>
        <v>-5</v>
      </c>
      <c r="K156" s="103">
        <f t="shared" si="12"/>
        <v>-50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>
        <f t="shared" si="11"/>
        <v>-5</v>
      </c>
      <c r="K157" s="103">
        <f t="shared" si="12"/>
        <v>-50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>
        <f t="shared" si="11"/>
        <v>-5</v>
      </c>
      <c r="K158" s="103">
        <f t="shared" si="12"/>
        <v>-50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>
        <f t="shared" si="11"/>
        <v>-5</v>
      </c>
      <c r="K159" s="103">
        <f t="shared" si="12"/>
        <v>-50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>
        <f t="shared" si="11"/>
        <v>-5</v>
      </c>
      <c r="K160" s="103">
        <f t="shared" si="12"/>
        <v>-50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>
        <f t="shared" si="11"/>
        <v>-5</v>
      </c>
      <c r="K161" s="103">
        <f t="shared" si="12"/>
        <v>-50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>
        <f t="shared" si="11"/>
        <v>-5</v>
      </c>
      <c r="K162" s="103">
        <f t="shared" si="12"/>
        <v>-50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>
        <f t="shared" si="11"/>
        <v>-5</v>
      </c>
      <c r="K163" s="103">
        <f t="shared" si="12"/>
        <v>-50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>
        <f t="shared" si="11"/>
        <v>-5</v>
      </c>
      <c r="K164" s="103">
        <f t="shared" si="12"/>
        <v>-50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>
        <f t="shared" si="11"/>
        <v>-5</v>
      </c>
      <c r="K165" s="103">
        <f t="shared" si="12"/>
        <v>-50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>
        <f t="shared" si="11"/>
        <v>-5</v>
      </c>
      <c r="K166" s="103">
        <f t="shared" si="12"/>
        <v>-50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>
        <f t="shared" si="11"/>
        <v>-5</v>
      </c>
      <c r="K167" s="103">
        <f t="shared" si="12"/>
        <v>-50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>
        <f t="shared" si="11"/>
        <v>-5</v>
      </c>
      <c r="K168" s="103">
        <f t="shared" si="12"/>
        <v>-50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0"/>
        <v/>
      </c>
      <c r="J169" s="103">
        <f t="shared" si="11"/>
        <v>-5</v>
      </c>
      <c r="K169" s="103">
        <f t="shared" si="12"/>
        <v>-50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>
        <f t="shared" si="11"/>
        <v>-5</v>
      </c>
      <c r="K170" s="103">
        <f t="shared" si="12"/>
        <v>-50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>
        <f t="shared" si="11"/>
        <v>-5</v>
      </c>
      <c r="K171" s="103">
        <f t="shared" si="12"/>
        <v>-50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>
        <f t="shared" si="11"/>
        <v>-5</v>
      </c>
      <c r="K172" s="103">
        <f t="shared" si="12"/>
        <v>-50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>
        <f t="shared" si="11"/>
        <v>-5</v>
      </c>
      <c r="K173" s="103">
        <f t="shared" si="12"/>
        <v>-50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>
        <f t="shared" si="11"/>
        <v>-5</v>
      </c>
      <c r="K174" s="103">
        <f t="shared" si="12"/>
        <v>-50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>
        <f t="shared" si="11"/>
        <v>-5</v>
      </c>
      <c r="K175" s="103">
        <f t="shared" si="12"/>
        <v>-50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>
        <f t="shared" si="11"/>
        <v>-5</v>
      </c>
      <c r="K176" s="103">
        <f t="shared" si="12"/>
        <v>-50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>
        <f t="shared" si="11"/>
        <v>-5</v>
      </c>
      <c r="K177" s="103">
        <f t="shared" si="12"/>
        <v>-50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>
        <f t="shared" si="11"/>
        <v>-5</v>
      </c>
      <c r="K178" s="103">
        <f t="shared" si="12"/>
        <v>-50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>
        <f t="shared" si="11"/>
        <v>-5</v>
      </c>
      <c r="K179" s="103">
        <f t="shared" si="12"/>
        <v>-50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>
        <f t="shared" si="11"/>
        <v>-5</v>
      </c>
      <c r="K180" s="103">
        <f t="shared" si="12"/>
        <v>-50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>
        <f t="shared" si="11"/>
        <v>-5</v>
      </c>
      <c r="K181" s="103">
        <f t="shared" si="12"/>
        <v>-50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>
        <f t="shared" si="11"/>
        <v>-5</v>
      </c>
      <c r="K182" s="103">
        <f t="shared" si="12"/>
        <v>-50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>
        <f t="shared" si="11"/>
        <v>-5</v>
      </c>
      <c r="K183" s="103">
        <f t="shared" si="12"/>
        <v>-50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>
        <f t="shared" si="11"/>
        <v>-5</v>
      </c>
      <c r="K184" s="103">
        <f t="shared" si="12"/>
        <v>-50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>
        <f t="shared" si="11"/>
        <v>-5</v>
      </c>
      <c r="K185" s="103">
        <f t="shared" si="12"/>
        <v>-50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>
        <f t="shared" si="11"/>
        <v>-5</v>
      </c>
      <c r="K186" s="103">
        <f t="shared" si="12"/>
        <v>-50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>
        <f t="shared" si="11"/>
        <v>-5</v>
      </c>
      <c r="K187" s="103">
        <f t="shared" si="12"/>
        <v>-50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>
        <f t="shared" si="11"/>
        <v>-5</v>
      </c>
      <c r="K188" s="103">
        <f t="shared" si="12"/>
        <v>-50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>
        <f t="shared" si="11"/>
        <v>-5</v>
      </c>
      <c r="K189" s="103">
        <f t="shared" si="12"/>
        <v>-50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>
        <f t="shared" si="11"/>
        <v>-5</v>
      </c>
      <c r="K190" s="103">
        <f t="shared" si="12"/>
        <v>-50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>
        <f t="shared" si="11"/>
        <v>-5</v>
      </c>
      <c r="K191" s="103">
        <f t="shared" si="12"/>
        <v>-50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>
        <f t="shared" si="11"/>
        <v>-5</v>
      </c>
      <c r="K192" s="103">
        <f t="shared" si="12"/>
        <v>-50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>
        <f t="shared" si="11"/>
        <v>-5</v>
      </c>
      <c r="K193" s="103">
        <f t="shared" si="12"/>
        <v>-50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>
        <f t="shared" si="11"/>
        <v>-5</v>
      </c>
      <c r="K194" s="103">
        <f t="shared" si="12"/>
        <v>-50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>
        <f t="shared" si="11"/>
        <v>-5</v>
      </c>
      <c r="K195" s="103">
        <f t="shared" si="12"/>
        <v>-50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>
        <f t="shared" si="11"/>
        <v>-5</v>
      </c>
      <c r="K196" s="103">
        <f t="shared" si="12"/>
        <v>-50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>
        <f t="shared" si="11"/>
        <v>-5</v>
      </c>
      <c r="K197" s="103">
        <f t="shared" si="12"/>
        <v>-50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>
        <f t="shared" ref="J198:J261" si="15">INT(LOG($H$2,2))-ROUNDUP(LOG(H198,2),0)+IF(OR($H$2=1,$H$2=2,$H$2=4,$H$2=8,$H$2=16,$H$2=32,$H$2=64,$H$2=128,$H$2=256),0,1)</f>
        <v>-5</v>
      </c>
      <c r="K198" s="103">
        <f t="shared" ref="K198:K261" si="16">J198*$J$2</f>
        <v>-50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>
        <f t="shared" si="15"/>
        <v>-5</v>
      </c>
      <c r="K199" s="103">
        <f t="shared" si="16"/>
        <v>-50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>
        <f t="shared" si="15"/>
        <v>-5</v>
      </c>
      <c r="K200" s="103">
        <f t="shared" si="16"/>
        <v>-50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>
        <f t="shared" si="15"/>
        <v>-5</v>
      </c>
      <c r="K201" s="103">
        <f t="shared" si="16"/>
        <v>-50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>
        <f t="shared" si="15"/>
        <v>-5</v>
      </c>
      <c r="K202" s="103">
        <f t="shared" si="16"/>
        <v>-50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>
        <f t="shared" si="15"/>
        <v>-5</v>
      </c>
      <c r="K203" s="103">
        <f t="shared" si="16"/>
        <v>-50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>
        <f t="shared" si="15"/>
        <v>-5</v>
      </c>
      <c r="K204" s="103">
        <f t="shared" si="16"/>
        <v>-50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>
        <f t="shared" si="15"/>
        <v>-5</v>
      </c>
      <c r="K205" s="103">
        <f t="shared" si="16"/>
        <v>-50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>
        <f t="shared" si="15"/>
        <v>-5</v>
      </c>
      <c r="K206" s="103">
        <f t="shared" si="16"/>
        <v>-50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>
        <f t="shared" si="15"/>
        <v>-5</v>
      </c>
      <c r="K207" s="103">
        <f t="shared" si="16"/>
        <v>-50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>
        <f t="shared" si="15"/>
        <v>-5</v>
      </c>
      <c r="K208" s="103">
        <f t="shared" si="16"/>
        <v>-50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>
        <f t="shared" si="15"/>
        <v>-5</v>
      </c>
      <c r="K209" s="103">
        <f t="shared" si="16"/>
        <v>-50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>
        <f t="shared" si="15"/>
        <v>-5</v>
      </c>
      <c r="K210" s="103">
        <f t="shared" si="16"/>
        <v>-50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>
        <f t="shared" si="15"/>
        <v>-5</v>
      </c>
      <c r="K211" s="103">
        <f t="shared" si="16"/>
        <v>-50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>
        <f t="shared" si="15"/>
        <v>-5</v>
      </c>
      <c r="K212" s="103">
        <f t="shared" si="16"/>
        <v>-50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>
        <f t="shared" si="15"/>
        <v>-5</v>
      </c>
      <c r="K213" s="103">
        <f t="shared" si="16"/>
        <v>-50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>
        <f t="shared" si="15"/>
        <v>-5</v>
      </c>
      <c r="K214" s="103">
        <f t="shared" si="16"/>
        <v>-50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>
        <f t="shared" si="15"/>
        <v>-5</v>
      </c>
      <c r="K215" s="103">
        <f t="shared" si="16"/>
        <v>-50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>
        <f t="shared" si="15"/>
        <v>-5</v>
      </c>
      <c r="K216" s="103">
        <f t="shared" si="16"/>
        <v>-50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>
        <f t="shared" si="15"/>
        <v>-5</v>
      </c>
      <c r="K217" s="103">
        <f t="shared" si="16"/>
        <v>-50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>
        <f t="shared" si="15"/>
        <v>-5</v>
      </c>
      <c r="K218" s="103">
        <f t="shared" si="16"/>
        <v>-50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>
        <f t="shared" si="15"/>
        <v>-5</v>
      </c>
      <c r="K219" s="103">
        <f t="shared" si="16"/>
        <v>-50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>
        <f t="shared" si="15"/>
        <v>-5</v>
      </c>
      <c r="K220" s="103">
        <f t="shared" si="16"/>
        <v>-50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>
        <f t="shared" si="15"/>
        <v>-5</v>
      </c>
      <c r="K221" s="103">
        <f t="shared" si="16"/>
        <v>-50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>
        <f t="shared" si="15"/>
        <v>-5</v>
      </c>
      <c r="K222" s="103">
        <f t="shared" si="16"/>
        <v>-50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>
        <f t="shared" si="15"/>
        <v>-5</v>
      </c>
      <c r="K223" s="103">
        <f t="shared" si="16"/>
        <v>-50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>
        <f t="shared" si="15"/>
        <v>-5</v>
      </c>
      <c r="K224" s="103">
        <f t="shared" si="16"/>
        <v>-50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>
        <f t="shared" si="15"/>
        <v>-5</v>
      </c>
      <c r="K225" s="103">
        <f t="shared" si="16"/>
        <v>-50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>
        <f t="shared" si="15"/>
        <v>-5</v>
      </c>
      <c r="K226" s="103">
        <f t="shared" si="16"/>
        <v>-50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>
        <f t="shared" si="15"/>
        <v>-5</v>
      </c>
      <c r="K227" s="103">
        <f t="shared" si="16"/>
        <v>-50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>
        <f t="shared" si="15"/>
        <v>-5</v>
      </c>
      <c r="K228" s="103">
        <f t="shared" si="16"/>
        <v>-50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>
        <f t="shared" si="15"/>
        <v>-5</v>
      </c>
      <c r="K229" s="103">
        <f t="shared" si="16"/>
        <v>-50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>
        <f t="shared" si="15"/>
        <v>-5</v>
      </c>
      <c r="K230" s="103">
        <f t="shared" si="16"/>
        <v>-50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>
        <f t="shared" si="15"/>
        <v>-5</v>
      </c>
      <c r="K231" s="103">
        <f t="shared" si="16"/>
        <v>-50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>
        <f t="shared" si="15"/>
        <v>-5</v>
      </c>
      <c r="K232" s="103">
        <f t="shared" si="16"/>
        <v>-50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>
        <f t="shared" si="15"/>
        <v>-5</v>
      </c>
      <c r="K233" s="103">
        <f t="shared" si="16"/>
        <v>-50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>
        <f t="shared" si="15"/>
        <v>-5</v>
      </c>
      <c r="K234" s="103">
        <f t="shared" si="16"/>
        <v>-50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>
        <f t="shared" si="15"/>
        <v>-5</v>
      </c>
      <c r="K235" s="103">
        <f t="shared" si="16"/>
        <v>-50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>
        <f t="shared" si="15"/>
        <v>-5</v>
      </c>
      <c r="K236" s="103">
        <f t="shared" si="16"/>
        <v>-50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>
        <f t="shared" si="15"/>
        <v>-5</v>
      </c>
      <c r="K237" s="103">
        <f t="shared" si="16"/>
        <v>-50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>
        <f t="shared" si="15"/>
        <v>-5</v>
      </c>
      <c r="K238" s="103">
        <f t="shared" si="16"/>
        <v>-50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>
        <f t="shared" si="15"/>
        <v>-5</v>
      </c>
      <c r="K239" s="103">
        <f t="shared" si="16"/>
        <v>-50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>
        <f t="shared" si="15"/>
        <v>-5</v>
      </c>
      <c r="K240" s="103">
        <f t="shared" si="16"/>
        <v>-50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>
        <f t="shared" si="15"/>
        <v>-5</v>
      </c>
      <c r="K241" s="103">
        <f t="shared" si="16"/>
        <v>-50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>
        <f t="shared" si="15"/>
        <v>-5</v>
      </c>
      <c r="K242" s="103">
        <f t="shared" si="16"/>
        <v>-50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>
        <f t="shared" si="15"/>
        <v>-5</v>
      </c>
      <c r="K243" s="103">
        <f t="shared" si="16"/>
        <v>-50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>
        <f t="shared" si="15"/>
        <v>-5</v>
      </c>
      <c r="K244" s="103">
        <f t="shared" si="16"/>
        <v>-50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>
        <f t="shared" si="15"/>
        <v>-5</v>
      </c>
      <c r="K245" s="103">
        <f t="shared" si="16"/>
        <v>-50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>
        <f t="shared" si="15"/>
        <v>-5</v>
      </c>
      <c r="K246" s="103">
        <f t="shared" si="16"/>
        <v>-50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>
        <f t="shared" si="15"/>
        <v>-5</v>
      </c>
      <c r="K247" s="103">
        <f t="shared" si="16"/>
        <v>-50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>
        <f t="shared" si="15"/>
        <v>-5</v>
      </c>
      <c r="K248" s="103">
        <f t="shared" si="16"/>
        <v>-50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>
        <f t="shared" si="15"/>
        <v>-5</v>
      </c>
      <c r="K249" s="103">
        <f t="shared" si="16"/>
        <v>-50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>
        <f t="shared" si="15"/>
        <v>-5</v>
      </c>
      <c r="K250" s="103">
        <f t="shared" si="16"/>
        <v>-50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>
        <f t="shared" si="15"/>
        <v>-5</v>
      </c>
      <c r="K251" s="103">
        <f t="shared" si="16"/>
        <v>-50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>
        <f t="shared" si="15"/>
        <v>-5</v>
      </c>
      <c r="K252" s="103">
        <f t="shared" si="16"/>
        <v>-50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>
        <f t="shared" si="15"/>
        <v>-5</v>
      </c>
      <c r="K253" s="103">
        <f t="shared" si="16"/>
        <v>-50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>
        <f t="shared" si="15"/>
        <v>-5</v>
      </c>
      <c r="K254" s="103">
        <f t="shared" si="16"/>
        <v>-50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>
        <f t="shared" si="15"/>
        <v>-5</v>
      </c>
      <c r="K255" s="103">
        <f t="shared" si="16"/>
        <v>-50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>
        <f t="shared" si="15"/>
        <v>-5</v>
      </c>
      <c r="K256" s="103">
        <f t="shared" si="16"/>
        <v>-50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>
        <f t="shared" si="15"/>
        <v>-5</v>
      </c>
      <c r="K257" s="103">
        <f t="shared" si="16"/>
        <v>-50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>
        <f t="shared" si="15"/>
        <v>-5</v>
      </c>
      <c r="K258" s="103">
        <f t="shared" si="16"/>
        <v>-50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>
        <f t="shared" si="15"/>
        <v>-5</v>
      </c>
      <c r="K259" s="103">
        <f t="shared" si="16"/>
        <v>-50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>
        <f t="shared" si="15"/>
        <v>-5</v>
      </c>
      <c r="K260" s="103">
        <f t="shared" si="16"/>
        <v>-50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>
        <f t="shared" si="15"/>
        <v>-5</v>
      </c>
      <c r="K261" s="103">
        <f t="shared" si="16"/>
        <v>-50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>
        <f t="shared" ref="J262:J325" si="19">INT(LOG($H$2,2))-ROUNDUP(LOG(H262,2),0)+IF(OR($H$2=1,$H$2=2,$H$2=4,$H$2=8,$H$2=16,$H$2=32,$H$2=64,$H$2=128,$H$2=256),0,1)</f>
        <v>-6</v>
      </c>
      <c r="K262" s="103">
        <f t="shared" ref="K262:K305" si="20">J262*$J$2</f>
        <v>-60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>
        <f t="shared" si="19"/>
        <v>-6</v>
      </c>
      <c r="K263" s="103">
        <f t="shared" si="20"/>
        <v>-60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>
        <f t="shared" si="19"/>
        <v>-6</v>
      </c>
      <c r="K264" s="103">
        <f t="shared" si="20"/>
        <v>-60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>
        <f t="shared" si="19"/>
        <v>-6</v>
      </c>
      <c r="K265" s="103">
        <f t="shared" si="20"/>
        <v>-60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>
        <f t="shared" si="19"/>
        <v>-6</v>
      </c>
      <c r="K266" s="103">
        <f t="shared" si="20"/>
        <v>-60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>
        <f t="shared" si="19"/>
        <v>-6</v>
      </c>
      <c r="K267" s="103">
        <f t="shared" si="20"/>
        <v>-60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>
        <f t="shared" si="19"/>
        <v>-6</v>
      </c>
      <c r="K268" s="103">
        <f t="shared" si="20"/>
        <v>-60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>
        <f t="shared" si="19"/>
        <v>-6</v>
      </c>
      <c r="K269" s="103">
        <f t="shared" si="20"/>
        <v>-60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>
        <f t="shared" si="19"/>
        <v>-6</v>
      </c>
      <c r="K270" s="103">
        <f t="shared" si="20"/>
        <v>-60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>
        <f t="shared" si="19"/>
        <v>-6</v>
      </c>
      <c r="K271" s="103">
        <f t="shared" si="20"/>
        <v>-60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>
        <f t="shared" si="19"/>
        <v>-6</v>
      </c>
      <c r="K272" s="103">
        <f t="shared" si="20"/>
        <v>-60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>
        <f t="shared" si="19"/>
        <v>-6</v>
      </c>
      <c r="K273" s="103">
        <f t="shared" si="20"/>
        <v>-60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>
        <f t="shared" si="19"/>
        <v>-6</v>
      </c>
      <c r="K274" s="103">
        <f t="shared" si="20"/>
        <v>-60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>
        <f t="shared" si="19"/>
        <v>-6</v>
      </c>
      <c r="K275" s="103">
        <f t="shared" si="20"/>
        <v>-60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>
        <f t="shared" si="19"/>
        <v>-6</v>
      </c>
      <c r="K276" s="103">
        <f t="shared" si="20"/>
        <v>-60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>
        <f t="shared" si="19"/>
        <v>-6</v>
      </c>
      <c r="K277" s="103">
        <f t="shared" si="20"/>
        <v>-60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>
        <f t="shared" si="19"/>
        <v>-6</v>
      </c>
      <c r="K278" s="103">
        <f t="shared" si="20"/>
        <v>-60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>
        <f t="shared" si="19"/>
        <v>-6</v>
      </c>
      <c r="K279" s="103">
        <f t="shared" si="20"/>
        <v>-60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>
        <f t="shared" si="19"/>
        <v>-6</v>
      </c>
      <c r="K280" s="103">
        <f t="shared" si="20"/>
        <v>-60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>
        <f t="shared" si="19"/>
        <v>-6</v>
      </c>
      <c r="K281" s="103">
        <f t="shared" si="20"/>
        <v>-60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>
        <f t="shared" si="19"/>
        <v>-6</v>
      </c>
      <c r="K282" s="103">
        <f t="shared" si="20"/>
        <v>-60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>
        <f t="shared" si="19"/>
        <v>-6</v>
      </c>
      <c r="K283" s="103">
        <f t="shared" si="20"/>
        <v>-60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>
        <f t="shared" si="19"/>
        <v>-6</v>
      </c>
      <c r="K284" s="103">
        <f t="shared" si="20"/>
        <v>-60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>
        <f t="shared" si="19"/>
        <v>-6</v>
      </c>
      <c r="K285" s="103">
        <f t="shared" si="20"/>
        <v>-60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>
        <f t="shared" si="19"/>
        <v>-6</v>
      </c>
      <c r="K286" s="103">
        <f t="shared" si="20"/>
        <v>-60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>
        <f t="shared" si="19"/>
        <v>-6</v>
      </c>
      <c r="K287" s="103">
        <f t="shared" si="20"/>
        <v>-60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>
        <f t="shared" si="19"/>
        <v>-6</v>
      </c>
      <c r="K288" s="103">
        <f t="shared" si="20"/>
        <v>-60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>
        <f t="shared" si="19"/>
        <v>-6</v>
      </c>
      <c r="K289" s="103">
        <f t="shared" si="20"/>
        <v>-60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>
        <f t="shared" si="19"/>
        <v>-6</v>
      </c>
      <c r="K290" s="103">
        <f t="shared" si="20"/>
        <v>-60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>
        <f t="shared" si="19"/>
        <v>-6</v>
      </c>
      <c r="K291" s="103">
        <f t="shared" si="20"/>
        <v>-60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>
        <f t="shared" si="19"/>
        <v>-6</v>
      </c>
      <c r="K292" s="103">
        <f t="shared" si="20"/>
        <v>-60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>
        <f t="shared" si="19"/>
        <v>-6</v>
      </c>
      <c r="K293" s="103">
        <f t="shared" si="20"/>
        <v>-60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>
        <f t="shared" si="19"/>
        <v>-6</v>
      </c>
      <c r="K294" s="103">
        <f t="shared" si="20"/>
        <v>-60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>
        <f t="shared" si="19"/>
        <v>-6</v>
      </c>
      <c r="K295" s="103">
        <f t="shared" si="20"/>
        <v>-60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>
        <f t="shared" si="19"/>
        <v>-6</v>
      </c>
      <c r="K296" s="103">
        <f t="shared" si="20"/>
        <v>-60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>
        <f t="shared" si="19"/>
        <v>-6</v>
      </c>
      <c r="K297" s="103">
        <f t="shared" si="20"/>
        <v>-60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>
        <f t="shared" si="19"/>
        <v>-6</v>
      </c>
      <c r="K298" s="103">
        <f t="shared" si="20"/>
        <v>-60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>
        <f t="shared" si="19"/>
        <v>-6</v>
      </c>
      <c r="K299" s="103">
        <f t="shared" si="20"/>
        <v>-60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>
        <f t="shared" si="19"/>
        <v>-6</v>
      </c>
      <c r="K300" s="103">
        <f t="shared" si="20"/>
        <v>-60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>
        <f t="shared" si="19"/>
        <v>-6</v>
      </c>
      <c r="K301" s="103">
        <f t="shared" si="20"/>
        <v>-60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>
        <f t="shared" si="19"/>
        <v>-6</v>
      </c>
      <c r="K302" s="103">
        <f t="shared" si="20"/>
        <v>-60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>
        <f t="shared" si="19"/>
        <v>-6</v>
      </c>
      <c r="K303" s="103">
        <f t="shared" si="20"/>
        <v>-60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>
        <f t="shared" si="19"/>
        <v>-6</v>
      </c>
      <c r="K304" s="103">
        <f t="shared" si="20"/>
        <v>-60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>
        <f t="shared" si="19"/>
        <v>-6</v>
      </c>
      <c r="K305" s="103">
        <f t="shared" si="20"/>
        <v>-60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 x14ac:dyDescent="0.25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 x14ac:dyDescent="0.25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 x14ac:dyDescent="0.25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 x14ac:dyDescent="0.25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 x14ac:dyDescent="0.25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 x14ac:dyDescent="0.25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 x14ac:dyDescent="0.25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 x14ac:dyDescent="0.25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 x14ac:dyDescent="0.25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 x14ac:dyDescent="0.25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 x14ac:dyDescent="0.25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 x14ac:dyDescent="0.25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 x14ac:dyDescent="0.25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 x14ac:dyDescent="0.25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 x14ac:dyDescent="0.25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 x14ac:dyDescent="0.25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 x14ac:dyDescent="0.25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 x14ac:dyDescent="0.25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 x14ac:dyDescent="0.25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 x14ac:dyDescent="0.25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 x14ac:dyDescent="0.25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 x14ac:dyDescent="0.25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 x14ac:dyDescent="0.25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 x14ac:dyDescent="0.25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 x14ac:dyDescent="0.25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 x14ac:dyDescent="0.25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 x14ac:dyDescent="0.25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 x14ac:dyDescent="0.25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 x14ac:dyDescent="0.25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 x14ac:dyDescent="0.25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 x14ac:dyDescent="0.25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 x14ac:dyDescent="0.25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 x14ac:dyDescent="0.25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 x14ac:dyDescent="0.25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 x14ac:dyDescent="0.25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 x14ac:dyDescent="0.25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 x14ac:dyDescent="0.25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 x14ac:dyDescent="0.25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 x14ac:dyDescent="0.25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 x14ac:dyDescent="0.25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 x14ac:dyDescent="0.25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 x14ac:dyDescent="0.25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 x14ac:dyDescent="0.25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 x14ac:dyDescent="0.25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 x14ac:dyDescent="0.25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 x14ac:dyDescent="0.25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 x14ac:dyDescent="0.25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 x14ac:dyDescent="0.25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 x14ac:dyDescent="0.25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 x14ac:dyDescent="0.25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 x14ac:dyDescent="0.25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 x14ac:dyDescent="0.25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 x14ac:dyDescent="0.25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 x14ac:dyDescent="0.25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 x14ac:dyDescent="0.25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 x14ac:dyDescent="0.25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 x14ac:dyDescent="0.25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 x14ac:dyDescent="0.25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 x14ac:dyDescent="0.25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 x14ac:dyDescent="0.25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 x14ac:dyDescent="0.25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 x14ac:dyDescent="0.25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 x14ac:dyDescent="0.25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 x14ac:dyDescent="0.25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9" priority="1" operator="lessThanOrEqual">
      <formula>0</formula>
    </cfRule>
  </conditionalFormatting>
  <hyperlinks>
    <hyperlink ref="C2" r:id="rId1" xr:uid="{E6C072B3-3C13-40AF-83CA-B44C2F7F886A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0440-2823-4C6D-BEB3-8D571DFEFA57}">
  <sheetPr>
    <tabColor rgb="FF92D050"/>
  </sheetPr>
  <dimension ref="A1:AL374"/>
  <sheetViews>
    <sheetView zoomScaleNormal="100" workbookViewId="0">
      <selection activeCell="C22" sqref="C22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76" t="s">
        <v>127</v>
      </c>
      <c r="D2" s="75"/>
      <c r="E2" s="23"/>
      <c r="F2" s="23"/>
      <c r="G2" s="23"/>
      <c r="H2" s="94">
        <v>0</v>
      </c>
      <c r="I2" s="95">
        <v>50</v>
      </c>
      <c r="J2" s="95">
        <v>10</v>
      </c>
      <c r="K2" s="96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x14ac:dyDescent="0.25">
      <c r="A3" s="88"/>
      <c r="B3" s="97" t="s">
        <v>32</v>
      </c>
      <c r="C3" s="76" t="s">
        <v>128</v>
      </c>
      <c r="D3" s="76"/>
      <c r="E3" s="28"/>
      <c r="F3" s="28"/>
      <c r="G3" s="28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37" si="0">M6</f>
        <v>0</v>
      </c>
      <c r="B6" s="36" t="str">
        <f>IF(H6&gt;$H$2,"",(ROW()-5))</f>
        <v/>
      </c>
      <c r="C6" s="37"/>
      <c r="D6" s="37"/>
      <c r="E6" s="37"/>
      <c r="F6" s="37" t="s">
        <v>47</v>
      </c>
      <c r="G6" s="30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0</v>
      </c>
      <c r="B7" s="42" t="str">
        <f>IF(H7&gt;$H$2,"",(ROW()-5))</f>
        <v/>
      </c>
      <c r="C7" s="43"/>
      <c r="D7" s="43"/>
      <c r="E7" s="43"/>
      <c r="F7" s="43" t="s">
        <v>47</v>
      </c>
      <c r="G7" s="30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0</v>
      </c>
      <c r="B8" s="36" t="str">
        <f>IF(H8&gt;$H$2,"",(ROW()-5))</f>
        <v/>
      </c>
      <c r="C8" s="37"/>
      <c r="D8" s="37"/>
      <c r="E8" s="37"/>
      <c r="F8" s="37" t="s">
        <v>47</v>
      </c>
      <c r="G8" s="30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0</v>
      </c>
      <c r="B10" s="36" t="str">
        <f t="shared" ref="B10:B65" si="5">IF(H10&gt;$H$2,"",(ROW()-5))</f>
        <v/>
      </c>
      <c r="C10" s="37"/>
      <c r="D10" s="37"/>
      <c r="E10" s="37"/>
      <c r="F10" s="37"/>
      <c r="G10" s="30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 x14ac:dyDescent="0.25">
      <c r="A38" s="102"/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 x14ac:dyDescent="0.25">
      <c r="A39" s="106"/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 x14ac:dyDescent="0.25">
      <c r="A40" s="102"/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 x14ac:dyDescent="0.25">
      <c r="A41" s="106"/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2"/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 x14ac:dyDescent="0.25">
      <c r="A43" s="106"/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 x14ac:dyDescent="0.25">
      <c r="A44" s="102"/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 x14ac:dyDescent="0.25">
      <c r="A45" s="106"/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 x14ac:dyDescent="0.25">
      <c r="A46" s="102"/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 x14ac:dyDescent="0.25">
      <c r="A47" s="106"/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 x14ac:dyDescent="0.25">
      <c r="A48" s="102"/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6"/>
      <c r="B49" s="42" t="str">
        <f t="shared" si="5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2"/>
      <c r="B50" s="36" t="str">
        <f t="shared" si="5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/>
      <c r="B51" s="42" t="str">
        <f t="shared" si="5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02"/>
      <c r="B52" s="36" t="str">
        <f t="shared" si="5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06"/>
      <c r="B53" s="42" t="str">
        <f t="shared" si="5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02"/>
      <c r="B54" s="36" t="str">
        <f t="shared" si="5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06"/>
      <c r="B55" s="42" t="str">
        <f t="shared" si="5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02"/>
      <c r="B56" s="36" t="str">
        <f t="shared" si="5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06"/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2"/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/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2"/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/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/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/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/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/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22"/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22"/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22"/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22"/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2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 x14ac:dyDescent="0.25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 x14ac:dyDescent="0.25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 x14ac:dyDescent="0.25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 x14ac:dyDescent="0.25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 x14ac:dyDescent="0.25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 x14ac:dyDescent="0.25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 x14ac:dyDescent="0.25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 x14ac:dyDescent="0.25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 x14ac:dyDescent="0.25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 x14ac:dyDescent="0.25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 x14ac:dyDescent="0.25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 x14ac:dyDescent="0.25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 x14ac:dyDescent="0.25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 x14ac:dyDescent="0.25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 x14ac:dyDescent="0.25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 x14ac:dyDescent="0.25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 x14ac:dyDescent="0.25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 x14ac:dyDescent="0.25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 x14ac:dyDescent="0.25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 x14ac:dyDescent="0.25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 x14ac:dyDescent="0.25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 x14ac:dyDescent="0.25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 x14ac:dyDescent="0.25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 x14ac:dyDescent="0.25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 x14ac:dyDescent="0.25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 x14ac:dyDescent="0.25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 x14ac:dyDescent="0.25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 x14ac:dyDescent="0.25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 x14ac:dyDescent="0.25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 x14ac:dyDescent="0.25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 x14ac:dyDescent="0.25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 x14ac:dyDescent="0.25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 x14ac:dyDescent="0.25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 x14ac:dyDescent="0.25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 x14ac:dyDescent="0.25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 x14ac:dyDescent="0.25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 x14ac:dyDescent="0.25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 x14ac:dyDescent="0.25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 x14ac:dyDescent="0.25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 x14ac:dyDescent="0.25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 x14ac:dyDescent="0.25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 x14ac:dyDescent="0.25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 x14ac:dyDescent="0.25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 x14ac:dyDescent="0.25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 x14ac:dyDescent="0.25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 x14ac:dyDescent="0.25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 x14ac:dyDescent="0.25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 x14ac:dyDescent="0.25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 x14ac:dyDescent="0.25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 x14ac:dyDescent="0.25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 x14ac:dyDescent="0.25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 x14ac:dyDescent="0.25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 x14ac:dyDescent="0.25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 x14ac:dyDescent="0.25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 x14ac:dyDescent="0.25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 x14ac:dyDescent="0.25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 x14ac:dyDescent="0.25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 x14ac:dyDescent="0.25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 x14ac:dyDescent="0.25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 x14ac:dyDescent="0.25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 x14ac:dyDescent="0.25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 x14ac:dyDescent="0.25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 x14ac:dyDescent="0.25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 x14ac:dyDescent="0.25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AD10-1EC8-4BBB-8AC1-1882527F878B}">
  <sheetPr>
    <tabColor rgb="FF92D050"/>
  </sheetPr>
  <dimension ref="A1:AL317"/>
  <sheetViews>
    <sheetView workbookViewId="0">
      <selection activeCell="D11" sqref="D11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43.7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76" t="s">
        <v>129</v>
      </c>
      <c r="D2" s="75"/>
      <c r="E2" s="23"/>
      <c r="F2" s="23"/>
      <c r="G2" s="23"/>
      <c r="H2" s="94">
        <v>17</v>
      </c>
      <c r="I2" s="95">
        <v>50</v>
      </c>
      <c r="J2" s="95">
        <v>10</v>
      </c>
      <c r="K2" s="129">
        <f>3*H2^(1/3)</f>
        <v>7.7138447719747054</v>
      </c>
      <c r="L2" s="92"/>
      <c r="M2" s="92"/>
      <c r="N2" s="88"/>
      <c r="O2" s="88"/>
      <c r="P2" s="88"/>
      <c r="Q2" s="88"/>
      <c r="R2" s="88"/>
    </row>
    <row r="3" spans="1:36" s="93" customFormat="1" x14ac:dyDescent="0.25">
      <c r="A3" s="88"/>
      <c r="B3" s="97" t="s">
        <v>32</v>
      </c>
      <c r="C3" s="76" t="s">
        <v>130</v>
      </c>
      <c r="D3" s="76"/>
      <c r="E3" s="28"/>
      <c r="F3" s="28"/>
      <c r="G3" s="28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37" si="0">M6</f>
        <v>113.14153431592412</v>
      </c>
      <c r="B6" s="36">
        <f>IF(H6&gt;$H$2,"",(ROW()-5))</f>
        <v>1</v>
      </c>
      <c r="C6" s="37" t="s">
        <v>53</v>
      </c>
      <c r="D6" s="37"/>
      <c r="E6" s="37"/>
      <c r="F6" s="37"/>
      <c r="G6" s="30"/>
      <c r="H6" s="103">
        <v>1</v>
      </c>
      <c r="I6" s="104">
        <f t="shared" ref="I6:I69" si="1">IF(H6&lt;$H$2+1,($I$2-($I$2-1)*(LOG(H6)/LOG($H$2))),"")</f>
        <v>50</v>
      </c>
      <c r="J6" s="103">
        <v>4</v>
      </c>
      <c r="K6" s="103">
        <f t="shared" ref="K6:K69" si="2">J6*$J$2</f>
        <v>40</v>
      </c>
      <c r="L6" s="105">
        <f>3*K2</f>
        <v>23.141534315924115</v>
      </c>
      <c r="M6" s="105">
        <f t="shared" ref="M6:M69" si="3">IF(I6&lt;&gt;"",K6+I6+L6,0)</f>
        <v>113.14153431592412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83.439812980156333</v>
      </c>
      <c r="B7" s="42">
        <f>IF(H7&gt;$H$2,"",(ROW()-5))</f>
        <v>2</v>
      </c>
      <c r="C7" s="43" t="s">
        <v>53</v>
      </c>
      <c r="D7" s="43"/>
      <c r="E7" s="43"/>
      <c r="F7" s="43"/>
      <c r="G7" s="30"/>
      <c r="H7" s="107">
        <v>2</v>
      </c>
      <c r="I7" s="108">
        <f t="shared" si="1"/>
        <v>38.01212343620692</v>
      </c>
      <c r="J7" s="107">
        <v>3</v>
      </c>
      <c r="K7" s="107">
        <f t="shared" si="2"/>
        <v>30</v>
      </c>
      <c r="L7" s="109">
        <f>2*K2</f>
        <v>15.427689543949411</v>
      </c>
      <c r="M7" s="109">
        <f t="shared" si="3"/>
        <v>83.439812980156333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58.713509955088696</v>
      </c>
      <c r="B8" s="36">
        <f>IF(H8&gt;$H$2,"",(ROW()-5))</f>
        <v>3</v>
      </c>
      <c r="C8" s="37" t="s">
        <v>53</v>
      </c>
      <c r="D8" s="37"/>
      <c r="E8" s="37"/>
      <c r="F8" s="37"/>
      <c r="G8" s="30"/>
      <c r="H8" s="103">
        <v>3</v>
      </c>
      <c r="I8" s="104">
        <f t="shared" si="1"/>
        <v>30.999665183113986</v>
      </c>
      <c r="J8" s="103">
        <v>2</v>
      </c>
      <c r="K8" s="103">
        <f t="shared" si="2"/>
        <v>20</v>
      </c>
      <c r="L8" s="105">
        <f>K2</f>
        <v>7.7138447719747054</v>
      </c>
      <c r="M8" s="105">
        <f t="shared" si="3"/>
        <v>58.713509955088696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58.713509955088696</v>
      </c>
      <c r="B9" s="42">
        <f>IF(H9&gt;$H$2,"",3)</f>
        <v>3</v>
      </c>
      <c r="C9" s="43" t="s">
        <v>53</v>
      </c>
      <c r="D9" s="43"/>
      <c r="E9" s="43"/>
      <c r="F9" s="43"/>
      <c r="G9" s="30"/>
      <c r="H9" s="107">
        <v>3</v>
      </c>
      <c r="I9" s="108">
        <f t="shared" si="1"/>
        <v>30.999665183113986</v>
      </c>
      <c r="J9" s="107">
        <v>2</v>
      </c>
      <c r="K9" s="107">
        <f t="shared" si="2"/>
        <v>20</v>
      </c>
      <c r="L9" s="109">
        <f>K2</f>
        <v>7.7138447719747054</v>
      </c>
      <c r="M9" s="109">
        <f t="shared" si="3"/>
        <v>58.713509955088696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42.165012608487082</v>
      </c>
      <c r="B10" s="36">
        <f t="shared" ref="B10:B65" si="4">IF(H10&gt;$H$2,"",(ROW()-5))</f>
        <v>5</v>
      </c>
      <c r="C10" s="37" t="s">
        <v>53</v>
      </c>
      <c r="D10" s="37"/>
      <c r="E10" s="37"/>
      <c r="F10" s="37"/>
      <c r="G10" s="30"/>
      <c r="H10" s="103">
        <v>5</v>
      </c>
      <c r="I10" s="104">
        <f t="shared" si="1"/>
        <v>22.165012608487082</v>
      </c>
      <c r="J10" s="103">
        <f t="shared" ref="J10:J73" si="5">INT(LOG($H$2,2))-ROUNDUP(LOG(H10,2),0)+IF(OR($H$2=1,$H$2=2,$H$2=4,$H$2=8,$H$2=16,$H$2=32,$H$2=64,$H$2=128,$H$2=256),0,1)</f>
        <v>2</v>
      </c>
      <c r="K10" s="103">
        <f t="shared" si="2"/>
        <v>20</v>
      </c>
      <c r="L10" s="103"/>
      <c r="M10" s="105">
        <f t="shared" si="3"/>
        <v>42.165012608487082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39.01178861932091</v>
      </c>
      <c r="B11" s="42">
        <f t="shared" si="4"/>
        <v>6</v>
      </c>
      <c r="C11" s="43" t="s">
        <v>53</v>
      </c>
      <c r="D11" s="43"/>
      <c r="E11" s="43"/>
      <c r="F11" s="43"/>
      <c r="G11" s="30"/>
      <c r="H11" s="107">
        <v>6</v>
      </c>
      <c r="I11" s="108">
        <f t="shared" si="1"/>
        <v>19.01178861932091</v>
      </c>
      <c r="J11" s="107">
        <f t="shared" si="5"/>
        <v>2</v>
      </c>
      <c r="K11" s="107">
        <f t="shared" si="2"/>
        <v>20</v>
      </c>
      <c r="L11" s="107"/>
      <c r="M11" s="109">
        <f t="shared" si="3"/>
        <v>39.01178861932091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36.345775723616512</v>
      </c>
      <c r="B12" s="36">
        <f t="shared" si="4"/>
        <v>7</v>
      </c>
      <c r="C12" s="37" t="s">
        <v>53</v>
      </c>
      <c r="D12" s="37"/>
      <c r="E12" s="37"/>
      <c r="F12" s="37"/>
      <c r="G12" s="30"/>
      <c r="H12" s="103">
        <v>7</v>
      </c>
      <c r="I12" s="104">
        <f t="shared" si="1"/>
        <v>16.345775723616512</v>
      </c>
      <c r="J12" s="103">
        <f t="shared" si="5"/>
        <v>2</v>
      </c>
      <c r="K12" s="103">
        <f t="shared" si="2"/>
        <v>20</v>
      </c>
      <c r="L12" s="103"/>
      <c r="M12" s="105">
        <f t="shared" si="3"/>
        <v>36.345775723616512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34.036370308620775</v>
      </c>
      <c r="B13" s="42">
        <f t="shared" si="4"/>
        <v>8</v>
      </c>
      <c r="C13" s="43" t="s">
        <v>53</v>
      </c>
      <c r="D13" s="43"/>
      <c r="E13" s="43"/>
      <c r="F13" s="43"/>
      <c r="G13" s="30"/>
      <c r="H13" s="107">
        <v>8</v>
      </c>
      <c r="I13" s="108">
        <f t="shared" si="1"/>
        <v>14.036370308620775</v>
      </c>
      <c r="J13" s="107">
        <f t="shared" si="5"/>
        <v>2</v>
      </c>
      <c r="K13" s="107">
        <f t="shared" si="2"/>
        <v>20</v>
      </c>
      <c r="L13" s="107"/>
      <c r="M13" s="109">
        <f t="shared" si="3"/>
        <v>34.036370308620775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21.999330366227973</v>
      </c>
      <c r="B14" s="36">
        <f t="shared" si="4"/>
        <v>9</v>
      </c>
      <c r="C14" s="37" t="s">
        <v>20</v>
      </c>
      <c r="D14" s="37"/>
      <c r="E14" s="37"/>
      <c r="F14" s="37"/>
      <c r="G14" s="30"/>
      <c r="H14" s="103">
        <v>9</v>
      </c>
      <c r="I14" s="104">
        <f t="shared" si="1"/>
        <v>11.999330366227973</v>
      </c>
      <c r="J14" s="103">
        <f t="shared" si="5"/>
        <v>1</v>
      </c>
      <c r="K14" s="103">
        <f t="shared" si="2"/>
        <v>10</v>
      </c>
      <c r="L14" s="103"/>
      <c r="M14" s="105">
        <f t="shared" si="3"/>
        <v>21.999330366227973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20.177136044694009</v>
      </c>
      <c r="B15" s="42">
        <f t="shared" si="4"/>
        <v>10</v>
      </c>
      <c r="C15" s="43" t="s">
        <v>53</v>
      </c>
      <c r="D15" s="43"/>
      <c r="E15" s="43"/>
      <c r="F15" s="43"/>
      <c r="G15" s="30"/>
      <c r="H15" s="107">
        <v>10</v>
      </c>
      <c r="I15" s="108">
        <f t="shared" si="1"/>
        <v>10.177136044694009</v>
      </c>
      <c r="J15" s="107">
        <f t="shared" si="5"/>
        <v>1</v>
      </c>
      <c r="K15" s="107">
        <f t="shared" si="2"/>
        <v>10</v>
      </c>
      <c r="L15" s="107"/>
      <c r="M15" s="109">
        <f t="shared" si="3"/>
        <v>20.177136044694009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18.528760774893193</v>
      </c>
      <c r="B16" s="36">
        <f t="shared" si="4"/>
        <v>11</v>
      </c>
      <c r="C16" s="37" t="s">
        <v>53</v>
      </c>
      <c r="D16" s="37"/>
      <c r="E16" s="37"/>
      <c r="F16" s="37"/>
      <c r="G16" s="30"/>
      <c r="H16" s="103">
        <v>11</v>
      </c>
      <c r="I16" s="104">
        <f t="shared" si="1"/>
        <v>8.5287607748931933</v>
      </c>
      <c r="J16" s="103">
        <f t="shared" si="5"/>
        <v>1</v>
      </c>
      <c r="K16" s="103">
        <f t="shared" si="2"/>
        <v>10</v>
      </c>
      <c r="L16" s="103"/>
      <c r="M16" s="105">
        <f t="shared" si="3"/>
        <v>18.528760774893193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17.02391205552783</v>
      </c>
      <c r="B17" s="42">
        <f t="shared" si="4"/>
        <v>12</v>
      </c>
      <c r="C17" s="43" t="s">
        <v>53</v>
      </c>
      <c r="D17" s="43"/>
      <c r="E17" s="43"/>
      <c r="F17" s="43"/>
      <c r="G17" s="30"/>
      <c r="H17" s="107">
        <v>12</v>
      </c>
      <c r="I17" s="108">
        <f t="shared" si="1"/>
        <v>7.0239120555278305</v>
      </c>
      <c r="J17" s="107">
        <f t="shared" si="5"/>
        <v>1</v>
      </c>
      <c r="K17" s="107">
        <f t="shared" si="2"/>
        <v>10</v>
      </c>
      <c r="L17" s="107"/>
      <c r="M17" s="109">
        <f t="shared" si="3"/>
        <v>17.02391205552783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15.639585427167347</v>
      </c>
      <c r="B18" s="36">
        <f t="shared" si="4"/>
        <v>13</v>
      </c>
      <c r="C18" s="73" t="s">
        <v>53</v>
      </c>
      <c r="D18" s="37"/>
      <c r="E18" s="37"/>
      <c r="F18" s="37"/>
      <c r="G18" s="30"/>
      <c r="H18" s="103">
        <v>13</v>
      </c>
      <c r="I18" s="104">
        <f t="shared" si="1"/>
        <v>5.6395854271673471</v>
      </c>
      <c r="J18" s="103">
        <f t="shared" si="5"/>
        <v>1</v>
      </c>
      <c r="K18" s="103">
        <f t="shared" si="2"/>
        <v>10</v>
      </c>
      <c r="L18" s="103"/>
      <c r="M18" s="105">
        <f t="shared" si="3"/>
        <v>15.639585427167347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14.35789915982344</v>
      </c>
      <c r="B19" s="42">
        <f t="shared" si="4"/>
        <v>14</v>
      </c>
      <c r="C19" s="43" t="s">
        <v>53</v>
      </c>
      <c r="D19" s="43"/>
      <c r="E19" s="43"/>
      <c r="F19" s="43"/>
      <c r="G19" s="30"/>
      <c r="H19" s="107">
        <v>14</v>
      </c>
      <c r="I19" s="108">
        <f t="shared" si="1"/>
        <v>4.3578991598234396</v>
      </c>
      <c r="J19" s="107">
        <f t="shared" si="5"/>
        <v>1</v>
      </c>
      <c r="K19" s="107">
        <f t="shared" si="2"/>
        <v>10</v>
      </c>
      <c r="L19" s="107"/>
      <c r="M19" s="109">
        <f t="shared" si="3"/>
        <v>14.35789915982344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13.164677791601065</v>
      </c>
      <c r="B20" s="36">
        <f t="shared" si="4"/>
        <v>15</v>
      </c>
      <c r="C20" s="37" t="s">
        <v>53</v>
      </c>
      <c r="D20" s="37"/>
      <c r="E20" s="37"/>
      <c r="F20" s="37"/>
      <c r="G20" s="30"/>
      <c r="H20" s="103">
        <v>15</v>
      </c>
      <c r="I20" s="104">
        <f t="shared" si="1"/>
        <v>3.1646777916010649</v>
      </c>
      <c r="J20" s="103">
        <f t="shared" si="5"/>
        <v>1</v>
      </c>
      <c r="K20" s="103">
        <f t="shared" si="2"/>
        <v>10</v>
      </c>
      <c r="L20" s="103"/>
      <c r="M20" s="105">
        <f t="shared" si="3"/>
        <v>13.164677791601065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12.048493744827695</v>
      </c>
      <c r="B21" s="42">
        <f t="shared" si="4"/>
        <v>16</v>
      </c>
      <c r="C21" s="43" t="s">
        <v>53</v>
      </c>
      <c r="D21" s="43"/>
      <c r="E21" s="43"/>
      <c r="F21" s="43"/>
      <c r="G21" s="30"/>
      <c r="H21" s="107">
        <v>16</v>
      </c>
      <c r="I21" s="108">
        <f t="shared" si="1"/>
        <v>2.0484937448276952</v>
      </c>
      <c r="J21" s="107">
        <f t="shared" si="5"/>
        <v>1</v>
      </c>
      <c r="K21" s="107">
        <f t="shared" si="2"/>
        <v>10</v>
      </c>
      <c r="L21" s="107"/>
      <c r="M21" s="109">
        <f t="shared" si="3"/>
        <v>12.048493744827695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1</v>
      </c>
      <c r="B22" s="36">
        <f t="shared" si="4"/>
        <v>17</v>
      </c>
      <c r="C22" s="37" t="s">
        <v>53</v>
      </c>
      <c r="D22" s="37"/>
      <c r="E22" s="37"/>
      <c r="F22" s="37"/>
      <c r="G22" s="30"/>
      <c r="H22" s="103">
        <v>17</v>
      </c>
      <c r="I22" s="104">
        <f t="shared" si="1"/>
        <v>1</v>
      </c>
      <c r="J22" s="103">
        <f t="shared" si="5"/>
        <v>0</v>
      </c>
      <c r="K22" s="103">
        <f t="shared" si="2"/>
        <v>0</v>
      </c>
      <c r="L22" s="103"/>
      <c r="M22" s="105">
        <f t="shared" si="3"/>
        <v>1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4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7">
        <f t="shared" si="5"/>
        <v>0</v>
      </c>
      <c r="K23" s="107">
        <f t="shared" si="2"/>
        <v>0</v>
      </c>
      <c r="L23" s="107"/>
      <c r="M23" s="109">
        <f t="shared" si="3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4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3">
        <f t="shared" si="5"/>
        <v>0</v>
      </c>
      <c r="K24" s="103">
        <f t="shared" si="2"/>
        <v>0</v>
      </c>
      <c r="L24" s="103"/>
      <c r="M24" s="105">
        <f t="shared" si="3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4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7">
        <f t="shared" si="5"/>
        <v>0</v>
      </c>
      <c r="K25" s="107">
        <f t="shared" si="2"/>
        <v>0</v>
      </c>
      <c r="L25" s="107"/>
      <c r="M25" s="109">
        <f t="shared" si="3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4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3">
        <f t="shared" si="5"/>
        <v>0</v>
      </c>
      <c r="K26" s="103">
        <f t="shared" si="2"/>
        <v>0</v>
      </c>
      <c r="L26" s="103"/>
      <c r="M26" s="105">
        <f t="shared" si="3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4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7">
        <f t="shared" si="5"/>
        <v>0</v>
      </c>
      <c r="K27" s="107">
        <f t="shared" si="2"/>
        <v>0</v>
      </c>
      <c r="L27" s="107"/>
      <c r="M27" s="109">
        <f t="shared" si="3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4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3">
        <f t="shared" si="5"/>
        <v>0</v>
      </c>
      <c r="K28" s="103">
        <f t="shared" si="2"/>
        <v>0</v>
      </c>
      <c r="L28" s="103"/>
      <c r="M28" s="105">
        <f t="shared" si="3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4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7">
        <f t="shared" si="5"/>
        <v>0</v>
      </c>
      <c r="K29" s="107">
        <f t="shared" si="2"/>
        <v>0</v>
      </c>
      <c r="L29" s="107"/>
      <c r="M29" s="109">
        <f t="shared" si="3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4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3">
        <f t="shared" si="5"/>
        <v>0</v>
      </c>
      <c r="K30" s="103">
        <f t="shared" si="2"/>
        <v>0</v>
      </c>
      <c r="L30" s="103"/>
      <c r="M30" s="105">
        <f t="shared" si="3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4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7">
        <f t="shared" si="5"/>
        <v>0</v>
      </c>
      <c r="K31" s="107">
        <f t="shared" si="2"/>
        <v>0</v>
      </c>
      <c r="L31" s="107"/>
      <c r="M31" s="109">
        <f t="shared" si="3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4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3">
        <f t="shared" si="5"/>
        <v>0</v>
      </c>
      <c r="K32" s="103">
        <f t="shared" si="2"/>
        <v>0</v>
      </c>
      <c r="L32" s="103"/>
      <c r="M32" s="105">
        <f t="shared" si="3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4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7">
        <f t="shared" si="5"/>
        <v>0</v>
      </c>
      <c r="K33" s="107">
        <f t="shared" si="2"/>
        <v>0</v>
      </c>
      <c r="L33" s="107"/>
      <c r="M33" s="109">
        <f t="shared" si="3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4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3">
        <f t="shared" si="5"/>
        <v>0</v>
      </c>
      <c r="K34" s="103">
        <f t="shared" si="2"/>
        <v>0</v>
      </c>
      <c r="L34" s="103"/>
      <c r="M34" s="105">
        <f t="shared" si="3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4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7">
        <f t="shared" si="5"/>
        <v>0</v>
      </c>
      <c r="K35" s="107">
        <f t="shared" si="2"/>
        <v>0</v>
      </c>
      <c r="L35" s="107"/>
      <c r="M35" s="109">
        <f t="shared" si="3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4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3">
        <f t="shared" si="5"/>
        <v>0</v>
      </c>
      <c r="K36" s="103">
        <f t="shared" si="2"/>
        <v>0</v>
      </c>
      <c r="L36" s="103"/>
      <c r="M36" s="105">
        <f t="shared" si="3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4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7">
        <f t="shared" si="5"/>
        <v>0</v>
      </c>
      <c r="K37" s="107">
        <f t="shared" si="2"/>
        <v>0</v>
      </c>
      <c r="L37" s="107"/>
      <c r="M37" s="109">
        <f t="shared" si="3"/>
        <v>0</v>
      </c>
      <c r="N37" s="88"/>
      <c r="O37" s="88"/>
      <c r="P37" s="88"/>
      <c r="Q37" s="88"/>
      <c r="R37" s="88"/>
    </row>
    <row r="38" spans="1:21" s="93" customFormat="1" x14ac:dyDescent="0.25">
      <c r="A38" s="102"/>
      <c r="B38" s="36" t="str">
        <f t="shared" si="4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3">
        <f t="shared" si="5"/>
        <v>-1</v>
      </c>
      <c r="K38" s="103">
        <f t="shared" si="2"/>
        <v>-10</v>
      </c>
      <c r="L38" s="103"/>
      <c r="M38" s="105">
        <f t="shared" si="3"/>
        <v>0</v>
      </c>
      <c r="N38" s="88"/>
      <c r="O38" s="88"/>
      <c r="P38" s="88"/>
      <c r="Q38" s="88"/>
      <c r="R38" s="88"/>
    </row>
    <row r="39" spans="1:21" s="93" customFormat="1" x14ac:dyDescent="0.25">
      <c r="A39" s="106"/>
      <c r="B39" s="42" t="str">
        <f t="shared" si="4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7">
        <f t="shared" si="5"/>
        <v>-1</v>
      </c>
      <c r="K39" s="107">
        <f t="shared" si="2"/>
        <v>-10</v>
      </c>
      <c r="L39" s="107"/>
      <c r="M39" s="109">
        <f t="shared" si="3"/>
        <v>0</v>
      </c>
      <c r="N39" s="88"/>
      <c r="O39" s="88"/>
      <c r="P39" s="88"/>
      <c r="Q39" s="88"/>
      <c r="R39" s="88"/>
    </row>
    <row r="40" spans="1:21" s="93" customFormat="1" x14ac:dyDescent="0.25">
      <c r="A40" s="102"/>
      <c r="B40" s="36" t="str">
        <f t="shared" si="4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3">
        <f t="shared" si="5"/>
        <v>-1</v>
      </c>
      <c r="K40" s="103">
        <f t="shared" si="2"/>
        <v>-10</v>
      </c>
      <c r="L40" s="103"/>
      <c r="M40" s="105">
        <f t="shared" si="3"/>
        <v>0</v>
      </c>
      <c r="N40" s="88"/>
      <c r="O40" s="88"/>
      <c r="P40" s="88"/>
      <c r="Q40" s="88"/>
      <c r="R40" s="88"/>
    </row>
    <row r="41" spans="1:21" s="93" customFormat="1" x14ac:dyDescent="0.25">
      <c r="A41" s="106"/>
      <c r="B41" s="42" t="str">
        <f t="shared" si="4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7">
        <f t="shared" si="5"/>
        <v>-1</v>
      </c>
      <c r="K41" s="107">
        <f t="shared" si="2"/>
        <v>-10</v>
      </c>
      <c r="L41" s="107"/>
      <c r="M41" s="109">
        <f t="shared" si="3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2"/>
      <c r="B42" s="36" t="str">
        <f t="shared" si="4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3">
        <f t="shared" si="5"/>
        <v>-1</v>
      </c>
      <c r="K42" s="103">
        <f t="shared" si="2"/>
        <v>-10</v>
      </c>
      <c r="L42" s="103"/>
      <c r="M42" s="105">
        <f t="shared" si="3"/>
        <v>0</v>
      </c>
      <c r="N42" s="88"/>
      <c r="O42" s="88"/>
      <c r="P42" s="88"/>
      <c r="Q42" s="88"/>
      <c r="R42" s="88"/>
    </row>
    <row r="43" spans="1:21" s="93" customFormat="1" x14ac:dyDescent="0.25">
      <c r="A43" s="106"/>
      <c r="B43" s="42" t="str">
        <f t="shared" si="4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7">
        <f t="shared" si="5"/>
        <v>-1</v>
      </c>
      <c r="K43" s="107">
        <f t="shared" si="2"/>
        <v>-10</v>
      </c>
      <c r="L43" s="107"/>
      <c r="M43" s="109">
        <f t="shared" si="3"/>
        <v>0</v>
      </c>
      <c r="N43" s="88"/>
      <c r="O43" s="88"/>
      <c r="P43" s="88"/>
      <c r="Q43" s="88"/>
      <c r="R43" s="88"/>
    </row>
    <row r="44" spans="1:21" s="93" customFormat="1" x14ac:dyDescent="0.25">
      <c r="A44" s="102"/>
      <c r="B44" s="36" t="str">
        <f t="shared" si="4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3">
        <f t="shared" si="5"/>
        <v>-1</v>
      </c>
      <c r="K44" s="103">
        <f t="shared" si="2"/>
        <v>-10</v>
      </c>
      <c r="L44" s="103"/>
      <c r="M44" s="105">
        <f t="shared" si="3"/>
        <v>0</v>
      </c>
      <c r="N44" s="88"/>
      <c r="O44" s="88"/>
      <c r="P44" s="88"/>
      <c r="Q44" s="88"/>
      <c r="R44" s="88"/>
    </row>
    <row r="45" spans="1:21" s="93" customFormat="1" x14ac:dyDescent="0.25">
      <c r="A45" s="106"/>
      <c r="B45" s="42" t="str">
        <f t="shared" si="4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7">
        <f t="shared" si="5"/>
        <v>-1</v>
      </c>
      <c r="K45" s="107">
        <f t="shared" si="2"/>
        <v>-10</v>
      </c>
      <c r="L45" s="107"/>
      <c r="M45" s="109">
        <f t="shared" si="3"/>
        <v>0</v>
      </c>
      <c r="N45" s="88"/>
      <c r="O45" s="88"/>
      <c r="P45" s="88"/>
      <c r="Q45" s="88"/>
      <c r="R45" s="88"/>
    </row>
    <row r="46" spans="1:21" s="93" customFormat="1" x14ac:dyDescent="0.25">
      <c r="A46" s="102"/>
      <c r="B46" s="36" t="str">
        <f t="shared" si="4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3">
        <f t="shared" si="5"/>
        <v>-1</v>
      </c>
      <c r="K46" s="103">
        <f t="shared" si="2"/>
        <v>-10</v>
      </c>
      <c r="L46" s="103"/>
      <c r="M46" s="105">
        <f t="shared" si="3"/>
        <v>0</v>
      </c>
      <c r="N46" s="88"/>
      <c r="O46" s="88"/>
      <c r="P46" s="88"/>
      <c r="Q46" s="88"/>
      <c r="R46" s="88">
        <f>LOG($H$2,2)</f>
        <v>4.08746284125034</v>
      </c>
      <c r="T46" s="93">
        <f>LOG(H38,2)</f>
        <v>5.0443941193584534</v>
      </c>
      <c r="U46" s="93">
        <f>R46-T46</f>
        <v>-0.9569312781081134</v>
      </c>
    </row>
    <row r="47" spans="1:21" s="93" customFormat="1" x14ac:dyDescent="0.25">
      <c r="A47" s="106"/>
      <c r="B47" s="42" t="str">
        <f t="shared" si="4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7">
        <f t="shared" si="5"/>
        <v>-1</v>
      </c>
      <c r="K47" s="107">
        <f t="shared" si="2"/>
        <v>-10</v>
      </c>
      <c r="L47" s="107"/>
      <c r="M47" s="109">
        <f t="shared" si="3"/>
        <v>0</v>
      </c>
      <c r="N47" s="88"/>
      <c r="O47" s="88"/>
      <c r="P47" s="88"/>
      <c r="Q47" s="88"/>
      <c r="R47" s="88"/>
    </row>
    <row r="48" spans="1:21" s="93" customFormat="1" x14ac:dyDescent="0.25">
      <c r="A48" s="102"/>
      <c r="B48" s="36" t="str">
        <f t="shared" si="4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3">
        <f t="shared" si="5"/>
        <v>-1</v>
      </c>
      <c r="K48" s="103">
        <f t="shared" si="2"/>
        <v>-10</v>
      </c>
      <c r="L48" s="103"/>
      <c r="M48" s="105">
        <f t="shared" si="3"/>
        <v>0</v>
      </c>
      <c r="N48" s="88"/>
      <c r="O48" s="88"/>
      <c r="P48" s="88"/>
      <c r="Q48" s="88"/>
      <c r="R48" s="88"/>
    </row>
    <row r="49" spans="1:38" s="88" customFormat="1" x14ac:dyDescent="0.25">
      <c r="A49" s="106"/>
      <c r="B49" s="42" t="str">
        <f t="shared" si="4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7">
        <f t="shared" si="5"/>
        <v>-1</v>
      </c>
      <c r="K49" s="107">
        <f t="shared" si="2"/>
        <v>-10</v>
      </c>
      <c r="L49" s="107"/>
      <c r="M49" s="109">
        <f t="shared" si="3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2"/>
      <c r="B50" s="36" t="str">
        <f t="shared" si="4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3">
        <f t="shared" si="5"/>
        <v>-1</v>
      </c>
      <c r="K50" s="103">
        <f t="shared" si="2"/>
        <v>-10</v>
      </c>
      <c r="L50" s="103"/>
      <c r="M50" s="105">
        <f t="shared" si="3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/>
      <c r="B51" s="42" t="str">
        <f t="shared" si="4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7">
        <f t="shared" si="5"/>
        <v>-1</v>
      </c>
      <c r="K51" s="107">
        <f t="shared" si="2"/>
        <v>-10</v>
      </c>
      <c r="L51" s="107"/>
      <c r="M51" s="109">
        <f t="shared" si="3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02"/>
      <c r="B52" s="36" t="str">
        <f t="shared" si="4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3">
        <f t="shared" si="5"/>
        <v>-1</v>
      </c>
      <c r="K52" s="103">
        <f t="shared" si="2"/>
        <v>-10</v>
      </c>
      <c r="L52" s="103"/>
      <c r="M52" s="105">
        <f t="shared" si="3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06"/>
      <c r="B53" s="42" t="str">
        <f t="shared" si="4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7">
        <f t="shared" si="5"/>
        <v>-1</v>
      </c>
      <c r="K53" s="107">
        <f t="shared" si="2"/>
        <v>-10</v>
      </c>
      <c r="L53" s="107"/>
      <c r="M53" s="109">
        <f t="shared" si="3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02"/>
      <c r="B54" s="36" t="str">
        <f t="shared" si="4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3">
        <f t="shared" si="5"/>
        <v>-1</v>
      </c>
      <c r="K54" s="103">
        <f t="shared" si="2"/>
        <v>-10</v>
      </c>
      <c r="L54" s="103"/>
      <c r="M54" s="105">
        <f t="shared" si="3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06"/>
      <c r="B55" s="42" t="str">
        <f t="shared" si="4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7">
        <f t="shared" si="5"/>
        <v>-1</v>
      </c>
      <c r="K55" s="107">
        <f t="shared" si="2"/>
        <v>-10</v>
      </c>
      <c r="L55" s="107"/>
      <c r="M55" s="109">
        <f t="shared" si="3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02"/>
      <c r="B56" s="36" t="str">
        <f t="shared" si="4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3">
        <f t="shared" si="5"/>
        <v>-1</v>
      </c>
      <c r="K56" s="103">
        <f t="shared" si="2"/>
        <v>-10</v>
      </c>
      <c r="L56" s="103"/>
      <c r="M56" s="105">
        <f t="shared" si="3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06"/>
      <c r="B57" s="42" t="str">
        <f t="shared" si="4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7">
        <f t="shared" si="5"/>
        <v>-1</v>
      </c>
      <c r="K57" s="107">
        <f t="shared" si="2"/>
        <v>-10</v>
      </c>
      <c r="L57" s="107"/>
      <c r="M57" s="109">
        <f t="shared" si="3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2"/>
      <c r="B58" s="36" t="str">
        <f t="shared" si="4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3">
        <f t="shared" si="5"/>
        <v>-1</v>
      </c>
      <c r="K58" s="103">
        <f t="shared" si="2"/>
        <v>-10</v>
      </c>
      <c r="L58" s="103"/>
      <c r="M58" s="105">
        <f t="shared" si="3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/>
      <c r="B59" s="42" t="str">
        <f t="shared" si="4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7">
        <f t="shared" si="5"/>
        <v>-1</v>
      </c>
      <c r="K59" s="107">
        <f t="shared" si="2"/>
        <v>-10</v>
      </c>
      <c r="L59" s="107"/>
      <c r="M59" s="109">
        <f t="shared" si="3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2"/>
      <c r="B60" s="36" t="str">
        <f t="shared" si="4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3">
        <f t="shared" si="5"/>
        <v>-1</v>
      </c>
      <c r="K60" s="103">
        <f t="shared" si="2"/>
        <v>-10</v>
      </c>
      <c r="L60" s="103"/>
      <c r="M60" s="105">
        <f t="shared" si="3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/>
      <c r="B61" s="42" t="str">
        <f t="shared" si="4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7">
        <f t="shared" si="5"/>
        <v>-1</v>
      </c>
      <c r="K61" s="107">
        <f t="shared" si="2"/>
        <v>-10</v>
      </c>
      <c r="L61" s="107"/>
      <c r="M61" s="109">
        <f t="shared" si="3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/>
      <c r="B62" s="36" t="str">
        <f t="shared" si="4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3">
        <f t="shared" si="5"/>
        <v>-1</v>
      </c>
      <c r="K62" s="103">
        <f t="shared" si="2"/>
        <v>-10</v>
      </c>
      <c r="L62" s="103"/>
      <c r="M62" s="105">
        <f t="shared" si="3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/>
      <c r="B63" s="42" t="str">
        <f t="shared" si="4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7">
        <f t="shared" si="5"/>
        <v>-1</v>
      </c>
      <c r="K63" s="107">
        <f t="shared" si="2"/>
        <v>-10</v>
      </c>
      <c r="L63" s="107"/>
      <c r="M63" s="109">
        <f t="shared" si="3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/>
      <c r="B64" s="36" t="str">
        <f t="shared" si="4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3">
        <f t="shared" si="5"/>
        <v>-1</v>
      </c>
      <c r="K64" s="103">
        <f t="shared" si="2"/>
        <v>-10</v>
      </c>
      <c r="L64" s="103"/>
      <c r="M64" s="105">
        <f t="shared" si="3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/>
      <c r="B65" s="42" t="str">
        <f t="shared" si="4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7">
        <f t="shared" si="5"/>
        <v>-1</v>
      </c>
      <c r="K65" s="107">
        <f t="shared" si="2"/>
        <v>-10</v>
      </c>
      <c r="L65" s="107"/>
      <c r="M65" s="109">
        <f t="shared" si="3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02"/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>
        <f t="shared" si="5"/>
        <v>-1</v>
      </c>
      <c r="K66" s="103">
        <f t="shared" si="2"/>
        <v>-10</v>
      </c>
      <c r="L66" s="103"/>
      <c r="M66" s="105">
        <f t="shared" si="3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06"/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>
        <f t="shared" si="5"/>
        <v>-1</v>
      </c>
      <c r="K67" s="103">
        <f t="shared" si="2"/>
        <v>-10</v>
      </c>
      <c r="L67" s="103"/>
      <c r="M67" s="105">
        <f t="shared" si="3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24"/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>
        <f t="shared" si="5"/>
        <v>-1</v>
      </c>
      <c r="K68" s="103">
        <f t="shared" si="2"/>
        <v>-10</v>
      </c>
      <c r="L68" s="103"/>
      <c r="M68" s="105">
        <f t="shared" si="3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24"/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>
        <f t="shared" si="5"/>
        <v>-1</v>
      </c>
      <c r="K69" s="103">
        <f t="shared" si="2"/>
        <v>-10</v>
      </c>
      <c r="L69" s="103"/>
      <c r="M69" s="105">
        <f t="shared" si="3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>
        <f t="shared" si="5"/>
        <v>-2</v>
      </c>
      <c r="K71" s="103">
        <f t="shared" si="7"/>
        <v>-20</v>
      </c>
      <c r="L71" s="103"/>
      <c r="M71" s="105">
        <f t="shared" si="8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>
        <f t="shared" si="5"/>
        <v>-2</v>
      </c>
      <c r="K72" s="103">
        <f t="shared" si="7"/>
        <v>-20</v>
      </c>
      <c r="L72" s="103"/>
      <c r="M72" s="105">
        <f t="shared" si="8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>
        <f t="shared" si="5"/>
        <v>-2</v>
      </c>
      <c r="K73" s="103">
        <f t="shared" si="7"/>
        <v>-20</v>
      </c>
      <c r="L73" s="103"/>
      <c r="M73" s="105">
        <f t="shared" si="8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>
        <f t="shared" ref="J74:J137" si="9">INT(LOG($H$2,2))-ROUNDUP(LOG(H74,2),0)+IF(OR($H$2=1,$H$2=2,$H$2=4,$H$2=8,$H$2=16,$H$2=32,$H$2=64,$H$2=128,$H$2=256),0,1)</f>
        <v>-2</v>
      </c>
      <c r="K74" s="103">
        <f t="shared" si="7"/>
        <v>-20</v>
      </c>
      <c r="L74" s="103"/>
      <c r="M74" s="105">
        <f t="shared" si="8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>
        <f t="shared" si="9"/>
        <v>-2</v>
      </c>
      <c r="K75" s="103">
        <f t="shared" si="7"/>
        <v>-20</v>
      </c>
      <c r="L75" s="103"/>
      <c r="M75" s="105">
        <f t="shared" si="8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>
        <f t="shared" si="9"/>
        <v>-2</v>
      </c>
      <c r="K76" s="103">
        <f t="shared" si="7"/>
        <v>-20</v>
      </c>
      <c r="L76" s="103"/>
      <c r="M76" s="105">
        <f t="shared" si="8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>
        <f t="shared" si="9"/>
        <v>-2</v>
      </c>
      <c r="K77" s="103">
        <f t="shared" si="7"/>
        <v>-20</v>
      </c>
      <c r="L77" s="103"/>
      <c r="M77" s="105">
        <f t="shared" si="8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>
        <f t="shared" si="9"/>
        <v>-2</v>
      </c>
      <c r="K78" s="103">
        <f t="shared" si="7"/>
        <v>-20</v>
      </c>
      <c r="L78" s="103"/>
      <c r="M78" s="105">
        <f t="shared" si="8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>
        <f t="shared" si="9"/>
        <v>-2</v>
      </c>
      <c r="K79" s="103">
        <f t="shared" si="7"/>
        <v>-20</v>
      </c>
      <c r="L79" s="103"/>
      <c r="M79" s="105">
        <f t="shared" si="8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>
        <f t="shared" si="9"/>
        <v>-2</v>
      </c>
      <c r="K80" s="103">
        <f t="shared" si="7"/>
        <v>-20</v>
      </c>
      <c r="L80" s="103"/>
      <c r="M80" s="105">
        <f t="shared" si="8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>
        <f t="shared" si="9"/>
        <v>-2</v>
      </c>
      <c r="K81" s="103">
        <f t="shared" si="7"/>
        <v>-20</v>
      </c>
      <c r="L81" s="103"/>
      <c r="M81" s="105">
        <f t="shared" si="8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>
        <f t="shared" si="9"/>
        <v>-2</v>
      </c>
      <c r="K82" s="103">
        <f t="shared" si="7"/>
        <v>-20</v>
      </c>
      <c r="L82" s="103"/>
      <c r="M82" s="105">
        <f t="shared" si="8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>
        <f t="shared" si="9"/>
        <v>-2</v>
      </c>
      <c r="K83" s="103">
        <f t="shared" si="7"/>
        <v>-20</v>
      </c>
      <c r="L83" s="103"/>
      <c r="M83" s="105">
        <f t="shared" si="8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>
        <f t="shared" si="9"/>
        <v>-2</v>
      </c>
      <c r="K84" s="103">
        <f t="shared" si="7"/>
        <v>-20</v>
      </c>
      <c r="L84" s="103"/>
      <c r="M84" s="105">
        <f t="shared" si="8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>
        <f t="shared" si="9"/>
        <v>-2</v>
      </c>
      <c r="K85" s="103">
        <f t="shared" si="7"/>
        <v>-20</v>
      </c>
      <c r="L85" s="103"/>
      <c r="M85" s="105">
        <f t="shared" si="8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>
        <f t="shared" si="9"/>
        <v>-2</v>
      </c>
      <c r="K86" s="103">
        <f t="shared" si="7"/>
        <v>-20</v>
      </c>
      <c r="L86" s="103"/>
      <c r="M86" s="105">
        <f t="shared" si="8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>
        <f t="shared" si="9"/>
        <v>-2</v>
      </c>
      <c r="K87" s="103">
        <f t="shared" si="7"/>
        <v>-20</v>
      </c>
      <c r="L87" s="103"/>
      <c r="M87" s="105">
        <f t="shared" si="8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>
        <f t="shared" si="9"/>
        <v>-2</v>
      </c>
      <c r="K88" s="103">
        <f t="shared" si="7"/>
        <v>-20</v>
      </c>
      <c r="L88" s="103"/>
      <c r="M88" s="105">
        <f t="shared" si="8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>
        <f t="shared" si="9"/>
        <v>-2</v>
      </c>
      <c r="K89" s="103">
        <f t="shared" si="7"/>
        <v>-20</v>
      </c>
      <c r="L89" s="103"/>
      <c r="M89" s="105">
        <f t="shared" si="8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>
        <f t="shared" si="9"/>
        <v>-2</v>
      </c>
      <c r="K90" s="103">
        <f t="shared" si="7"/>
        <v>-20</v>
      </c>
      <c r="L90" s="103"/>
      <c r="M90" s="105">
        <f t="shared" si="8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>
        <f t="shared" si="9"/>
        <v>-2</v>
      </c>
      <c r="K91" s="103">
        <f t="shared" si="7"/>
        <v>-20</v>
      </c>
      <c r="L91" s="103"/>
      <c r="M91" s="105">
        <f t="shared" si="8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>
        <f t="shared" si="9"/>
        <v>-2</v>
      </c>
      <c r="K92" s="103">
        <f t="shared" si="7"/>
        <v>-20</v>
      </c>
      <c r="L92" s="103"/>
      <c r="M92" s="105">
        <f t="shared" si="8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>
        <f t="shared" si="9"/>
        <v>-2</v>
      </c>
      <c r="K93" s="103">
        <f t="shared" si="7"/>
        <v>-20</v>
      </c>
      <c r="L93" s="103"/>
      <c r="M93" s="105">
        <f t="shared" si="8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>
        <f t="shared" si="9"/>
        <v>-2</v>
      </c>
      <c r="K94" s="103">
        <f t="shared" si="7"/>
        <v>-20</v>
      </c>
      <c r="L94" s="103"/>
      <c r="M94" s="105">
        <f t="shared" si="8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>
        <f t="shared" si="9"/>
        <v>-2</v>
      </c>
      <c r="K95" s="103">
        <f t="shared" si="7"/>
        <v>-20</v>
      </c>
      <c r="L95" s="103"/>
      <c r="M95" s="105">
        <f t="shared" si="8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>
        <f t="shared" si="9"/>
        <v>-2</v>
      </c>
      <c r="K96" s="103">
        <f t="shared" si="7"/>
        <v>-20</v>
      </c>
      <c r="L96" s="103"/>
      <c r="M96" s="105">
        <f t="shared" si="8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>
        <f t="shared" si="9"/>
        <v>-2</v>
      </c>
      <c r="K97" s="103">
        <f t="shared" si="7"/>
        <v>-20</v>
      </c>
      <c r="L97" s="103"/>
      <c r="M97" s="105">
        <f t="shared" si="8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>
        <f t="shared" si="9"/>
        <v>-2</v>
      </c>
      <c r="K98" s="103">
        <f t="shared" si="7"/>
        <v>-20</v>
      </c>
      <c r="L98" s="103"/>
      <c r="M98" s="105">
        <f t="shared" si="8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>
        <f t="shared" si="9"/>
        <v>-2</v>
      </c>
      <c r="K99" s="103">
        <f t="shared" si="7"/>
        <v>-20</v>
      </c>
      <c r="L99" s="103"/>
      <c r="M99" s="105">
        <f t="shared" si="8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>
        <f t="shared" si="9"/>
        <v>-2</v>
      </c>
      <c r="K100" s="103">
        <f t="shared" si="7"/>
        <v>-20</v>
      </c>
      <c r="L100" s="103"/>
      <c r="M100" s="105">
        <f t="shared" si="8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>
        <f t="shared" si="9"/>
        <v>-2</v>
      </c>
      <c r="K101" s="103">
        <f t="shared" si="7"/>
        <v>-20</v>
      </c>
      <c r="L101" s="103"/>
      <c r="M101" s="105">
        <f t="shared" si="8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>
        <f t="shared" si="9"/>
        <v>-2</v>
      </c>
      <c r="K102" s="103">
        <f t="shared" si="7"/>
        <v>-20</v>
      </c>
      <c r="L102" s="103"/>
      <c r="M102" s="105">
        <f t="shared" si="8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>
        <f t="shared" si="9"/>
        <v>-2</v>
      </c>
      <c r="K103" s="103">
        <f t="shared" si="7"/>
        <v>-20</v>
      </c>
      <c r="L103" s="103"/>
      <c r="M103" s="105">
        <f t="shared" si="8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>
        <f t="shared" si="9"/>
        <v>-2</v>
      </c>
      <c r="K104" s="103">
        <f t="shared" si="7"/>
        <v>-20</v>
      </c>
      <c r="L104" s="103"/>
      <c r="M104" s="105">
        <f t="shared" si="8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>
        <f t="shared" si="9"/>
        <v>-2</v>
      </c>
      <c r="K105" s="103">
        <f t="shared" si="7"/>
        <v>-20</v>
      </c>
      <c r="L105" s="103"/>
      <c r="M105" s="105">
        <f t="shared" si="8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>
        <f t="shared" si="9"/>
        <v>-2</v>
      </c>
      <c r="K106" s="103">
        <f t="shared" si="7"/>
        <v>-20</v>
      </c>
      <c r="L106" s="103"/>
      <c r="M106" s="105">
        <f t="shared" si="8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>
        <f t="shared" si="9"/>
        <v>-2</v>
      </c>
      <c r="K107" s="103">
        <f t="shared" si="7"/>
        <v>-20</v>
      </c>
      <c r="L107" s="103"/>
      <c r="M107" s="105">
        <f t="shared" si="8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>
        <f t="shared" si="9"/>
        <v>-2</v>
      </c>
      <c r="K108" s="103">
        <f t="shared" si="7"/>
        <v>-20</v>
      </c>
      <c r="L108" s="103"/>
      <c r="M108" s="105">
        <f t="shared" si="8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>
        <f t="shared" si="9"/>
        <v>-2</v>
      </c>
      <c r="K109" s="103">
        <f t="shared" si="7"/>
        <v>-20</v>
      </c>
      <c r="L109" s="103"/>
      <c r="M109" s="105">
        <f t="shared" si="8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>
        <f t="shared" si="9"/>
        <v>-2</v>
      </c>
      <c r="K110" s="103">
        <f t="shared" si="7"/>
        <v>-20</v>
      </c>
      <c r="L110" s="103"/>
      <c r="M110" s="105">
        <f t="shared" si="8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>
        <f t="shared" si="9"/>
        <v>-2</v>
      </c>
      <c r="K111" s="103">
        <f t="shared" si="7"/>
        <v>-20</v>
      </c>
      <c r="L111" s="103"/>
      <c r="M111" s="105">
        <f t="shared" si="8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>
        <f t="shared" si="9"/>
        <v>-2</v>
      </c>
      <c r="K112" s="103">
        <f t="shared" si="7"/>
        <v>-20</v>
      </c>
      <c r="L112" s="103"/>
      <c r="M112" s="105">
        <f t="shared" si="8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>
        <f t="shared" si="9"/>
        <v>-2</v>
      </c>
      <c r="K113" s="103">
        <f t="shared" si="7"/>
        <v>-20</v>
      </c>
      <c r="L113" s="103"/>
      <c r="M113" s="105">
        <f t="shared" si="8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>
        <f t="shared" si="9"/>
        <v>-2</v>
      </c>
      <c r="K114" s="103">
        <f t="shared" si="7"/>
        <v>-20</v>
      </c>
      <c r="L114" s="103"/>
      <c r="M114" s="105">
        <f t="shared" si="8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>
        <f t="shared" si="9"/>
        <v>-2</v>
      </c>
      <c r="K115" s="103">
        <f t="shared" si="7"/>
        <v>-20</v>
      </c>
      <c r="L115" s="103"/>
      <c r="M115" s="105">
        <f t="shared" si="8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>
        <f t="shared" si="9"/>
        <v>-2</v>
      </c>
      <c r="K116" s="103">
        <f t="shared" si="7"/>
        <v>-20</v>
      </c>
      <c r="L116" s="103"/>
      <c r="M116" s="105">
        <f t="shared" si="8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>
        <f t="shared" si="9"/>
        <v>-2</v>
      </c>
      <c r="K117" s="103">
        <f t="shared" si="7"/>
        <v>-20</v>
      </c>
      <c r="L117" s="103"/>
      <c r="M117" s="105">
        <f t="shared" si="8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>
        <f t="shared" si="9"/>
        <v>-2</v>
      </c>
      <c r="K118" s="103">
        <f t="shared" si="7"/>
        <v>-20</v>
      </c>
      <c r="L118" s="103"/>
      <c r="M118" s="105">
        <f t="shared" si="8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>
        <f t="shared" si="9"/>
        <v>-2</v>
      </c>
      <c r="K119" s="103">
        <f t="shared" si="7"/>
        <v>-20</v>
      </c>
      <c r="L119" s="103"/>
      <c r="M119" s="105">
        <f t="shared" si="8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>
        <f t="shared" si="9"/>
        <v>-2</v>
      </c>
      <c r="K120" s="103">
        <f t="shared" si="7"/>
        <v>-20</v>
      </c>
      <c r="L120" s="103"/>
      <c r="M120" s="105">
        <f t="shared" si="8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>
        <f t="shared" si="9"/>
        <v>-2</v>
      </c>
      <c r="K121" s="103">
        <f t="shared" si="7"/>
        <v>-20</v>
      </c>
      <c r="L121" s="103"/>
      <c r="M121" s="105">
        <f t="shared" si="8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>
        <f t="shared" si="9"/>
        <v>-2</v>
      </c>
      <c r="K122" s="103">
        <f t="shared" si="7"/>
        <v>-20</v>
      </c>
      <c r="L122" s="103"/>
      <c r="M122" s="105">
        <f t="shared" si="8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>
        <f t="shared" si="9"/>
        <v>-2</v>
      </c>
      <c r="K123" s="103">
        <f t="shared" si="7"/>
        <v>-20</v>
      </c>
      <c r="L123" s="103"/>
      <c r="M123" s="105">
        <f t="shared" si="8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>
        <f t="shared" si="9"/>
        <v>-2</v>
      </c>
      <c r="K124" s="103">
        <f t="shared" si="7"/>
        <v>-20</v>
      </c>
      <c r="L124" s="103"/>
      <c r="M124" s="105">
        <f t="shared" si="8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>
        <f t="shared" si="9"/>
        <v>-2</v>
      </c>
      <c r="K125" s="103">
        <f t="shared" si="7"/>
        <v>-20</v>
      </c>
      <c r="L125" s="103"/>
      <c r="M125" s="105">
        <f t="shared" si="8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>
        <f t="shared" si="9"/>
        <v>-2</v>
      </c>
      <c r="K126" s="103">
        <f t="shared" si="7"/>
        <v>-20</v>
      </c>
      <c r="L126" s="103"/>
      <c r="M126" s="105">
        <f t="shared" si="8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>
        <f t="shared" si="9"/>
        <v>-2</v>
      </c>
      <c r="K127" s="103">
        <f t="shared" si="7"/>
        <v>-20</v>
      </c>
      <c r="L127" s="103"/>
      <c r="M127" s="105">
        <f t="shared" si="8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>
        <f t="shared" si="9"/>
        <v>-2</v>
      </c>
      <c r="K128" s="103">
        <f t="shared" si="7"/>
        <v>-20</v>
      </c>
      <c r="L128" s="103"/>
      <c r="M128" s="105">
        <f t="shared" si="8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>
        <f t="shared" si="9"/>
        <v>-2</v>
      </c>
      <c r="K129" s="103">
        <f t="shared" si="7"/>
        <v>-20</v>
      </c>
      <c r="L129" s="103"/>
      <c r="M129" s="105">
        <f t="shared" si="8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>
        <f t="shared" si="9"/>
        <v>-2</v>
      </c>
      <c r="K130" s="103">
        <f t="shared" si="7"/>
        <v>-20</v>
      </c>
      <c r="L130" s="103"/>
      <c r="M130" s="105">
        <f t="shared" si="8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>
        <f t="shared" si="9"/>
        <v>-2</v>
      </c>
      <c r="K131" s="103">
        <f t="shared" si="7"/>
        <v>-20</v>
      </c>
      <c r="L131" s="103"/>
      <c r="M131" s="105">
        <f t="shared" si="8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>
        <f t="shared" si="9"/>
        <v>-2</v>
      </c>
      <c r="K132" s="103">
        <f t="shared" si="7"/>
        <v>-20</v>
      </c>
      <c r="L132" s="103"/>
      <c r="M132" s="105">
        <f t="shared" si="8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>
        <f t="shared" si="9"/>
        <v>-2</v>
      </c>
      <c r="K133" s="103">
        <f t="shared" si="7"/>
        <v>-20</v>
      </c>
      <c r="L133" s="103"/>
      <c r="M133" s="105">
        <f t="shared" si="8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>
        <f t="shared" si="9"/>
        <v>-3</v>
      </c>
      <c r="K135" s="103">
        <f t="shared" si="11"/>
        <v>-30</v>
      </c>
      <c r="L135" s="103"/>
      <c r="M135" s="105">
        <f t="shared" si="12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>
        <f t="shared" si="9"/>
        <v>-3</v>
      </c>
      <c r="K136" s="103">
        <f t="shared" si="11"/>
        <v>-30</v>
      </c>
      <c r="L136" s="103"/>
      <c r="M136" s="105">
        <f t="shared" si="12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>
        <f t="shared" si="9"/>
        <v>-3</v>
      </c>
      <c r="K137" s="103">
        <f t="shared" si="11"/>
        <v>-30</v>
      </c>
      <c r="L137" s="103"/>
      <c r="M137" s="105">
        <f t="shared" si="12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>
        <f t="shared" ref="J138:J201" si="13">INT(LOG($H$2,2))-ROUNDUP(LOG(H138,2),0)+IF(OR($H$2=1,$H$2=2,$H$2=4,$H$2=8,$H$2=16,$H$2=32,$H$2=64,$H$2=128,$H$2=256),0,1)</f>
        <v>-3</v>
      </c>
      <c r="K138" s="103">
        <f t="shared" si="11"/>
        <v>-30</v>
      </c>
      <c r="L138" s="103"/>
      <c r="M138" s="105">
        <f t="shared" si="12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>
        <f t="shared" si="13"/>
        <v>-3</v>
      </c>
      <c r="K139" s="103">
        <f t="shared" si="11"/>
        <v>-30</v>
      </c>
      <c r="L139" s="103"/>
      <c r="M139" s="105">
        <f t="shared" si="12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>
        <f t="shared" si="13"/>
        <v>-3</v>
      </c>
      <c r="K140" s="103">
        <f t="shared" si="11"/>
        <v>-30</v>
      </c>
      <c r="L140" s="103"/>
      <c r="M140" s="105">
        <f t="shared" si="12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>
        <f t="shared" si="13"/>
        <v>-3</v>
      </c>
      <c r="K141" s="103">
        <f t="shared" si="11"/>
        <v>-30</v>
      </c>
      <c r="L141" s="103"/>
      <c r="M141" s="105">
        <f t="shared" si="12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>
        <f t="shared" si="13"/>
        <v>-3</v>
      </c>
      <c r="K142" s="103">
        <f t="shared" si="11"/>
        <v>-30</v>
      </c>
      <c r="L142" s="103"/>
      <c r="M142" s="105">
        <f t="shared" si="12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>
        <f t="shared" si="13"/>
        <v>-3</v>
      </c>
      <c r="K143" s="103">
        <f t="shared" si="11"/>
        <v>-30</v>
      </c>
      <c r="L143" s="103"/>
      <c r="M143" s="105">
        <f t="shared" si="12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>
        <f t="shared" si="13"/>
        <v>-3</v>
      </c>
      <c r="K144" s="103">
        <f t="shared" si="11"/>
        <v>-30</v>
      </c>
      <c r="L144" s="103"/>
      <c r="M144" s="105">
        <f t="shared" si="12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>
        <f t="shared" si="13"/>
        <v>-3</v>
      </c>
      <c r="K145" s="103">
        <f t="shared" si="11"/>
        <v>-30</v>
      </c>
      <c r="L145" s="103"/>
      <c r="M145" s="105">
        <f t="shared" si="12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>
        <f t="shared" si="13"/>
        <v>-3</v>
      </c>
      <c r="K146" s="103">
        <f t="shared" si="11"/>
        <v>-30</v>
      </c>
      <c r="L146" s="103"/>
      <c r="M146" s="105">
        <f t="shared" si="12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>
        <f t="shared" si="13"/>
        <v>-3</v>
      </c>
      <c r="K147" s="103">
        <f t="shared" si="11"/>
        <v>-30</v>
      </c>
      <c r="L147" s="103"/>
      <c r="M147" s="105">
        <f t="shared" si="12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>
        <f t="shared" si="13"/>
        <v>-3</v>
      </c>
      <c r="K148" s="103">
        <f t="shared" si="11"/>
        <v>-30</v>
      </c>
      <c r="L148" s="103"/>
      <c r="M148" s="105">
        <f t="shared" si="12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>
        <f t="shared" si="13"/>
        <v>-3</v>
      </c>
      <c r="K149" s="103">
        <f t="shared" si="11"/>
        <v>-30</v>
      </c>
      <c r="L149" s="103"/>
      <c r="M149" s="105">
        <f t="shared" si="12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>
        <f t="shared" si="13"/>
        <v>-3</v>
      </c>
      <c r="K150" s="103">
        <f t="shared" si="11"/>
        <v>-30</v>
      </c>
      <c r="L150" s="103"/>
      <c r="M150" s="105">
        <f t="shared" si="12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>
        <f t="shared" si="13"/>
        <v>-3</v>
      </c>
      <c r="K151" s="103">
        <f t="shared" si="11"/>
        <v>-30</v>
      </c>
      <c r="L151" s="103"/>
      <c r="M151" s="105">
        <f t="shared" si="12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>
        <f t="shared" si="13"/>
        <v>-3</v>
      </c>
      <c r="K152" s="103">
        <f t="shared" si="11"/>
        <v>-30</v>
      </c>
      <c r="L152" s="103"/>
      <c r="M152" s="105">
        <f t="shared" si="12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>
        <f t="shared" si="13"/>
        <v>-3</v>
      </c>
      <c r="K153" s="103">
        <f t="shared" si="11"/>
        <v>-30</v>
      </c>
      <c r="L153" s="103"/>
      <c r="M153" s="105">
        <f t="shared" si="12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>
        <f t="shared" si="13"/>
        <v>-3</v>
      </c>
      <c r="K154" s="103">
        <f t="shared" si="11"/>
        <v>-30</v>
      </c>
      <c r="L154" s="103"/>
      <c r="M154" s="105">
        <f t="shared" si="12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>
        <f t="shared" si="13"/>
        <v>-3</v>
      </c>
      <c r="K155" s="103">
        <f t="shared" si="11"/>
        <v>-30</v>
      </c>
      <c r="L155" s="103"/>
      <c r="M155" s="105">
        <f t="shared" si="12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>
        <f t="shared" si="13"/>
        <v>-3</v>
      </c>
      <c r="K156" s="103">
        <f t="shared" si="11"/>
        <v>-30</v>
      </c>
      <c r="L156" s="103"/>
      <c r="M156" s="105">
        <f t="shared" si="12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>
        <f t="shared" si="13"/>
        <v>-3</v>
      </c>
      <c r="K157" s="103">
        <f t="shared" si="11"/>
        <v>-30</v>
      </c>
      <c r="L157" s="103"/>
      <c r="M157" s="105">
        <f t="shared" si="12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>
        <f t="shared" si="13"/>
        <v>-3</v>
      </c>
      <c r="K158" s="103">
        <f t="shared" si="11"/>
        <v>-30</v>
      </c>
      <c r="L158" s="103"/>
      <c r="M158" s="105">
        <f t="shared" si="12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>
        <f t="shared" si="13"/>
        <v>-3</v>
      </c>
      <c r="K159" s="103">
        <f t="shared" si="11"/>
        <v>-30</v>
      </c>
      <c r="L159" s="103"/>
      <c r="M159" s="105">
        <f t="shared" si="12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>
        <f t="shared" si="13"/>
        <v>-3</v>
      </c>
      <c r="K160" s="103">
        <f t="shared" si="11"/>
        <v>-30</v>
      </c>
      <c r="L160" s="103"/>
      <c r="M160" s="105">
        <f t="shared" si="12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>
        <f t="shared" si="13"/>
        <v>-3</v>
      </c>
      <c r="K161" s="103">
        <f t="shared" si="11"/>
        <v>-30</v>
      </c>
      <c r="L161" s="103"/>
      <c r="M161" s="105">
        <f t="shared" si="12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>
        <f t="shared" si="13"/>
        <v>-3</v>
      </c>
      <c r="K162" s="103">
        <f t="shared" si="11"/>
        <v>-30</v>
      </c>
      <c r="L162" s="103"/>
      <c r="M162" s="105">
        <f t="shared" si="12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>
        <f t="shared" si="13"/>
        <v>-3</v>
      </c>
      <c r="K163" s="103">
        <f t="shared" si="11"/>
        <v>-30</v>
      </c>
      <c r="L163" s="103"/>
      <c r="M163" s="105">
        <f t="shared" si="12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>
        <f t="shared" si="13"/>
        <v>-3</v>
      </c>
      <c r="K164" s="103">
        <f t="shared" si="11"/>
        <v>-30</v>
      </c>
      <c r="L164" s="103"/>
      <c r="M164" s="105">
        <f t="shared" si="12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>
        <f t="shared" si="13"/>
        <v>-3</v>
      </c>
      <c r="K165" s="103">
        <f t="shared" si="11"/>
        <v>-30</v>
      </c>
      <c r="L165" s="103"/>
      <c r="M165" s="105">
        <f t="shared" si="12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>
        <f t="shared" si="13"/>
        <v>-3</v>
      </c>
      <c r="K166" s="103">
        <f t="shared" si="11"/>
        <v>-30</v>
      </c>
      <c r="L166" s="103"/>
      <c r="M166" s="105">
        <f t="shared" si="12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>
        <f t="shared" si="13"/>
        <v>-3</v>
      </c>
      <c r="K167" s="103">
        <f t="shared" si="11"/>
        <v>-30</v>
      </c>
      <c r="L167" s="103"/>
      <c r="M167" s="105">
        <f t="shared" si="12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>
        <f t="shared" si="13"/>
        <v>-3</v>
      </c>
      <c r="K168" s="103">
        <f t="shared" si="11"/>
        <v>-30</v>
      </c>
      <c r="L168" s="103"/>
      <c r="M168" s="105">
        <f t="shared" si="12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0"/>
        <v/>
      </c>
      <c r="J169" s="103">
        <f t="shared" si="13"/>
        <v>-3</v>
      </c>
      <c r="K169" s="103">
        <f t="shared" si="11"/>
        <v>-30</v>
      </c>
      <c r="L169" s="103"/>
      <c r="M169" s="105">
        <f t="shared" si="12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>
        <f t="shared" si="13"/>
        <v>-3</v>
      </c>
      <c r="K170" s="103">
        <f t="shared" si="11"/>
        <v>-30</v>
      </c>
      <c r="L170" s="103"/>
      <c r="M170" s="105">
        <f t="shared" si="12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>
        <f t="shared" si="13"/>
        <v>-3</v>
      </c>
      <c r="K171" s="103">
        <f t="shared" si="11"/>
        <v>-30</v>
      </c>
      <c r="L171" s="103"/>
      <c r="M171" s="105">
        <f t="shared" si="12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>
        <f t="shared" si="13"/>
        <v>-3</v>
      </c>
      <c r="K172" s="103">
        <f t="shared" si="11"/>
        <v>-30</v>
      </c>
      <c r="L172" s="103"/>
      <c r="M172" s="105">
        <f t="shared" si="12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>
        <f t="shared" si="13"/>
        <v>-3</v>
      </c>
      <c r="K173" s="103">
        <f t="shared" si="11"/>
        <v>-30</v>
      </c>
      <c r="L173" s="103"/>
      <c r="M173" s="105">
        <f t="shared" si="12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>
        <f t="shared" si="13"/>
        <v>-3</v>
      </c>
      <c r="K174" s="103">
        <f t="shared" si="11"/>
        <v>-30</v>
      </c>
      <c r="L174" s="103"/>
      <c r="M174" s="105">
        <f t="shared" si="12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>
        <f t="shared" si="13"/>
        <v>-3</v>
      </c>
      <c r="K175" s="103">
        <f t="shared" si="11"/>
        <v>-30</v>
      </c>
      <c r="L175" s="103"/>
      <c r="M175" s="105">
        <f t="shared" si="12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>
        <f t="shared" si="13"/>
        <v>-3</v>
      </c>
      <c r="K176" s="103">
        <f t="shared" si="11"/>
        <v>-30</v>
      </c>
      <c r="L176" s="103"/>
      <c r="M176" s="105">
        <f t="shared" si="12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>
        <f t="shared" si="13"/>
        <v>-3</v>
      </c>
      <c r="K177" s="103">
        <f t="shared" si="11"/>
        <v>-30</v>
      </c>
      <c r="L177" s="103"/>
      <c r="M177" s="105">
        <f t="shared" si="12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>
        <f t="shared" si="13"/>
        <v>-3</v>
      </c>
      <c r="K178" s="103">
        <f t="shared" si="11"/>
        <v>-30</v>
      </c>
      <c r="L178" s="103"/>
      <c r="M178" s="105">
        <f t="shared" si="12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>
        <f t="shared" si="13"/>
        <v>-3</v>
      </c>
      <c r="K179" s="103">
        <f t="shared" si="11"/>
        <v>-30</v>
      </c>
      <c r="L179" s="103"/>
      <c r="M179" s="105">
        <f t="shared" si="12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>
        <f t="shared" si="13"/>
        <v>-3</v>
      </c>
      <c r="K180" s="103">
        <f t="shared" si="11"/>
        <v>-30</v>
      </c>
      <c r="L180" s="103"/>
      <c r="M180" s="105">
        <f t="shared" si="12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>
        <f t="shared" si="13"/>
        <v>-3</v>
      </c>
      <c r="K181" s="103">
        <f t="shared" si="11"/>
        <v>-30</v>
      </c>
      <c r="L181" s="103"/>
      <c r="M181" s="105">
        <f t="shared" si="12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>
        <f t="shared" si="13"/>
        <v>-3</v>
      </c>
      <c r="K182" s="103">
        <f t="shared" si="11"/>
        <v>-30</v>
      </c>
      <c r="L182" s="103"/>
      <c r="M182" s="105">
        <f t="shared" si="12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>
        <f t="shared" si="13"/>
        <v>-3</v>
      </c>
      <c r="K183" s="103">
        <f t="shared" si="11"/>
        <v>-30</v>
      </c>
      <c r="L183" s="103"/>
      <c r="M183" s="105">
        <f t="shared" si="12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>
        <f t="shared" si="13"/>
        <v>-3</v>
      </c>
      <c r="K184" s="103">
        <f t="shared" si="11"/>
        <v>-30</v>
      </c>
      <c r="L184" s="103"/>
      <c r="M184" s="105">
        <f t="shared" si="12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>
        <f t="shared" si="13"/>
        <v>-3</v>
      </c>
      <c r="K185" s="103">
        <f t="shared" si="11"/>
        <v>-30</v>
      </c>
      <c r="L185" s="103"/>
      <c r="M185" s="105">
        <f t="shared" si="12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>
        <f t="shared" si="13"/>
        <v>-3</v>
      </c>
      <c r="K186" s="103">
        <f t="shared" si="11"/>
        <v>-30</v>
      </c>
      <c r="L186" s="103"/>
      <c r="M186" s="105">
        <f t="shared" si="12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>
        <f t="shared" si="13"/>
        <v>-3</v>
      </c>
      <c r="K187" s="103">
        <f t="shared" si="11"/>
        <v>-30</v>
      </c>
      <c r="L187" s="103"/>
      <c r="M187" s="105">
        <f t="shared" si="12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>
        <f t="shared" si="13"/>
        <v>-3</v>
      </c>
      <c r="K188" s="103">
        <f t="shared" si="11"/>
        <v>-30</v>
      </c>
      <c r="L188" s="103"/>
      <c r="M188" s="105">
        <f t="shared" si="12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>
        <f t="shared" si="13"/>
        <v>-3</v>
      </c>
      <c r="K189" s="103">
        <f t="shared" si="11"/>
        <v>-30</v>
      </c>
      <c r="L189" s="103"/>
      <c r="M189" s="105">
        <f t="shared" si="12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>
        <f t="shared" si="13"/>
        <v>-3</v>
      </c>
      <c r="K190" s="103">
        <f t="shared" si="11"/>
        <v>-30</v>
      </c>
      <c r="L190" s="103"/>
      <c r="M190" s="105">
        <f t="shared" si="12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>
        <f t="shared" si="13"/>
        <v>-3</v>
      </c>
      <c r="K191" s="103">
        <f t="shared" si="11"/>
        <v>-30</v>
      </c>
      <c r="L191" s="103"/>
      <c r="M191" s="105">
        <f t="shared" si="12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>
        <f t="shared" si="13"/>
        <v>-3</v>
      </c>
      <c r="K192" s="103">
        <f t="shared" si="11"/>
        <v>-30</v>
      </c>
      <c r="L192" s="103"/>
      <c r="M192" s="105">
        <f t="shared" si="12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>
        <f t="shared" si="13"/>
        <v>-3</v>
      </c>
      <c r="K193" s="103">
        <f t="shared" si="11"/>
        <v>-30</v>
      </c>
      <c r="L193" s="103"/>
      <c r="M193" s="105">
        <f t="shared" si="12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>
        <f t="shared" si="13"/>
        <v>-3</v>
      </c>
      <c r="K194" s="103">
        <f t="shared" si="11"/>
        <v>-30</v>
      </c>
      <c r="L194" s="103"/>
      <c r="M194" s="105">
        <f t="shared" si="12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>
        <f t="shared" si="13"/>
        <v>-3</v>
      </c>
      <c r="K195" s="103">
        <f t="shared" si="11"/>
        <v>-30</v>
      </c>
      <c r="L195" s="103"/>
      <c r="M195" s="105">
        <f t="shared" si="12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>
        <f t="shared" si="13"/>
        <v>-3</v>
      </c>
      <c r="K196" s="103">
        <f t="shared" si="11"/>
        <v>-30</v>
      </c>
      <c r="L196" s="103"/>
      <c r="M196" s="105">
        <f t="shared" si="12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>
        <f t="shared" si="13"/>
        <v>-3</v>
      </c>
      <c r="K197" s="103">
        <f t="shared" si="11"/>
        <v>-30</v>
      </c>
      <c r="L197" s="103"/>
      <c r="M197" s="105">
        <f t="shared" si="12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>
        <f t="shared" si="13"/>
        <v>-3</v>
      </c>
      <c r="K199" s="103">
        <f t="shared" si="15"/>
        <v>-30</v>
      </c>
      <c r="L199" s="103"/>
      <c r="M199" s="105">
        <f t="shared" si="16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>
        <f t="shared" si="13"/>
        <v>-3</v>
      </c>
      <c r="K200" s="103">
        <f t="shared" si="15"/>
        <v>-30</v>
      </c>
      <c r="L200" s="103"/>
      <c r="M200" s="105">
        <f t="shared" si="16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>
        <f t="shared" si="13"/>
        <v>-3</v>
      </c>
      <c r="K201" s="103">
        <f t="shared" si="15"/>
        <v>-30</v>
      </c>
      <c r="L201" s="103"/>
      <c r="M201" s="105">
        <f t="shared" si="16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>
        <f t="shared" ref="J202:J265" si="17">INT(LOG($H$2,2))-ROUNDUP(LOG(H202,2),0)+IF(OR($H$2=1,$H$2=2,$H$2=4,$H$2=8,$H$2=16,$H$2=32,$H$2=64,$H$2=128,$H$2=256),0,1)</f>
        <v>-3</v>
      </c>
      <c r="K202" s="103">
        <f t="shared" si="15"/>
        <v>-30</v>
      </c>
      <c r="L202" s="103"/>
      <c r="M202" s="105">
        <f t="shared" si="16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>
        <f t="shared" si="17"/>
        <v>-3</v>
      </c>
      <c r="K203" s="103">
        <f t="shared" si="15"/>
        <v>-30</v>
      </c>
      <c r="L203" s="103"/>
      <c r="M203" s="105">
        <f t="shared" si="16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>
        <f t="shared" si="17"/>
        <v>-3</v>
      </c>
      <c r="K204" s="103">
        <f t="shared" si="15"/>
        <v>-30</v>
      </c>
      <c r="L204" s="103"/>
      <c r="M204" s="105">
        <f t="shared" si="16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>
        <f t="shared" si="17"/>
        <v>-3</v>
      </c>
      <c r="K205" s="103">
        <f t="shared" si="15"/>
        <v>-30</v>
      </c>
      <c r="L205" s="103"/>
      <c r="M205" s="105">
        <f t="shared" si="16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>
        <f t="shared" si="17"/>
        <v>-3</v>
      </c>
      <c r="K206" s="103">
        <f t="shared" si="15"/>
        <v>-30</v>
      </c>
      <c r="L206" s="103"/>
      <c r="M206" s="105">
        <f t="shared" si="16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>
        <f t="shared" si="17"/>
        <v>-3</v>
      </c>
      <c r="K207" s="103">
        <f t="shared" si="15"/>
        <v>-30</v>
      </c>
      <c r="L207" s="103"/>
      <c r="M207" s="105">
        <f t="shared" si="16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>
        <f t="shared" si="17"/>
        <v>-3</v>
      </c>
      <c r="K208" s="103">
        <f t="shared" si="15"/>
        <v>-30</v>
      </c>
      <c r="L208" s="103"/>
      <c r="M208" s="105">
        <f t="shared" si="16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>
        <f t="shared" si="17"/>
        <v>-3</v>
      </c>
      <c r="K209" s="103">
        <f t="shared" si="15"/>
        <v>-30</v>
      </c>
      <c r="L209" s="103"/>
      <c r="M209" s="105">
        <f t="shared" si="16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>
        <f t="shared" si="17"/>
        <v>-3</v>
      </c>
      <c r="K210" s="103">
        <f t="shared" si="15"/>
        <v>-30</v>
      </c>
      <c r="L210" s="103"/>
      <c r="M210" s="105">
        <f t="shared" si="16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>
        <f t="shared" si="17"/>
        <v>-3</v>
      </c>
      <c r="K211" s="103">
        <f t="shared" si="15"/>
        <v>-30</v>
      </c>
      <c r="L211" s="103"/>
      <c r="M211" s="105">
        <f t="shared" si="16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>
        <f t="shared" si="17"/>
        <v>-3</v>
      </c>
      <c r="K212" s="103">
        <f t="shared" si="15"/>
        <v>-30</v>
      </c>
      <c r="L212" s="103"/>
      <c r="M212" s="105">
        <f t="shared" si="16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>
        <f t="shared" si="17"/>
        <v>-3</v>
      </c>
      <c r="K213" s="103">
        <f t="shared" si="15"/>
        <v>-30</v>
      </c>
      <c r="L213" s="103"/>
      <c r="M213" s="105">
        <f t="shared" si="16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>
        <f t="shared" si="17"/>
        <v>-3</v>
      </c>
      <c r="K214" s="103">
        <f t="shared" si="15"/>
        <v>-30</v>
      </c>
      <c r="L214" s="103"/>
      <c r="M214" s="105">
        <f t="shared" si="16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>
        <f t="shared" si="17"/>
        <v>-3</v>
      </c>
      <c r="K215" s="103">
        <f t="shared" si="15"/>
        <v>-30</v>
      </c>
      <c r="L215" s="103"/>
      <c r="M215" s="105">
        <f t="shared" si="16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>
        <f t="shared" si="17"/>
        <v>-3</v>
      </c>
      <c r="K216" s="103">
        <f t="shared" si="15"/>
        <v>-30</v>
      </c>
      <c r="L216" s="103"/>
      <c r="M216" s="105">
        <f t="shared" si="16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>
        <f t="shared" si="17"/>
        <v>-3</v>
      </c>
      <c r="K217" s="103">
        <f t="shared" si="15"/>
        <v>-30</v>
      </c>
      <c r="L217" s="103"/>
      <c r="M217" s="105">
        <f t="shared" si="16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>
        <f t="shared" si="17"/>
        <v>-3</v>
      </c>
      <c r="K218" s="103">
        <f t="shared" si="15"/>
        <v>-30</v>
      </c>
      <c r="L218" s="103"/>
      <c r="M218" s="105">
        <f t="shared" si="16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>
        <f t="shared" si="17"/>
        <v>-3</v>
      </c>
      <c r="K219" s="103">
        <f t="shared" si="15"/>
        <v>-30</v>
      </c>
      <c r="L219" s="103"/>
      <c r="M219" s="105">
        <f t="shared" si="16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>
        <f t="shared" si="17"/>
        <v>-3</v>
      </c>
      <c r="K220" s="103">
        <f t="shared" si="15"/>
        <v>-30</v>
      </c>
      <c r="L220" s="103"/>
      <c r="M220" s="105">
        <f t="shared" si="16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>
        <f t="shared" si="17"/>
        <v>-3</v>
      </c>
      <c r="K221" s="103">
        <f t="shared" si="15"/>
        <v>-30</v>
      </c>
      <c r="L221" s="103"/>
      <c r="M221" s="105">
        <f t="shared" si="16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>
        <f t="shared" si="17"/>
        <v>-3</v>
      </c>
      <c r="K222" s="103">
        <f t="shared" si="15"/>
        <v>-30</v>
      </c>
      <c r="L222" s="103"/>
      <c r="M222" s="105">
        <f t="shared" si="16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>
        <f t="shared" si="17"/>
        <v>-3</v>
      </c>
      <c r="K223" s="103">
        <f t="shared" si="15"/>
        <v>-30</v>
      </c>
      <c r="L223" s="103"/>
      <c r="M223" s="105">
        <f t="shared" si="16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>
        <f t="shared" si="17"/>
        <v>-3</v>
      </c>
      <c r="K224" s="103">
        <f t="shared" si="15"/>
        <v>-30</v>
      </c>
      <c r="L224" s="103"/>
      <c r="M224" s="105">
        <f t="shared" si="16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>
        <f t="shared" si="17"/>
        <v>-3</v>
      </c>
      <c r="K225" s="103">
        <f t="shared" si="15"/>
        <v>-30</v>
      </c>
      <c r="L225" s="103"/>
      <c r="M225" s="105">
        <f t="shared" si="16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>
        <f t="shared" si="17"/>
        <v>-3</v>
      </c>
      <c r="K226" s="103">
        <f t="shared" si="15"/>
        <v>-30</v>
      </c>
      <c r="L226" s="103"/>
      <c r="M226" s="105">
        <f t="shared" si="16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>
        <f t="shared" si="17"/>
        <v>-3</v>
      </c>
      <c r="K227" s="103">
        <f t="shared" si="15"/>
        <v>-30</v>
      </c>
      <c r="L227" s="103"/>
      <c r="M227" s="105">
        <f t="shared" si="16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>
        <f t="shared" si="17"/>
        <v>-3</v>
      </c>
      <c r="K228" s="103">
        <f t="shared" si="15"/>
        <v>-30</v>
      </c>
      <c r="L228" s="103"/>
      <c r="M228" s="105">
        <f t="shared" si="16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>
        <f t="shared" si="17"/>
        <v>-3</v>
      </c>
      <c r="K229" s="103">
        <f t="shared" si="15"/>
        <v>-30</v>
      </c>
      <c r="L229" s="103"/>
      <c r="M229" s="105">
        <f t="shared" si="16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>
        <f t="shared" si="17"/>
        <v>-3</v>
      </c>
      <c r="K230" s="103">
        <f t="shared" si="15"/>
        <v>-30</v>
      </c>
      <c r="L230" s="103"/>
      <c r="M230" s="105">
        <f t="shared" si="16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>
        <f t="shared" si="17"/>
        <v>-3</v>
      </c>
      <c r="K231" s="103">
        <f t="shared" si="15"/>
        <v>-30</v>
      </c>
      <c r="L231" s="103"/>
      <c r="M231" s="105">
        <f t="shared" si="16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>
        <f t="shared" si="17"/>
        <v>-3</v>
      </c>
      <c r="K232" s="103">
        <f t="shared" si="15"/>
        <v>-30</v>
      </c>
      <c r="L232" s="103"/>
      <c r="M232" s="105">
        <f t="shared" si="16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>
        <f t="shared" si="17"/>
        <v>-3</v>
      </c>
      <c r="K233" s="103">
        <f t="shared" si="15"/>
        <v>-30</v>
      </c>
      <c r="L233" s="103"/>
      <c r="M233" s="105">
        <f t="shared" si="16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>
        <f t="shared" si="17"/>
        <v>-3</v>
      </c>
      <c r="K234" s="103">
        <f t="shared" si="15"/>
        <v>-30</v>
      </c>
      <c r="L234" s="103"/>
      <c r="M234" s="105">
        <f t="shared" si="16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>
        <f t="shared" si="17"/>
        <v>-3</v>
      </c>
      <c r="K235" s="103">
        <f t="shared" si="15"/>
        <v>-30</v>
      </c>
      <c r="L235" s="103"/>
      <c r="M235" s="105">
        <f t="shared" si="16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>
        <f t="shared" si="17"/>
        <v>-3</v>
      </c>
      <c r="K236" s="103">
        <f t="shared" si="15"/>
        <v>-30</v>
      </c>
      <c r="L236" s="103"/>
      <c r="M236" s="105">
        <f t="shared" si="16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>
        <f t="shared" si="17"/>
        <v>-3</v>
      </c>
      <c r="K237" s="103">
        <f t="shared" si="15"/>
        <v>-30</v>
      </c>
      <c r="L237" s="103"/>
      <c r="M237" s="105">
        <f t="shared" si="16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>
        <f t="shared" si="17"/>
        <v>-3</v>
      </c>
      <c r="K238" s="103">
        <f t="shared" si="15"/>
        <v>-30</v>
      </c>
      <c r="L238" s="103"/>
      <c r="M238" s="105">
        <f t="shared" si="16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>
        <f t="shared" si="17"/>
        <v>-3</v>
      </c>
      <c r="K239" s="103">
        <f t="shared" si="15"/>
        <v>-30</v>
      </c>
      <c r="L239" s="103"/>
      <c r="M239" s="105">
        <f t="shared" si="16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>
        <f t="shared" si="17"/>
        <v>-3</v>
      </c>
      <c r="K240" s="103">
        <f t="shared" si="15"/>
        <v>-30</v>
      </c>
      <c r="L240" s="103"/>
      <c r="M240" s="105">
        <f t="shared" si="16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>
        <f t="shared" si="17"/>
        <v>-3</v>
      </c>
      <c r="K241" s="103">
        <f t="shared" si="15"/>
        <v>-30</v>
      </c>
      <c r="L241" s="103"/>
      <c r="M241" s="105">
        <f t="shared" si="16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>
        <f t="shared" si="17"/>
        <v>-3</v>
      </c>
      <c r="K242" s="103">
        <f t="shared" si="15"/>
        <v>-30</v>
      </c>
      <c r="L242" s="103"/>
      <c r="M242" s="105">
        <f t="shared" si="16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>
        <f t="shared" si="17"/>
        <v>-3</v>
      </c>
      <c r="K243" s="103">
        <f t="shared" si="15"/>
        <v>-30</v>
      </c>
      <c r="L243" s="103"/>
      <c r="M243" s="105">
        <f t="shared" si="16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>
        <f t="shared" si="17"/>
        <v>-3</v>
      </c>
      <c r="K244" s="103">
        <f t="shared" si="15"/>
        <v>-30</v>
      </c>
      <c r="L244" s="103"/>
      <c r="M244" s="105">
        <f t="shared" si="16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>
        <f t="shared" si="17"/>
        <v>-3</v>
      </c>
      <c r="K245" s="103">
        <f t="shared" si="15"/>
        <v>-30</v>
      </c>
      <c r="L245" s="103"/>
      <c r="M245" s="105">
        <f t="shared" si="16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>
        <f t="shared" si="17"/>
        <v>-3</v>
      </c>
      <c r="K246" s="103">
        <f t="shared" si="15"/>
        <v>-30</v>
      </c>
      <c r="L246" s="103"/>
      <c r="M246" s="105">
        <f t="shared" si="16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>
        <f t="shared" si="17"/>
        <v>-3</v>
      </c>
      <c r="K247" s="103">
        <f t="shared" si="15"/>
        <v>-30</v>
      </c>
      <c r="L247" s="103"/>
      <c r="M247" s="105">
        <f t="shared" si="16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>
        <f t="shared" si="17"/>
        <v>-3</v>
      </c>
      <c r="K248" s="103">
        <f t="shared" si="15"/>
        <v>-30</v>
      </c>
      <c r="L248" s="103"/>
      <c r="M248" s="105">
        <f t="shared" si="16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>
        <f t="shared" si="17"/>
        <v>-3</v>
      </c>
      <c r="K249" s="103">
        <f t="shared" si="15"/>
        <v>-30</v>
      </c>
      <c r="L249" s="103"/>
      <c r="M249" s="105">
        <f t="shared" si="16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>
        <f t="shared" si="17"/>
        <v>-3</v>
      </c>
      <c r="K250" s="103">
        <f t="shared" si="15"/>
        <v>-30</v>
      </c>
      <c r="L250" s="103"/>
      <c r="M250" s="105">
        <f t="shared" si="16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>
        <f t="shared" si="17"/>
        <v>-3</v>
      </c>
      <c r="K251" s="103">
        <f t="shared" si="15"/>
        <v>-30</v>
      </c>
      <c r="L251" s="103"/>
      <c r="M251" s="105">
        <f t="shared" si="16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>
        <f t="shared" si="17"/>
        <v>-3</v>
      </c>
      <c r="K252" s="103">
        <f t="shared" si="15"/>
        <v>-30</v>
      </c>
      <c r="L252" s="103"/>
      <c r="M252" s="105">
        <f t="shared" si="16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>
        <f t="shared" si="17"/>
        <v>-3</v>
      </c>
      <c r="K253" s="103">
        <f t="shared" si="15"/>
        <v>-30</v>
      </c>
      <c r="L253" s="103"/>
      <c r="M253" s="105">
        <f t="shared" si="16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>
        <f t="shared" si="17"/>
        <v>-3</v>
      </c>
      <c r="K254" s="103">
        <f t="shared" si="15"/>
        <v>-30</v>
      </c>
      <c r="L254" s="103"/>
      <c r="M254" s="105">
        <f t="shared" si="16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>
        <f t="shared" si="17"/>
        <v>-3</v>
      </c>
      <c r="K255" s="103">
        <f t="shared" si="15"/>
        <v>-30</v>
      </c>
      <c r="L255" s="103"/>
      <c r="M255" s="105">
        <f t="shared" si="16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>
        <f t="shared" si="17"/>
        <v>-3</v>
      </c>
      <c r="K256" s="103">
        <f t="shared" si="15"/>
        <v>-30</v>
      </c>
      <c r="L256" s="103"/>
      <c r="M256" s="105">
        <f t="shared" si="16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>
        <f t="shared" si="17"/>
        <v>-3</v>
      </c>
      <c r="K257" s="103">
        <f t="shared" si="15"/>
        <v>-30</v>
      </c>
      <c r="L257" s="103"/>
      <c r="M257" s="105">
        <f t="shared" si="16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>
        <f t="shared" si="17"/>
        <v>-3</v>
      </c>
      <c r="K258" s="103">
        <f t="shared" si="15"/>
        <v>-30</v>
      </c>
      <c r="L258" s="103"/>
      <c r="M258" s="105">
        <f t="shared" si="16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>
        <f t="shared" si="17"/>
        <v>-3</v>
      </c>
      <c r="K259" s="103">
        <f t="shared" si="15"/>
        <v>-30</v>
      </c>
      <c r="L259" s="103"/>
      <c r="M259" s="105">
        <f t="shared" si="16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>
        <f t="shared" si="17"/>
        <v>-3</v>
      </c>
      <c r="K260" s="103">
        <f t="shared" si="15"/>
        <v>-30</v>
      </c>
      <c r="L260" s="103"/>
      <c r="M260" s="105">
        <f t="shared" si="16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>
        <f t="shared" si="17"/>
        <v>-3</v>
      </c>
      <c r="K261" s="103">
        <f t="shared" si="15"/>
        <v>-30</v>
      </c>
      <c r="L261" s="103"/>
      <c r="M261" s="105">
        <f t="shared" si="16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>
        <f t="shared" si="17"/>
        <v>-4</v>
      </c>
      <c r="K263" s="103">
        <f t="shared" si="19"/>
        <v>-40</v>
      </c>
      <c r="L263" s="103"/>
      <c r="M263" s="105">
        <f t="shared" si="20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>
        <f t="shared" si="17"/>
        <v>-4</v>
      </c>
      <c r="K264" s="103">
        <f t="shared" si="19"/>
        <v>-40</v>
      </c>
      <c r="L264" s="103"/>
      <c r="M264" s="105">
        <f t="shared" si="20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>
        <f t="shared" si="17"/>
        <v>-4</v>
      </c>
      <c r="K265" s="103">
        <f t="shared" si="19"/>
        <v>-40</v>
      </c>
      <c r="L265" s="103"/>
      <c r="M265" s="105">
        <f t="shared" si="20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>
        <f t="shared" ref="J266:J305" si="21">INT(LOG($H$2,2))-ROUNDUP(LOG(H266,2),0)+IF(OR($H$2=1,$H$2=2,$H$2=4,$H$2=8,$H$2=16,$H$2=32,$H$2=64,$H$2=128,$H$2=256),0,1)</f>
        <v>-4</v>
      </c>
      <c r="K266" s="103">
        <f t="shared" si="19"/>
        <v>-40</v>
      </c>
      <c r="L266" s="103"/>
      <c r="M266" s="105">
        <f t="shared" si="20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>
        <f t="shared" si="21"/>
        <v>-4</v>
      </c>
      <c r="K267" s="103">
        <f t="shared" si="19"/>
        <v>-40</v>
      </c>
      <c r="L267" s="103"/>
      <c r="M267" s="105">
        <f t="shared" si="20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>
        <f t="shared" si="21"/>
        <v>-4</v>
      </c>
      <c r="K268" s="103">
        <f t="shared" si="19"/>
        <v>-40</v>
      </c>
      <c r="L268" s="103"/>
      <c r="M268" s="105">
        <f t="shared" si="20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>
        <f t="shared" si="21"/>
        <v>-4</v>
      </c>
      <c r="K269" s="103">
        <f t="shared" si="19"/>
        <v>-40</v>
      </c>
      <c r="L269" s="103"/>
      <c r="M269" s="105">
        <f t="shared" si="20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>
        <f t="shared" si="21"/>
        <v>-4</v>
      </c>
      <c r="K270" s="103">
        <f t="shared" si="19"/>
        <v>-40</v>
      </c>
      <c r="L270" s="103"/>
      <c r="M270" s="105">
        <f t="shared" si="20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>
        <f t="shared" si="21"/>
        <v>-4</v>
      </c>
      <c r="K271" s="103">
        <f t="shared" si="19"/>
        <v>-40</v>
      </c>
      <c r="L271" s="103"/>
      <c r="M271" s="105">
        <f t="shared" si="20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>
        <f t="shared" si="21"/>
        <v>-4</v>
      </c>
      <c r="K272" s="103">
        <f t="shared" si="19"/>
        <v>-40</v>
      </c>
      <c r="L272" s="103"/>
      <c r="M272" s="105">
        <f t="shared" si="20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>
        <f t="shared" si="21"/>
        <v>-4</v>
      </c>
      <c r="K273" s="103">
        <f t="shared" si="19"/>
        <v>-40</v>
      </c>
      <c r="L273" s="103"/>
      <c r="M273" s="105">
        <f t="shared" si="20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>
        <f t="shared" si="21"/>
        <v>-4</v>
      </c>
      <c r="K274" s="103">
        <f t="shared" si="19"/>
        <v>-40</v>
      </c>
      <c r="L274" s="103"/>
      <c r="M274" s="105">
        <f t="shared" si="20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>
        <f t="shared" si="21"/>
        <v>-4</v>
      </c>
      <c r="K275" s="103">
        <f t="shared" si="19"/>
        <v>-40</v>
      </c>
      <c r="L275" s="103"/>
      <c r="M275" s="105">
        <f t="shared" si="20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>
        <f t="shared" si="21"/>
        <v>-4</v>
      </c>
      <c r="K276" s="103">
        <f t="shared" si="19"/>
        <v>-40</v>
      </c>
      <c r="L276" s="103"/>
      <c r="M276" s="105">
        <f t="shared" si="20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>
        <f t="shared" si="21"/>
        <v>-4</v>
      </c>
      <c r="K277" s="103">
        <f t="shared" si="19"/>
        <v>-40</v>
      </c>
      <c r="L277" s="103"/>
      <c r="M277" s="105">
        <f t="shared" si="20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>
        <f t="shared" si="21"/>
        <v>-4</v>
      </c>
      <c r="K278" s="103">
        <f t="shared" si="19"/>
        <v>-40</v>
      </c>
      <c r="L278" s="103"/>
      <c r="M278" s="105">
        <f t="shared" si="20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>
        <f t="shared" si="21"/>
        <v>-4</v>
      </c>
      <c r="K279" s="103">
        <f t="shared" si="19"/>
        <v>-40</v>
      </c>
      <c r="L279" s="103"/>
      <c r="M279" s="105">
        <f t="shared" si="20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>
        <f t="shared" si="21"/>
        <v>-4</v>
      </c>
      <c r="K280" s="103">
        <f t="shared" si="19"/>
        <v>-40</v>
      </c>
      <c r="L280" s="103"/>
      <c r="M280" s="105">
        <f t="shared" si="20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>
        <f t="shared" si="21"/>
        <v>-4</v>
      </c>
      <c r="K281" s="103">
        <f t="shared" si="19"/>
        <v>-40</v>
      </c>
      <c r="L281" s="103"/>
      <c r="M281" s="105">
        <f t="shared" si="20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>
        <f t="shared" si="21"/>
        <v>-4</v>
      </c>
      <c r="K282" s="103">
        <f t="shared" si="19"/>
        <v>-40</v>
      </c>
      <c r="L282" s="103"/>
      <c r="M282" s="105">
        <f t="shared" si="20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>
        <f t="shared" si="21"/>
        <v>-4</v>
      </c>
      <c r="K283" s="103">
        <f t="shared" si="19"/>
        <v>-40</v>
      </c>
      <c r="L283" s="103"/>
      <c r="M283" s="105">
        <f t="shared" si="20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>
        <f t="shared" si="21"/>
        <v>-4</v>
      </c>
      <c r="K284" s="103">
        <f t="shared" si="19"/>
        <v>-40</v>
      </c>
      <c r="L284" s="103"/>
      <c r="M284" s="105">
        <f t="shared" si="20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>
        <f t="shared" si="21"/>
        <v>-4</v>
      </c>
      <c r="K285" s="103">
        <f t="shared" si="19"/>
        <v>-40</v>
      </c>
      <c r="L285" s="103"/>
      <c r="M285" s="105">
        <f t="shared" si="20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>
        <f t="shared" si="21"/>
        <v>-4</v>
      </c>
      <c r="K286" s="103">
        <f t="shared" si="19"/>
        <v>-40</v>
      </c>
      <c r="L286" s="103"/>
      <c r="M286" s="105">
        <f t="shared" si="20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>
        <f t="shared" si="21"/>
        <v>-4</v>
      </c>
      <c r="K287" s="103">
        <f t="shared" si="19"/>
        <v>-40</v>
      </c>
      <c r="L287" s="103"/>
      <c r="M287" s="105">
        <f t="shared" si="20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>
        <f t="shared" si="21"/>
        <v>-4</v>
      </c>
      <c r="K288" s="103">
        <f t="shared" si="19"/>
        <v>-40</v>
      </c>
      <c r="L288" s="103"/>
      <c r="M288" s="105">
        <f t="shared" si="20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>
        <f t="shared" si="21"/>
        <v>-4</v>
      </c>
      <c r="K289" s="103">
        <f t="shared" si="19"/>
        <v>-40</v>
      </c>
      <c r="L289" s="103"/>
      <c r="M289" s="105">
        <f t="shared" si="20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>
        <f t="shared" si="21"/>
        <v>-4</v>
      </c>
      <c r="K290" s="103">
        <f t="shared" si="19"/>
        <v>-40</v>
      </c>
      <c r="L290" s="103"/>
      <c r="M290" s="105">
        <f t="shared" si="20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>
        <f t="shared" si="21"/>
        <v>-4</v>
      </c>
      <c r="K291" s="103">
        <f t="shared" si="19"/>
        <v>-40</v>
      </c>
      <c r="L291" s="103"/>
      <c r="M291" s="105">
        <f t="shared" si="20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>
        <f t="shared" si="21"/>
        <v>-4</v>
      </c>
      <c r="K292" s="103">
        <f t="shared" si="19"/>
        <v>-40</v>
      </c>
      <c r="L292" s="103"/>
      <c r="M292" s="105">
        <f t="shared" si="20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>
        <f t="shared" si="21"/>
        <v>-4</v>
      </c>
      <c r="K293" s="103">
        <f t="shared" si="19"/>
        <v>-40</v>
      </c>
      <c r="L293" s="103"/>
      <c r="M293" s="105">
        <f t="shared" si="20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>
        <f t="shared" si="21"/>
        <v>-4</v>
      </c>
      <c r="K294" s="103">
        <f t="shared" si="19"/>
        <v>-40</v>
      </c>
      <c r="L294" s="103"/>
      <c r="M294" s="105">
        <f t="shared" si="20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>
        <f t="shared" si="21"/>
        <v>-4</v>
      </c>
      <c r="K295" s="103">
        <f t="shared" si="19"/>
        <v>-40</v>
      </c>
      <c r="L295" s="103"/>
      <c r="M295" s="105">
        <f t="shared" si="20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>
        <f t="shared" si="21"/>
        <v>-4</v>
      </c>
      <c r="K296" s="103">
        <f t="shared" si="19"/>
        <v>-40</v>
      </c>
      <c r="L296" s="103"/>
      <c r="M296" s="105">
        <f t="shared" si="20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>
        <f t="shared" si="21"/>
        <v>-4</v>
      </c>
      <c r="K297" s="103">
        <f t="shared" si="19"/>
        <v>-40</v>
      </c>
      <c r="L297" s="103"/>
      <c r="M297" s="105">
        <f t="shared" si="20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>
        <f t="shared" si="21"/>
        <v>-4</v>
      </c>
      <c r="K298" s="103">
        <f t="shared" si="19"/>
        <v>-40</v>
      </c>
      <c r="L298" s="103"/>
      <c r="M298" s="105">
        <f t="shared" si="20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>
        <f t="shared" si="21"/>
        <v>-4</v>
      </c>
      <c r="K299" s="103">
        <f t="shared" si="19"/>
        <v>-40</v>
      </c>
      <c r="L299" s="103"/>
      <c r="M299" s="105">
        <f t="shared" si="20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>
        <f t="shared" si="21"/>
        <v>-4</v>
      </c>
      <c r="K300" s="103">
        <f t="shared" si="19"/>
        <v>-40</v>
      </c>
      <c r="L300" s="103"/>
      <c r="M300" s="105">
        <f t="shared" si="20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>
        <f t="shared" si="21"/>
        <v>-4</v>
      </c>
      <c r="K301" s="103">
        <f t="shared" si="19"/>
        <v>-40</v>
      </c>
      <c r="L301" s="103"/>
      <c r="M301" s="105">
        <f t="shared" si="20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>
        <f t="shared" si="21"/>
        <v>-4</v>
      </c>
      <c r="K302" s="103">
        <f t="shared" si="19"/>
        <v>-40</v>
      </c>
      <c r="L302" s="103"/>
      <c r="M302" s="105">
        <f t="shared" si="20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>
        <f t="shared" si="21"/>
        <v>-4</v>
      </c>
      <c r="K303" s="103">
        <f t="shared" si="19"/>
        <v>-40</v>
      </c>
      <c r="L303" s="103"/>
      <c r="M303" s="105">
        <f t="shared" si="20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>
        <f t="shared" si="21"/>
        <v>-4</v>
      </c>
      <c r="K304" s="103">
        <f t="shared" si="19"/>
        <v>-40</v>
      </c>
      <c r="L304" s="103"/>
      <c r="M304" s="105">
        <f t="shared" si="20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>
        <f t="shared" si="21"/>
        <v>-4</v>
      </c>
      <c r="K305" s="103">
        <f t="shared" si="19"/>
        <v>-40</v>
      </c>
      <c r="L305" s="103"/>
      <c r="M305" s="105">
        <f t="shared" si="20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0907C95A-2C1B-4B3D-A123-FD7736180E2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90D5-012B-46BF-BDD2-A2811D99C2D5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257" customWidth="1"/>
    <col min="2" max="2" width="8.25" style="257" customWidth="1"/>
    <col min="3" max="3" width="34.75" style="257" customWidth="1"/>
    <col min="4" max="4" width="11.25" style="257" customWidth="1"/>
    <col min="5" max="6" width="8.875" style="257"/>
    <col min="7" max="7" width="0.875" style="257" customWidth="1"/>
    <col min="8" max="8" width="8.875" style="260"/>
    <col min="9" max="9" width="11" style="260" customWidth="1"/>
    <col min="10" max="10" width="15.25" style="260" customWidth="1"/>
    <col min="11" max="11" width="8.75" style="260" customWidth="1"/>
    <col min="12" max="12" width="11" style="260" customWidth="1"/>
    <col min="13" max="13" width="12.25" style="261" customWidth="1"/>
    <col min="14" max="15" width="13.875" style="227" customWidth="1"/>
    <col min="16" max="18" width="8.875" style="227"/>
    <col min="19" max="20" width="8.875" style="232"/>
    <col min="21" max="21" width="12.125" style="232" customWidth="1"/>
    <col min="22" max="22" width="27.375" style="232" customWidth="1"/>
    <col min="23" max="38" width="8.875" style="232"/>
    <col min="39" max="16384" width="8.875" style="257"/>
  </cols>
  <sheetData>
    <row r="1" spans="1:36" x14ac:dyDescent="0.25">
      <c r="A1" s="227"/>
      <c r="B1" s="227"/>
      <c r="C1" s="227"/>
      <c r="D1" s="227"/>
      <c r="E1" s="227"/>
      <c r="F1" s="227"/>
      <c r="G1" s="227"/>
      <c r="H1" s="228" t="s">
        <v>26</v>
      </c>
      <c r="I1" s="229" t="s">
        <v>27</v>
      </c>
      <c r="J1" s="229" t="s">
        <v>28</v>
      </c>
      <c r="K1" s="230" t="s">
        <v>124</v>
      </c>
      <c r="L1" s="231"/>
      <c r="M1" s="231"/>
    </row>
    <row r="2" spans="1:36" x14ac:dyDescent="0.25">
      <c r="A2" s="227"/>
      <c r="B2" s="22" t="s">
        <v>30</v>
      </c>
      <c r="C2" s="135" t="s">
        <v>131</v>
      </c>
      <c r="D2" s="75"/>
      <c r="E2" s="23"/>
      <c r="F2" s="23"/>
      <c r="G2" s="23"/>
      <c r="H2" s="233">
        <v>0</v>
      </c>
      <c r="I2" s="234">
        <v>50</v>
      </c>
      <c r="J2" s="234">
        <v>10</v>
      </c>
      <c r="K2" s="235">
        <f>3*H2^(1/3)</f>
        <v>0</v>
      </c>
      <c r="L2" s="231"/>
      <c r="M2" s="231"/>
    </row>
    <row r="3" spans="1:36" x14ac:dyDescent="0.25">
      <c r="A3" s="227"/>
      <c r="B3" s="236" t="s">
        <v>32</v>
      </c>
      <c r="C3" s="76">
        <v>45114</v>
      </c>
      <c r="D3" s="76"/>
      <c r="E3" s="28"/>
      <c r="F3" s="28"/>
      <c r="G3" s="28"/>
      <c r="H3" s="231"/>
      <c r="I3" s="231"/>
      <c r="J3" s="237"/>
      <c r="K3" s="231"/>
      <c r="L3" s="231"/>
      <c r="M3" s="23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231"/>
      <c r="I4" s="231"/>
      <c r="J4" s="237"/>
      <c r="K4" s="231"/>
      <c r="L4" s="231"/>
      <c r="M4" s="23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238" t="s">
        <v>40</v>
      </c>
      <c r="I5" s="239" t="s">
        <v>41</v>
      </c>
      <c r="J5" s="240" t="s">
        <v>42</v>
      </c>
      <c r="K5" s="239" t="s">
        <v>43</v>
      </c>
      <c r="L5" s="239" t="s">
        <v>44</v>
      </c>
      <c r="M5" s="238" t="s">
        <v>45</v>
      </c>
    </row>
    <row r="6" spans="1:36" ht="14.45" customHeight="1" x14ac:dyDescent="0.25">
      <c r="A6" s="102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241">
        <v>1</v>
      </c>
      <c r="I6" s="242" t="str">
        <f t="shared" ref="I6:I69" si="1">IF(H6&lt;$H$2+1,($I$2-($I$2-1)*(LOG(H6)/LOG($H$2))),"")</f>
        <v/>
      </c>
      <c r="J6" s="241" t="e">
        <f>INT(LOG($H$2,2))-ROUNDUP(LOG(H6,2),0)+IF(OR($H$2=1,$H$2=2,$H$2=4,$H$2=8,$H$2=16,$H$2=32,$H$2=64,$H$2=128,$H$2=256),0,1)</f>
        <v>#NUM!</v>
      </c>
      <c r="K6" s="241" t="e">
        <f t="shared" ref="K6:K69" si="2">J6*$J$2</f>
        <v>#NUM!</v>
      </c>
      <c r="L6" s="243">
        <f>3*K2</f>
        <v>0</v>
      </c>
      <c r="M6" s="243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244">
        <v>2</v>
      </c>
      <c r="I7" s="245" t="str">
        <f t="shared" si="1"/>
        <v/>
      </c>
      <c r="J7" s="244" t="e">
        <f t="shared" ref="J7:J70" si="5">INT(LOG($H$2,2))-ROUNDUP(LOG(H7,2),0)+IF(OR($H$2=1,$H$2=2,$H$2=4,$H$2=8,$H$2=16,$H$2=32,$H$2=64,$H$2=128,$H$2=256),0,1)</f>
        <v>#NUM!</v>
      </c>
      <c r="K7" s="244" t="e">
        <f t="shared" si="2"/>
        <v>#NUM!</v>
      </c>
      <c r="L7" s="246">
        <f>2*K2</f>
        <v>0</v>
      </c>
      <c r="M7" s="246">
        <f t="shared" si="3"/>
        <v>0</v>
      </c>
    </row>
    <row r="8" spans="1:36" ht="14.45" customHeight="1" x14ac:dyDescent="0.25">
      <c r="A8" s="102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241">
        <v>3</v>
      </c>
      <c r="I8" s="242" t="str">
        <f t="shared" si="1"/>
        <v/>
      </c>
      <c r="J8" s="241" t="e">
        <f t="shared" si="5"/>
        <v>#NUM!</v>
      </c>
      <c r="K8" s="241" t="e">
        <f t="shared" si="2"/>
        <v>#NUM!</v>
      </c>
      <c r="L8" s="243">
        <f>K2</f>
        <v>0</v>
      </c>
      <c r="M8" s="243">
        <f t="shared" si="3"/>
        <v>0</v>
      </c>
    </row>
    <row r="9" spans="1:36" s="232" customFormat="1" ht="14.45" customHeight="1" x14ac:dyDescent="0.25">
      <c r="A9" s="106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244">
        <v>3</v>
      </c>
      <c r="I9" s="245" t="str">
        <f t="shared" si="1"/>
        <v/>
      </c>
      <c r="J9" s="244" t="e">
        <f t="shared" si="5"/>
        <v>#NUM!</v>
      </c>
      <c r="K9" s="244" t="e">
        <f t="shared" si="2"/>
        <v>#NUM!</v>
      </c>
      <c r="L9" s="246">
        <f>K2</f>
        <v>0</v>
      </c>
      <c r="M9" s="246">
        <f t="shared" si="3"/>
        <v>0</v>
      </c>
      <c r="N9" s="227"/>
      <c r="O9" s="227"/>
      <c r="P9" s="227"/>
      <c r="Q9" s="227"/>
      <c r="R9" s="227"/>
      <c r="V9" s="247"/>
      <c r="Z9" s="248"/>
      <c r="AA9" s="248"/>
      <c r="AG9" s="249"/>
      <c r="AH9" s="232" t="s">
        <v>53</v>
      </c>
      <c r="AI9" s="232">
        <v>23</v>
      </c>
    </row>
    <row r="10" spans="1:36" ht="14.45" customHeight="1" x14ac:dyDescent="0.25">
      <c r="A10" s="102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241">
        <v>5</v>
      </c>
      <c r="I10" s="242" t="str">
        <f t="shared" si="1"/>
        <v/>
      </c>
      <c r="J10" s="241" t="e">
        <f t="shared" si="5"/>
        <v>#NUM!</v>
      </c>
      <c r="K10" s="241" t="e">
        <f t="shared" si="2"/>
        <v>#NUM!</v>
      </c>
      <c r="L10" s="241"/>
      <c r="M10" s="243">
        <f t="shared" si="3"/>
        <v>0</v>
      </c>
      <c r="V10" s="247"/>
      <c r="Z10" s="248"/>
      <c r="AA10" s="248"/>
      <c r="AG10" s="249"/>
      <c r="AH10" s="232" t="s">
        <v>55</v>
      </c>
      <c r="AI10" s="232">
        <v>45</v>
      </c>
    </row>
    <row r="11" spans="1:36" ht="14.45" customHeight="1" x14ac:dyDescent="0.25">
      <c r="A11" s="106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244">
        <v>6</v>
      </c>
      <c r="I11" s="245" t="str">
        <f t="shared" si="1"/>
        <v/>
      </c>
      <c r="J11" s="244" t="e">
        <f t="shared" si="5"/>
        <v>#NUM!</v>
      </c>
      <c r="K11" s="244" t="e">
        <f t="shared" si="2"/>
        <v>#NUM!</v>
      </c>
      <c r="L11" s="244"/>
      <c r="M11" s="246">
        <f t="shared" si="3"/>
        <v>0</v>
      </c>
      <c r="V11" s="250"/>
      <c r="Z11" s="248"/>
      <c r="AA11" s="248"/>
      <c r="AG11" s="249"/>
      <c r="AH11" s="232" t="s">
        <v>57</v>
      </c>
      <c r="AI11" s="232">
        <v>50</v>
      </c>
    </row>
    <row r="12" spans="1:36" ht="14.45" customHeight="1" x14ac:dyDescent="0.25">
      <c r="A12" s="102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241">
        <v>7</v>
      </c>
      <c r="I12" s="242" t="str">
        <f t="shared" si="1"/>
        <v/>
      </c>
      <c r="J12" s="241" t="e">
        <f t="shared" si="5"/>
        <v>#NUM!</v>
      </c>
      <c r="K12" s="241" t="e">
        <f t="shared" si="2"/>
        <v>#NUM!</v>
      </c>
      <c r="L12" s="241"/>
      <c r="M12" s="243">
        <f t="shared" si="3"/>
        <v>0</v>
      </c>
      <c r="Z12" s="248"/>
      <c r="AA12" s="248"/>
      <c r="AG12" s="249"/>
      <c r="AH12" s="232" t="s">
        <v>58</v>
      </c>
      <c r="AI12" s="232">
        <f>AI11-1</f>
        <v>49</v>
      </c>
    </row>
    <row r="13" spans="1:36" ht="14.45" customHeight="1" x14ac:dyDescent="0.25">
      <c r="A13" s="106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244">
        <v>8</v>
      </c>
      <c r="I13" s="245" t="str">
        <f t="shared" si="1"/>
        <v/>
      </c>
      <c r="J13" s="244" t="e">
        <f t="shared" si="5"/>
        <v>#NUM!</v>
      </c>
      <c r="K13" s="244" t="e">
        <f t="shared" si="2"/>
        <v>#NUM!</v>
      </c>
      <c r="L13" s="244"/>
      <c r="M13" s="246">
        <f t="shared" si="3"/>
        <v>0</v>
      </c>
      <c r="X13" s="247"/>
      <c r="AG13" s="249"/>
      <c r="AH13" s="232" t="s">
        <v>59</v>
      </c>
      <c r="AI13" s="232">
        <f>LOG(AI9)</f>
        <v>1.3617278360175928</v>
      </c>
    </row>
    <row r="14" spans="1:36" x14ac:dyDescent="0.25">
      <c r="A14" s="102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241">
        <v>9</v>
      </c>
      <c r="I14" s="242" t="str">
        <f t="shared" si="1"/>
        <v/>
      </c>
      <c r="J14" s="241" t="e">
        <f t="shared" si="5"/>
        <v>#NUM!</v>
      </c>
      <c r="K14" s="241" t="e">
        <f t="shared" si="2"/>
        <v>#NUM!</v>
      </c>
      <c r="L14" s="241"/>
      <c r="M14" s="243">
        <f t="shared" si="3"/>
        <v>0</v>
      </c>
      <c r="X14" s="251"/>
      <c r="Z14" s="248"/>
      <c r="AA14" s="248"/>
      <c r="AG14" s="249"/>
      <c r="AH14" s="232" t="s">
        <v>65</v>
      </c>
      <c r="AI14" s="232">
        <f>LOG(AI10)</f>
        <v>1.6532125137753437</v>
      </c>
    </row>
    <row r="15" spans="1:36" x14ac:dyDescent="0.25">
      <c r="A15" s="106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244">
        <v>10</v>
      </c>
      <c r="I15" s="245" t="str">
        <f t="shared" si="1"/>
        <v/>
      </c>
      <c r="J15" s="244" t="e">
        <f t="shared" si="5"/>
        <v>#NUM!</v>
      </c>
      <c r="K15" s="244" t="e">
        <f t="shared" si="2"/>
        <v>#NUM!</v>
      </c>
      <c r="L15" s="244"/>
      <c r="M15" s="246">
        <f t="shared" si="3"/>
        <v>0</v>
      </c>
      <c r="X15" s="247"/>
      <c r="Z15" s="248"/>
      <c r="AA15" s="248"/>
    </row>
    <row r="16" spans="1:36" x14ac:dyDescent="0.25">
      <c r="A16" s="102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241">
        <v>11</v>
      </c>
      <c r="I16" s="242" t="str">
        <f t="shared" si="1"/>
        <v/>
      </c>
      <c r="J16" s="241" t="e">
        <f t="shared" si="5"/>
        <v>#NUM!</v>
      </c>
      <c r="K16" s="241" t="e">
        <f t="shared" si="2"/>
        <v>#NUM!</v>
      </c>
      <c r="L16" s="241"/>
      <c r="M16" s="243">
        <f t="shared" si="3"/>
        <v>0</v>
      </c>
      <c r="R16" s="252"/>
      <c r="Z16" s="248"/>
      <c r="AA16" s="248"/>
      <c r="AH16" s="253" t="s">
        <v>61</v>
      </c>
      <c r="AI16" s="232">
        <f>AI11-AI12*AI13/AI14</f>
        <v>9.6393909380186855</v>
      </c>
      <c r="AJ16" s="232" t="s">
        <v>62</v>
      </c>
    </row>
    <row r="17" spans="1:19" x14ac:dyDescent="0.25">
      <c r="A17" s="106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244">
        <v>12</v>
      </c>
      <c r="I17" s="245" t="str">
        <f t="shared" si="1"/>
        <v/>
      </c>
      <c r="J17" s="244" t="e">
        <f t="shared" si="5"/>
        <v>#NUM!</v>
      </c>
      <c r="K17" s="244" t="e">
        <f t="shared" si="2"/>
        <v>#NUM!</v>
      </c>
      <c r="L17" s="244"/>
      <c r="M17" s="246">
        <f t="shared" si="3"/>
        <v>0</v>
      </c>
    </row>
    <row r="18" spans="1:19" x14ac:dyDescent="0.25">
      <c r="A18" s="102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241">
        <v>13</v>
      </c>
      <c r="I18" s="242" t="str">
        <f t="shared" si="1"/>
        <v/>
      </c>
      <c r="J18" s="241" t="e">
        <f t="shared" si="5"/>
        <v>#NUM!</v>
      </c>
      <c r="K18" s="241" t="e">
        <f t="shared" si="2"/>
        <v>#NUM!</v>
      </c>
      <c r="L18" s="241"/>
      <c r="M18" s="243">
        <f t="shared" si="3"/>
        <v>0</v>
      </c>
    </row>
    <row r="19" spans="1:19" x14ac:dyDescent="0.25">
      <c r="A19" s="106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244">
        <v>14</v>
      </c>
      <c r="I19" s="245" t="str">
        <f t="shared" si="1"/>
        <v/>
      </c>
      <c r="J19" s="244" t="e">
        <f t="shared" si="5"/>
        <v>#NUM!</v>
      </c>
      <c r="K19" s="244" t="e">
        <f t="shared" si="2"/>
        <v>#NUM!</v>
      </c>
      <c r="L19" s="244"/>
      <c r="M19" s="246">
        <f t="shared" si="3"/>
        <v>0</v>
      </c>
    </row>
    <row r="20" spans="1:19" x14ac:dyDescent="0.25">
      <c r="A20" s="102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241">
        <v>15</v>
      </c>
      <c r="I20" s="242" t="str">
        <f t="shared" si="1"/>
        <v/>
      </c>
      <c r="J20" s="241" t="e">
        <f t="shared" si="5"/>
        <v>#NUM!</v>
      </c>
      <c r="K20" s="241" t="e">
        <f t="shared" si="2"/>
        <v>#NUM!</v>
      </c>
      <c r="L20" s="241"/>
      <c r="M20" s="243">
        <f t="shared" si="3"/>
        <v>0</v>
      </c>
      <c r="R20" s="254"/>
      <c r="S20" s="255"/>
    </row>
    <row r="21" spans="1:19" x14ac:dyDescent="0.25">
      <c r="A21" s="106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244">
        <v>16</v>
      </c>
      <c r="I21" s="245" t="str">
        <f t="shared" si="1"/>
        <v/>
      </c>
      <c r="J21" s="244" t="e">
        <f t="shared" si="5"/>
        <v>#NUM!</v>
      </c>
      <c r="K21" s="244" t="e">
        <f t="shared" si="2"/>
        <v>#NUM!</v>
      </c>
      <c r="L21" s="244"/>
      <c r="M21" s="246">
        <f t="shared" si="3"/>
        <v>0</v>
      </c>
    </row>
    <row r="22" spans="1:19" x14ac:dyDescent="0.25">
      <c r="A22" s="102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241">
        <v>17</v>
      </c>
      <c r="I22" s="242" t="str">
        <f t="shared" si="1"/>
        <v/>
      </c>
      <c r="J22" s="241" t="e">
        <f t="shared" si="5"/>
        <v>#NUM!</v>
      </c>
      <c r="K22" s="241" t="e">
        <f t="shared" si="2"/>
        <v>#NUM!</v>
      </c>
      <c r="L22" s="241"/>
      <c r="M22" s="243">
        <f t="shared" si="3"/>
        <v>0</v>
      </c>
    </row>
    <row r="23" spans="1:19" x14ac:dyDescent="0.25">
      <c r="A23" s="106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244">
        <v>18</v>
      </c>
      <c r="I23" s="245" t="str">
        <f t="shared" si="1"/>
        <v/>
      </c>
      <c r="J23" s="244" t="e">
        <f t="shared" si="5"/>
        <v>#NUM!</v>
      </c>
      <c r="K23" s="244" t="e">
        <f t="shared" si="2"/>
        <v>#NUM!</v>
      </c>
      <c r="L23" s="244"/>
      <c r="M23" s="246">
        <f t="shared" si="3"/>
        <v>0</v>
      </c>
    </row>
    <row r="24" spans="1:19" x14ac:dyDescent="0.25">
      <c r="A24" s="102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241">
        <v>19</v>
      </c>
      <c r="I24" s="242" t="str">
        <f t="shared" si="1"/>
        <v/>
      </c>
      <c r="J24" s="241" t="e">
        <f t="shared" si="5"/>
        <v>#NUM!</v>
      </c>
      <c r="K24" s="241" t="e">
        <f t="shared" si="2"/>
        <v>#NUM!</v>
      </c>
      <c r="L24" s="241"/>
      <c r="M24" s="243">
        <f t="shared" si="3"/>
        <v>0</v>
      </c>
      <c r="R24" s="254"/>
      <c r="S24" s="255"/>
    </row>
    <row r="25" spans="1:19" x14ac:dyDescent="0.25">
      <c r="A25" s="106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244">
        <v>20</v>
      </c>
      <c r="I25" s="245" t="str">
        <f t="shared" si="1"/>
        <v/>
      </c>
      <c r="J25" s="244" t="e">
        <f t="shared" si="5"/>
        <v>#NUM!</v>
      </c>
      <c r="K25" s="244" t="e">
        <f t="shared" si="2"/>
        <v>#NUM!</v>
      </c>
      <c r="L25" s="244"/>
      <c r="M25" s="246">
        <f t="shared" si="3"/>
        <v>0</v>
      </c>
    </row>
    <row r="26" spans="1:19" x14ac:dyDescent="0.25">
      <c r="A26" s="102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241">
        <v>21</v>
      </c>
      <c r="I26" s="242" t="str">
        <f t="shared" si="1"/>
        <v/>
      </c>
      <c r="J26" s="241" t="e">
        <f t="shared" si="5"/>
        <v>#NUM!</v>
      </c>
      <c r="K26" s="241" t="e">
        <f t="shared" si="2"/>
        <v>#NUM!</v>
      </c>
      <c r="L26" s="241"/>
      <c r="M26" s="243">
        <f t="shared" si="3"/>
        <v>0</v>
      </c>
    </row>
    <row r="27" spans="1:19" x14ac:dyDescent="0.25">
      <c r="A27" s="106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244">
        <v>22</v>
      </c>
      <c r="I27" s="245" t="str">
        <f t="shared" si="1"/>
        <v/>
      </c>
      <c r="J27" s="244" t="e">
        <f t="shared" si="5"/>
        <v>#NUM!</v>
      </c>
      <c r="K27" s="244" t="e">
        <f t="shared" si="2"/>
        <v>#NUM!</v>
      </c>
      <c r="L27" s="244"/>
      <c r="M27" s="246">
        <f t="shared" si="3"/>
        <v>0</v>
      </c>
    </row>
    <row r="28" spans="1:19" x14ac:dyDescent="0.25">
      <c r="A28" s="102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241">
        <v>23</v>
      </c>
      <c r="I28" s="242" t="str">
        <f t="shared" si="1"/>
        <v/>
      </c>
      <c r="J28" s="241" t="e">
        <f t="shared" si="5"/>
        <v>#NUM!</v>
      </c>
      <c r="K28" s="241" t="e">
        <f t="shared" si="2"/>
        <v>#NUM!</v>
      </c>
      <c r="L28" s="241"/>
      <c r="M28" s="243">
        <f t="shared" si="3"/>
        <v>0</v>
      </c>
      <c r="R28" s="254"/>
      <c r="S28" s="255"/>
    </row>
    <row r="29" spans="1:19" x14ac:dyDescent="0.25">
      <c r="A29" s="106">
        <f t="shared" si="4"/>
        <v>0</v>
      </c>
      <c r="B29" s="42" t="str">
        <f t="shared" si="0"/>
        <v/>
      </c>
      <c r="C29" s="43"/>
      <c r="D29" s="43"/>
      <c r="E29" s="43"/>
      <c r="F29" s="43"/>
      <c r="G29" s="227"/>
      <c r="H29" s="244">
        <v>24</v>
      </c>
      <c r="I29" s="245" t="str">
        <f t="shared" si="1"/>
        <v/>
      </c>
      <c r="J29" s="244" t="e">
        <f t="shared" si="5"/>
        <v>#NUM!</v>
      </c>
      <c r="K29" s="244" t="e">
        <f t="shared" si="2"/>
        <v>#NUM!</v>
      </c>
      <c r="L29" s="244"/>
      <c r="M29" s="246">
        <f t="shared" si="3"/>
        <v>0</v>
      </c>
    </row>
    <row r="30" spans="1:19" x14ac:dyDescent="0.25">
      <c r="A30" s="102">
        <f t="shared" si="4"/>
        <v>0</v>
      </c>
      <c r="B30" s="36" t="str">
        <f t="shared" si="0"/>
        <v/>
      </c>
      <c r="C30" s="37"/>
      <c r="D30" s="37"/>
      <c r="E30" s="37"/>
      <c r="F30" s="37"/>
      <c r="G30" s="227"/>
      <c r="H30" s="241">
        <v>25</v>
      </c>
      <c r="I30" s="242" t="str">
        <f t="shared" si="1"/>
        <v/>
      </c>
      <c r="J30" s="241" t="e">
        <f t="shared" si="5"/>
        <v>#NUM!</v>
      </c>
      <c r="K30" s="241" t="e">
        <f t="shared" si="2"/>
        <v>#NUM!</v>
      </c>
      <c r="L30" s="241"/>
      <c r="M30" s="243">
        <f t="shared" si="3"/>
        <v>0</v>
      </c>
    </row>
    <row r="31" spans="1:19" x14ac:dyDescent="0.25">
      <c r="A31" s="106">
        <f t="shared" si="4"/>
        <v>0</v>
      </c>
      <c r="B31" s="42" t="str">
        <f t="shared" si="0"/>
        <v/>
      </c>
      <c r="C31" s="43"/>
      <c r="D31" s="43"/>
      <c r="E31" s="43"/>
      <c r="F31" s="43"/>
      <c r="G31" s="227"/>
      <c r="H31" s="244">
        <v>26</v>
      </c>
      <c r="I31" s="245" t="str">
        <f t="shared" si="1"/>
        <v/>
      </c>
      <c r="J31" s="244" t="e">
        <f t="shared" si="5"/>
        <v>#NUM!</v>
      </c>
      <c r="K31" s="244" t="e">
        <f t="shared" si="2"/>
        <v>#NUM!</v>
      </c>
      <c r="L31" s="244"/>
      <c r="M31" s="246">
        <f t="shared" si="3"/>
        <v>0</v>
      </c>
    </row>
    <row r="32" spans="1:19" x14ac:dyDescent="0.25">
      <c r="A32" s="102">
        <f t="shared" si="4"/>
        <v>0</v>
      </c>
      <c r="B32" s="36" t="str">
        <f t="shared" si="0"/>
        <v/>
      </c>
      <c r="C32" s="37"/>
      <c r="D32" s="37"/>
      <c r="E32" s="37"/>
      <c r="F32" s="37"/>
      <c r="G32" s="227"/>
      <c r="H32" s="241">
        <v>27</v>
      </c>
      <c r="I32" s="242" t="str">
        <f t="shared" si="1"/>
        <v/>
      </c>
      <c r="J32" s="241" t="e">
        <f t="shared" si="5"/>
        <v>#NUM!</v>
      </c>
      <c r="K32" s="241" t="e">
        <f t="shared" si="2"/>
        <v>#NUM!</v>
      </c>
      <c r="L32" s="241"/>
      <c r="M32" s="243">
        <f t="shared" si="3"/>
        <v>0</v>
      </c>
      <c r="R32" s="254"/>
      <c r="S32" s="255"/>
    </row>
    <row r="33" spans="1:19" x14ac:dyDescent="0.25">
      <c r="A33" s="106">
        <f t="shared" si="4"/>
        <v>0</v>
      </c>
      <c r="B33" s="42" t="str">
        <f t="shared" si="0"/>
        <v/>
      </c>
      <c r="C33" s="43"/>
      <c r="D33" s="43"/>
      <c r="E33" s="43"/>
      <c r="F33" s="43"/>
      <c r="G33" s="227"/>
      <c r="H33" s="244">
        <v>28</v>
      </c>
      <c r="I33" s="245" t="str">
        <f t="shared" si="1"/>
        <v/>
      </c>
      <c r="J33" s="244" t="e">
        <f t="shared" si="5"/>
        <v>#NUM!</v>
      </c>
      <c r="K33" s="244" t="e">
        <f t="shared" si="2"/>
        <v>#NUM!</v>
      </c>
      <c r="L33" s="244"/>
      <c r="M33" s="246">
        <f t="shared" si="3"/>
        <v>0</v>
      </c>
    </row>
    <row r="34" spans="1:19" x14ac:dyDescent="0.25">
      <c r="A34" s="102">
        <f t="shared" si="4"/>
        <v>0</v>
      </c>
      <c r="B34" s="36" t="str">
        <f t="shared" si="0"/>
        <v/>
      </c>
      <c r="C34" s="37"/>
      <c r="D34" s="37"/>
      <c r="E34" s="37"/>
      <c r="F34" s="37"/>
      <c r="G34" s="227"/>
      <c r="H34" s="241">
        <v>29</v>
      </c>
      <c r="I34" s="242" t="str">
        <f t="shared" si="1"/>
        <v/>
      </c>
      <c r="J34" s="241" t="e">
        <f t="shared" si="5"/>
        <v>#NUM!</v>
      </c>
      <c r="K34" s="241" t="e">
        <f t="shared" si="2"/>
        <v>#NUM!</v>
      </c>
      <c r="L34" s="241"/>
      <c r="M34" s="243">
        <f t="shared" si="3"/>
        <v>0</v>
      </c>
    </row>
    <row r="35" spans="1:19" x14ac:dyDescent="0.25">
      <c r="A35" s="106">
        <f t="shared" si="4"/>
        <v>0</v>
      </c>
      <c r="B35" s="42" t="str">
        <f t="shared" si="0"/>
        <v/>
      </c>
      <c r="C35" s="43"/>
      <c r="D35" s="43"/>
      <c r="E35" s="43"/>
      <c r="F35" s="43"/>
      <c r="G35" s="227"/>
      <c r="H35" s="244">
        <v>30</v>
      </c>
      <c r="I35" s="245" t="str">
        <f t="shared" si="1"/>
        <v/>
      </c>
      <c r="J35" s="244" t="e">
        <f t="shared" si="5"/>
        <v>#NUM!</v>
      </c>
      <c r="K35" s="244" t="e">
        <f t="shared" si="2"/>
        <v>#NUM!</v>
      </c>
      <c r="L35" s="244"/>
      <c r="M35" s="246">
        <f t="shared" si="3"/>
        <v>0</v>
      </c>
    </row>
    <row r="36" spans="1:19" x14ac:dyDescent="0.25">
      <c r="A36" s="102">
        <f t="shared" si="4"/>
        <v>0</v>
      </c>
      <c r="B36" s="36" t="str">
        <f t="shared" si="0"/>
        <v/>
      </c>
      <c r="C36" s="37"/>
      <c r="D36" s="37"/>
      <c r="E36" s="37"/>
      <c r="F36" s="37"/>
      <c r="G36" s="227"/>
      <c r="H36" s="241">
        <v>31</v>
      </c>
      <c r="I36" s="242" t="str">
        <f t="shared" si="1"/>
        <v/>
      </c>
      <c r="J36" s="241" t="e">
        <f t="shared" si="5"/>
        <v>#NUM!</v>
      </c>
      <c r="K36" s="241" t="e">
        <f t="shared" si="2"/>
        <v>#NUM!</v>
      </c>
      <c r="L36" s="241"/>
      <c r="M36" s="243">
        <f t="shared" si="3"/>
        <v>0</v>
      </c>
      <c r="R36" s="254"/>
      <c r="S36" s="255"/>
    </row>
    <row r="37" spans="1:19" x14ac:dyDescent="0.25">
      <c r="A37" s="106">
        <f t="shared" si="4"/>
        <v>0</v>
      </c>
      <c r="B37" s="42" t="str">
        <f t="shared" si="0"/>
        <v/>
      </c>
      <c r="C37" s="43"/>
      <c r="D37" s="43"/>
      <c r="E37" s="43"/>
      <c r="F37" s="43"/>
      <c r="G37" s="227"/>
      <c r="H37" s="244">
        <v>32</v>
      </c>
      <c r="I37" s="245" t="str">
        <f t="shared" si="1"/>
        <v/>
      </c>
      <c r="J37" s="244" t="e">
        <f t="shared" si="5"/>
        <v>#NUM!</v>
      </c>
      <c r="K37" s="244" t="e">
        <f t="shared" si="2"/>
        <v>#NUM!</v>
      </c>
      <c r="L37" s="244"/>
      <c r="M37" s="246">
        <f t="shared" si="3"/>
        <v>0</v>
      </c>
    </row>
    <row r="38" spans="1:19" x14ac:dyDescent="0.25">
      <c r="A38" s="102">
        <f t="shared" si="4"/>
        <v>0</v>
      </c>
      <c r="B38" s="36" t="str">
        <f t="shared" si="0"/>
        <v/>
      </c>
      <c r="C38" s="37"/>
      <c r="D38" s="37"/>
      <c r="E38" s="37"/>
      <c r="F38" s="37"/>
      <c r="G38" s="227"/>
      <c r="H38" s="241">
        <v>33</v>
      </c>
      <c r="I38" s="242" t="str">
        <f t="shared" si="1"/>
        <v/>
      </c>
      <c r="J38" s="241" t="e">
        <f t="shared" si="5"/>
        <v>#NUM!</v>
      </c>
      <c r="K38" s="241" t="e">
        <f t="shared" si="2"/>
        <v>#NUM!</v>
      </c>
      <c r="L38" s="241"/>
      <c r="M38" s="243">
        <f t="shared" si="3"/>
        <v>0</v>
      </c>
    </row>
    <row r="39" spans="1:19" x14ac:dyDescent="0.25">
      <c r="A39" s="106">
        <f t="shared" si="4"/>
        <v>0</v>
      </c>
      <c r="B39" s="42" t="str">
        <f t="shared" si="0"/>
        <v/>
      </c>
      <c r="C39" s="43"/>
      <c r="D39" s="43"/>
      <c r="E39" s="43"/>
      <c r="F39" s="43"/>
      <c r="G39" s="227"/>
      <c r="H39" s="244">
        <v>34</v>
      </c>
      <c r="I39" s="245" t="str">
        <f t="shared" si="1"/>
        <v/>
      </c>
      <c r="J39" s="244" t="e">
        <f t="shared" si="5"/>
        <v>#NUM!</v>
      </c>
      <c r="K39" s="244" t="e">
        <f t="shared" si="2"/>
        <v>#NUM!</v>
      </c>
      <c r="L39" s="244"/>
      <c r="M39" s="246">
        <f t="shared" si="3"/>
        <v>0</v>
      </c>
    </row>
    <row r="40" spans="1:19" x14ac:dyDescent="0.25">
      <c r="A40" s="102">
        <f t="shared" si="4"/>
        <v>0</v>
      </c>
      <c r="B40" s="36" t="str">
        <f t="shared" si="0"/>
        <v/>
      </c>
      <c r="C40" s="37"/>
      <c r="D40" s="37"/>
      <c r="E40" s="37"/>
      <c r="F40" s="37"/>
      <c r="G40" s="227"/>
      <c r="H40" s="241">
        <v>35</v>
      </c>
      <c r="I40" s="242" t="str">
        <f t="shared" si="1"/>
        <v/>
      </c>
      <c r="J40" s="241" t="e">
        <f t="shared" si="5"/>
        <v>#NUM!</v>
      </c>
      <c r="K40" s="241" t="e">
        <f t="shared" si="2"/>
        <v>#NUM!</v>
      </c>
      <c r="L40" s="241"/>
      <c r="M40" s="243">
        <f t="shared" si="3"/>
        <v>0</v>
      </c>
    </row>
    <row r="41" spans="1:19" x14ac:dyDescent="0.25">
      <c r="A41" s="106">
        <f t="shared" si="4"/>
        <v>0</v>
      </c>
      <c r="B41" s="42" t="str">
        <f t="shared" si="0"/>
        <v/>
      </c>
      <c r="C41" s="43"/>
      <c r="D41" s="43"/>
      <c r="E41" s="43"/>
      <c r="F41" s="43"/>
      <c r="G41" s="227"/>
      <c r="H41" s="244">
        <v>36</v>
      </c>
      <c r="I41" s="245" t="str">
        <f t="shared" si="1"/>
        <v/>
      </c>
      <c r="J41" s="244" t="e">
        <f t="shared" si="5"/>
        <v>#NUM!</v>
      </c>
      <c r="K41" s="244" t="e">
        <f t="shared" si="2"/>
        <v>#NUM!</v>
      </c>
      <c r="L41" s="244"/>
      <c r="M41" s="246">
        <f t="shared" si="3"/>
        <v>0</v>
      </c>
      <c r="S41" s="256"/>
    </row>
    <row r="42" spans="1:19" x14ac:dyDescent="0.25">
      <c r="A42" s="102">
        <f t="shared" si="4"/>
        <v>0</v>
      </c>
      <c r="B42" s="36" t="str">
        <f t="shared" si="0"/>
        <v/>
      </c>
      <c r="C42" s="37"/>
      <c r="D42" s="37"/>
      <c r="E42" s="37"/>
      <c r="F42" s="37"/>
      <c r="G42" s="227"/>
      <c r="H42" s="241">
        <v>37</v>
      </c>
      <c r="I42" s="242" t="str">
        <f t="shared" si="1"/>
        <v/>
      </c>
      <c r="J42" s="241" t="e">
        <f t="shared" si="5"/>
        <v>#NUM!</v>
      </c>
      <c r="K42" s="241" t="e">
        <f t="shared" si="2"/>
        <v>#NUM!</v>
      </c>
      <c r="L42" s="241"/>
      <c r="M42" s="243">
        <f t="shared" si="3"/>
        <v>0</v>
      </c>
    </row>
    <row r="43" spans="1:19" x14ac:dyDescent="0.25">
      <c r="A43" s="106">
        <f t="shared" si="4"/>
        <v>0</v>
      </c>
      <c r="B43" s="42" t="str">
        <f t="shared" si="0"/>
        <v/>
      </c>
      <c r="C43" s="43"/>
      <c r="D43" s="43"/>
      <c r="E43" s="43"/>
      <c r="F43" s="43"/>
      <c r="G43" s="227"/>
      <c r="H43" s="244">
        <v>38</v>
      </c>
      <c r="I43" s="245" t="str">
        <f t="shared" si="1"/>
        <v/>
      </c>
      <c r="J43" s="244" t="e">
        <f t="shared" si="5"/>
        <v>#NUM!</v>
      </c>
      <c r="K43" s="244" t="e">
        <f t="shared" si="2"/>
        <v>#NUM!</v>
      </c>
      <c r="L43" s="244"/>
      <c r="M43" s="246">
        <f t="shared" si="3"/>
        <v>0</v>
      </c>
    </row>
    <row r="44" spans="1:19" x14ac:dyDescent="0.25">
      <c r="A44" s="102">
        <f t="shared" si="4"/>
        <v>0</v>
      </c>
      <c r="B44" s="36" t="str">
        <f t="shared" si="0"/>
        <v/>
      </c>
      <c r="C44" s="37"/>
      <c r="D44" s="37"/>
      <c r="E44" s="37"/>
      <c r="F44" s="37"/>
      <c r="G44" s="227"/>
      <c r="H44" s="241">
        <v>39</v>
      </c>
      <c r="I44" s="242" t="str">
        <f t="shared" si="1"/>
        <v/>
      </c>
      <c r="J44" s="241" t="e">
        <f t="shared" si="5"/>
        <v>#NUM!</v>
      </c>
      <c r="K44" s="241" t="e">
        <f t="shared" si="2"/>
        <v>#NUM!</v>
      </c>
      <c r="L44" s="241"/>
      <c r="M44" s="243">
        <f t="shared" si="3"/>
        <v>0</v>
      </c>
    </row>
    <row r="45" spans="1:19" x14ac:dyDescent="0.25">
      <c r="A45" s="106">
        <f t="shared" si="4"/>
        <v>0</v>
      </c>
      <c r="B45" s="42" t="str">
        <f t="shared" si="0"/>
        <v/>
      </c>
      <c r="C45" s="43"/>
      <c r="D45" s="43"/>
      <c r="E45" s="43"/>
      <c r="F45" s="43"/>
      <c r="G45" s="227"/>
      <c r="H45" s="244">
        <v>40</v>
      </c>
      <c r="I45" s="245" t="str">
        <f t="shared" si="1"/>
        <v/>
      </c>
      <c r="J45" s="244" t="e">
        <f t="shared" si="5"/>
        <v>#NUM!</v>
      </c>
      <c r="K45" s="244" t="e">
        <f t="shared" si="2"/>
        <v>#NUM!</v>
      </c>
      <c r="L45" s="244"/>
      <c r="M45" s="246">
        <f t="shared" si="3"/>
        <v>0</v>
      </c>
    </row>
    <row r="46" spans="1:19" x14ac:dyDescent="0.25">
      <c r="A46" s="102">
        <f t="shared" si="4"/>
        <v>0</v>
      </c>
      <c r="B46" s="36" t="str">
        <f t="shared" si="0"/>
        <v/>
      </c>
      <c r="C46" s="37"/>
      <c r="D46" s="37"/>
      <c r="E46" s="37"/>
      <c r="F46" s="37"/>
      <c r="G46" s="227"/>
      <c r="H46" s="241">
        <v>41</v>
      </c>
      <c r="I46" s="242" t="str">
        <f t="shared" si="1"/>
        <v/>
      </c>
      <c r="J46" s="241" t="e">
        <f t="shared" si="5"/>
        <v>#NUM!</v>
      </c>
      <c r="K46" s="241" t="e">
        <f t="shared" si="2"/>
        <v>#NUM!</v>
      </c>
      <c r="L46" s="241"/>
      <c r="M46" s="243">
        <f t="shared" si="3"/>
        <v>0</v>
      </c>
    </row>
    <row r="47" spans="1:19" x14ac:dyDescent="0.25">
      <c r="A47" s="106">
        <f t="shared" si="4"/>
        <v>0</v>
      </c>
      <c r="B47" s="42" t="str">
        <f t="shared" si="0"/>
        <v/>
      </c>
      <c r="C47" s="43"/>
      <c r="D47" s="43"/>
      <c r="E47" s="43"/>
      <c r="F47" s="43"/>
      <c r="G47" s="227"/>
      <c r="H47" s="244">
        <v>42</v>
      </c>
      <c r="I47" s="245" t="str">
        <f t="shared" si="1"/>
        <v/>
      </c>
      <c r="J47" s="244" t="e">
        <f t="shared" si="5"/>
        <v>#NUM!</v>
      </c>
      <c r="K47" s="244" t="e">
        <f t="shared" si="2"/>
        <v>#NUM!</v>
      </c>
      <c r="L47" s="244"/>
      <c r="M47" s="246">
        <f t="shared" si="3"/>
        <v>0</v>
      </c>
    </row>
    <row r="48" spans="1:19" x14ac:dyDescent="0.25">
      <c r="A48" s="102">
        <f t="shared" si="4"/>
        <v>0</v>
      </c>
      <c r="B48" s="36" t="str">
        <f t="shared" si="0"/>
        <v/>
      </c>
      <c r="C48" s="37"/>
      <c r="D48" s="37"/>
      <c r="E48" s="37"/>
      <c r="F48" s="37"/>
      <c r="G48" s="227"/>
      <c r="H48" s="241">
        <v>43</v>
      </c>
      <c r="I48" s="242" t="str">
        <f t="shared" si="1"/>
        <v/>
      </c>
      <c r="J48" s="241" t="e">
        <f t="shared" si="5"/>
        <v>#NUM!</v>
      </c>
      <c r="K48" s="241" t="e">
        <f t="shared" si="2"/>
        <v>#NUM!</v>
      </c>
      <c r="L48" s="241"/>
      <c r="M48" s="243">
        <f t="shared" si="3"/>
        <v>0</v>
      </c>
    </row>
    <row r="49" spans="1:38" x14ac:dyDescent="0.25">
      <c r="A49" s="106">
        <f t="shared" si="4"/>
        <v>0</v>
      </c>
      <c r="B49" s="42" t="str">
        <f t="shared" si="0"/>
        <v/>
      </c>
      <c r="C49" s="43"/>
      <c r="D49" s="43"/>
      <c r="E49" s="43"/>
      <c r="F49" s="43"/>
      <c r="G49" s="227"/>
      <c r="H49" s="244">
        <v>44</v>
      </c>
      <c r="I49" s="245" t="str">
        <f t="shared" si="1"/>
        <v/>
      </c>
      <c r="J49" s="244" t="e">
        <f t="shared" si="5"/>
        <v>#NUM!</v>
      </c>
      <c r="K49" s="244" t="e">
        <f t="shared" si="2"/>
        <v>#NUM!</v>
      </c>
      <c r="L49" s="244"/>
      <c r="M49" s="246">
        <f t="shared" si="3"/>
        <v>0</v>
      </c>
    </row>
    <row r="50" spans="1:38" x14ac:dyDescent="0.25">
      <c r="A50" s="102">
        <f t="shared" si="4"/>
        <v>0</v>
      </c>
      <c r="B50" s="36" t="str">
        <f t="shared" si="0"/>
        <v/>
      </c>
      <c r="C50" s="37"/>
      <c r="D50" s="37"/>
      <c r="E50" s="37"/>
      <c r="F50" s="37"/>
      <c r="G50" s="227"/>
      <c r="H50" s="241">
        <v>45</v>
      </c>
      <c r="I50" s="242" t="str">
        <f t="shared" si="1"/>
        <v/>
      </c>
      <c r="J50" s="241" t="e">
        <f t="shared" si="5"/>
        <v>#NUM!</v>
      </c>
      <c r="K50" s="241" t="e">
        <f t="shared" si="2"/>
        <v>#NUM!</v>
      </c>
      <c r="L50" s="241"/>
      <c r="M50" s="243">
        <f t="shared" si="3"/>
        <v>0</v>
      </c>
    </row>
    <row r="51" spans="1:38" x14ac:dyDescent="0.25">
      <c r="A51" s="106">
        <f t="shared" si="4"/>
        <v>0</v>
      </c>
      <c r="B51" s="42" t="str">
        <f t="shared" si="0"/>
        <v/>
      </c>
      <c r="C51" s="43"/>
      <c r="D51" s="43"/>
      <c r="E51" s="43"/>
      <c r="F51" s="43"/>
      <c r="G51" s="227"/>
      <c r="H51" s="244">
        <v>46</v>
      </c>
      <c r="I51" s="245" t="str">
        <f t="shared" si="1"/>
        <v/>
      </c>
      <c r="J51" s="244" t="e">
        <f t="shared" si="5"/>
        <v>#NUM!</v>
      </c>
      <c r="K51" s="244" t="e">
        <f t="shared" si="2"/>
        <v>#NUM!</v>
      </c>
      <c r="L51" s="244"/>
      <c r="M51" s="246">
        <f t="shared" si="3"/>
        <v>0</v>
      </c>
    </row>
    <row r="52" spans="1:38" x14ac:dyDescent="0.25">
      <c r="A52" s="102">
        <f t="shared" si="4"/>
        <v>0</v>
      </c>
      <c r="B52" s="36" t="str">
        <f t="shared" si="0"/>
        <v/>
      </c>
      <c r="C52" s="37"/>
      <c r="D52" s="37"/>
      <c r="E52" s="37"/>
      <c r="F52" s="37"/>
      <c r="G52" s="227"/>
      <c r="H52" s="241">
        <v>47</v>
      </c>
      <c r="I52" s="242" t="str">
        <f t="shared" si="1"/>
        <v/>
      </c>
      <c r="J52" s="241" t="e">
        <f t="shared" si="5"/>
        <v>#NUM!</v>
      </c>
      <c r="K52" s="241" t="e">
        <f t="shared" si="2"/>
        <v>#NUM!</v>
      </c>
      <c r="L52" s="241"/>
      <c r="M52" s="243">
        <f t="shared" si="3"/>
        <v>0</v>
      </c>
    </row>
    <row r="53" spans="1:38" x14ac:dyDescent="0.25">
      <c r="A53" s="106">
        <f t="shared" si="4"/>
        <v>0</v>
      </c>
      <c r="B53" s="42" t="str">
        <f t="shared" si="0"/>
        <v/>
      </c>
      <c r="C53" s="43"/>
      <c r="D53" s="43"/>
      <c r="E53" s="43"/>
      <c r="F53" s="43"/>
      <c r="G53" s="227"/>
      <c r="H53" s="244">
        <v>48</v>
      </c>
      <c r="I53" s="245" t="str">
        <f t="shared" si="1"/>
        <v/>
      </c>
      <c r="J53" s="244" t="e">
        <f t="shared" si="5"/>
        <v>#NUM!</v>
      </c>
      <c r="K53" s="244" t="e">
        <f t="shared" si="2"/>
        <v>#NUM!</v>
      </c>
      <c r="L53" s="244"/>
      <c r="M53" s="246">
        <f t="shared" si="3"/>
        <v>0</v>
      </c>
    </row>
    <row r="54" spans="1:38" x14ac:dyDescent="0.25">
      <c r="A54" s="102">
        <f t="shared" si="4"/>
        <v>0</v>
      </c>
      <c r="B54" s="36" t="str">
        <f t="shared" si="0"/>
        <v/>
      </c>
      <c r="C54" s="37"/>
      <c r="D54" s="37"/>
      <c r="E54" s="37"/>
      <c r="F54" s="37"/>
      <c r="G54" s="227"/>
      <c r="H54" s="241">
        <v>49</v>
      </c>
      <c r="I54" s="242" t="str">
        <f t="shared" si="1"/>
        <v/>
      </c>
      <c r="J54" s="241" t="e">
        <f t="shared" si="5"/>
        <v>#NUM!</v>
      </c>
      <c r="K54" s="241" t="e">
        <f t="shared" si="2"/>
        <v>#NUM!</v>
      </c>
      <c r="L54" s="241"/>
      <c r="M54" s="243">
        <f t="shared" si="3"/>
        <v>0</v>
      </c>
    </row>
    <row r="55" spans="1:38" x14ac:dyDescent="0.25">
      <c r="A55" s="106">
        <f t="shared" si="4"/>
        <v>0</v>
      </c>
      <c r="B55" s="42" t="str">
        <f t="shared" si="0"/>
        <v/>
      </c>
      <c r="C55" s="43"/>
      <c r="D55" s="43"/>
      <c r="E55" s="43"/>
      <c r="F55" s="43"/>
      <c r="G55" s="227"/>
      <c r="H55" s="244">
        <v>50</v>
      </c>
      <c r="I55" s="245" t="str">
        <f t="shared" si="1"/>
        <v/>
      </c>
      <c r="J55" s="244" t="e">
        <f t="shared" si="5"/>
        <v>#NUM!</v>
      </c>
      <c r="K55" s="244" t="e">
        <f t="shared" si="2"/>
        <v>#NUM!</v>
      </c>
      <c r="L55" s="244"/>
      <c r="M55" s="246">
        <f t="shared" si="3"/>
        <v>0</v>
      </c>
    </row>
    <row r="56" spans="1:38" x14ac:dyDescent="0.25">
      <c r="A56" s="102">
        <f t="shared" si="4"/>
        <v>0</v>
      </c>
      <c r="B56" s="36" t="str">
        <f t="shared" si="0"/>
        <v/>
      </c>
      <c r="C56" s="37"/>
      <c r="D56" s="37"/>
      <c r="E56" s="37"/>
      <c r="F56" s="37"/>
      <c r="G56" s="227"/>
      <c r="H56" s="241">
        <v>51</v>
      </c>
      <c r="I56" s="242" t="str">
        <f t="shared" si="1"/>
        <v/>
      </c>
      <c r="J56" s="241" t="e">
        <f t="shared" si="5"/>
        <v>#NUM!</v>
      </c>
      <c r="K56" s="241" t="e">
        <f t="shared" si="2"/>
        <v>#NUM!</v>
      </c>
      <c r="L56" s="241"/>
      <c r="M56" s="243">
        <f t="shared" si="3"/>
        <v>0</v>
      </c>
    </row>
    <row r="57" spans="1:38" s="227" customFormat="1" x14ac:dyDescent="0.25">
      <c r="A57" s="106">
        <f t="shared" si="4"/>
        <v>0</v>
      </c>
      <c r="B57" s="42" t="str">
        <f t="shared" si="0"/>
        <v/>
      </c>
      <c r="C57" s="43"/>
      <c r="D57" s="43"/>
      <c r="E57" s="43"/>
      <c r="F57" s="43"/>
      <c r="H57" s="244">
        <v>52</v>
      </c>
      <c r="I57" s="245" t="str">
        <f t="shared" si="1"/>
        <v/>
      </c>
      <c r="J57" s="244" t="e">
        <f t="shared" si="5"/>
        <v>#NUM!</v>
      </c>
      <c r="K57" s="244" t="e">
        <f t="shared" si="2"/>
        <v>#NUM!</v>
      </c>
      <c r="L57" s="244"/>
      <c r="M57" s="246">
        <f t="shared" si="3"/>
        <v>0</v>
      </c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</row>
    <row r="58" spans="1:38" s="227" customFormat="1" x14ac:dyDescent="0.25">
      <c r="A58" s="102">
        <f t="shared" si="4"/>
        <v>0</v>
      </c>
      <c r="B58" s="36" t="str">
        <f t="shared" si="0"/>
        <v/>
      </c>
      <c r="C58" s="37"/>
      <c r="D58" s="37"/>
      <c r="E58" s="37"/>
      <c r="F58" s="37"/>
      <c r="H58" s="241">
        <v>53</v>
      </c>
      <c r="I58" s="242" t="str">
        <f t="shared" si="1"/>
        <v/>
      </c>
      <c r="J58" s="241" t="e">
        <f t="shared" si="5"/>
        <v>#NUM!</v>
      </c>
      <c r="K58" s="241" t="e">
        <f t="shared" si="2"/>
        <v>#NUM!</v>
      </c>
      <c r="L58" s="241"/>
      <c r="M58" s="243">
        <f t="shared" si="3"/>
        <v>0</v>
      </c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</row>
    <row r="59" spans="1:38" s="227" customFormat="1" x14ac:dyDescent="0.25">
      <c r="A59" s="106">
        <f t="shared" si="4"/>
        <v>0</v>
      </c>
      <c r="B59" s="42" t="str">
        <f t="shared" si="0"/>
        <v/>
      </c>
      <c r="C59" s="43"/>
      <c r="D59" s="43"/>
      <c r="E59" s="43"/>
      <c r="F59" s="43"/>
      <c r="H59" s="244">
        <v>54</v>
      </c>
      <c r="I59" s="245" t="str">
        <f t="shared" si="1"/>
        <v/>
      </c>
      <c r="J59" s="244" t="e">
        <f t="shared" si="5"/>
        <v>#NUM!</v>
      </c>
      <c r="K59" s="244" t="e">
        <f t="shared" si="2"/>
        <v>#NUM!</v>
      </c>
      <c r="L59" s="244"/>
      <c r="M59" s="246">
        <f t="shared" si="3"/>
        <v>0</v>
      </c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</row>
    <row r="60" spans="1:38" s="227" customFormat="1" x14ac:dyDescent="0.25">
      <c r="A60" s="102">
        <f t="shared" si="4"/>
        <v>0</v>
      </c>
      <c r="B60" s="36" t="str">
        <f t="shared" si="0"/>
        <v/>
      </c>
      <c r="C60" s="37"/>
      <c r="D60" s="37"/>
      <c r="E60" s="37"/>
      <c r="F60" s="37"/>
      <c r="H60" s="241">
        <v>55</v>
      </c>
      <c r="I60" s="242" t="str">
        <f t="shared" si="1"/>
        <v/>
      </c>
      <c r="J60" s="241" t="e">
        <f t="shared" si="5"/>
        <v>#NUM!</v>
      </c>
      <c r="K60" s="241" t="e">
        <f t="shared" si="2"/>
        <v>#NUM!</v>
      </c>
      <c r="L60" s="241"/>
      <c r="M60" s="243">
        <f t="shared" si="3"/>
        <v>0</v>
      </c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</row>
    <row r="61" spans="1:38" s="227" customFormat="1" x14ac:dyDescent="0.25">
      <c r="A61" s="106">
        <f t="shared" si="4"/>
        <v>0</v>
      </c>
      <c r="B61" s="42" t="str">
        <f t="shared" si="0"/>
        <v/>
      </c>
      <c r="C61" s="43"/>
      <c r="D61" s="43"/>
      <c r="E61" s="43"/>
      <c r="F61" s="43"/>
      <c r="H61" s="244">
        <v>56</v>
      </c>
      <c r="I61" s="245" t="str">
        <f t="shared" si="1"/>
        <v/>
      </c>
      <c r="J61" s="244" t="e">
        <f t="shared" si="5"/>
        <v>#NUM!</v>
      </c>
      <c r="K61" s="244" t="e">
        <f t="shared" si="2"/>
        <v>#NUM!</v>
      </c>
      <c r="L61" s="244"/>
      <c r="M61" s="246">
        <f t="shared" si="3"/>
        <v>0</v>
      </c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</row>
    <row r="62" spans="1:38" s="227" customFormat="1" x14ac:dyDescent="0.25">
      <c r="A62" s="102">
        <f t="shared" si="4"/>
        <v>0</v>
      </c>
      <c r="B62" s="36" t="str">
        <f t="shared" si="0"/>
        <v/>
      </c>
      <c r="C62" s="37"/>
      <c r="D62" s="37"/>
      <c r="E62" s="37"/>
      <c r="F62" s="37"/>
      <c r="H62" s="241">
        <v>57</v>
      </c>
      <c r="I62" s="242" t="str">
        <f t="shared" si="1"/>
        <v/>
      </c>
      <c r="J62" s="241" t="e">
        <f t="shared" si="5"/>
        <v>#NUM!</v>
      </c>
      <c r="K62" s="241" t="e">
        <f t="shared" si="2"/>
        <v>#NUM!</v>
      </c>
      <c r="L62" s="241"/>
      <c r="M62" s="243">
        <f t="shared" si="3"/>
        <v>0</v>
      </c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</row>
    <row r="63" spans="1:38" s="227" customFormat="1" x14ac:dyDescent="0.25">
      <c r="A63" s="106">
        <f t="shared" si="4"/>
        <v>0</v>
      </c>
      <c r="B63" s="42" t="str">
        <f t="shared" si="0"/>
        <v/>
      </c>
      <c r="C63" s="43"/>
      <c r="D63" s="43"/>
      <c r="E63" s="43"/>
      <c r="F63" s="43"/>
      <c r="H63" s="244">
        <v>58</v>
      </c>
      <c r="I63" s="245" t="str">
        <f t="shared" si="1"/>
        <v/>
      </c>
      <c r="J63" s="244" t="e">
        <f t="shared" si="5"/>
        <v>#NUM!</v>
      </c>
      <c r="K63" s="244" t="e">
        <f t="shared" si="2"/>
        <v>#NUM!</v>
      </c>
      <c r="L63" s="244"/>
      <c r="M63" s="246">
        <f t="shared" si="3"/>
        <v>0</v>
      </c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</row>
    <row r="64" spans="1:38" s="227" customFormat="1" x14ac:dyDescent="0.25">
      <c r="A64" s="102">
        <f t="shared" si="4"/>
        <v>0</v>
      </c>
      <c r="B64" s="36" t="str">
        <f t="shared" si="0"/>
        <v/>
      </c>
      <c r="C64" s="37"/>
      <c r="D64" s="37"/>
      <c r="E64" s="37"/>
      <c r="F64" s="37"/>
      <c r="H64" s="241">
        <v>59</v>
      </c>
      <c r="I64" s="242" t="str">
        <f t="shared" si="1"/>
        <v/>
      </c>
      <c r="J64" s="241" t="e">
        <f t="shared" si="5"/>
        <v>#NUM!</v>
      </c>
      <c r="K64" s="241" t="e">
        <f t="shared" si="2"/>
        <v>#NUM!</v>
      </c>
      <c r="L64" s="241"/>
      <c r="M64" s="243">
        <f t="shared" si="3"/>
        <v>0</v>
      </c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</row>
    <row r="65" spans="1:38" s="227" customFormat="1" x14ac:dyDescent="0.25">
      <c r="A65" s="106">
        <f t="shared" si="4"/>
        <v>0</v>
      </c>
      <c r="B65" s="42" t="str">
        <f t="shared" si="0"/>
        <v/>
      </c>
      <c r="C65" s="43"/>
      <c r="D65" s="43"/>
      <c r="E65" s="43"/>
      <c r="F65" s="43"/>
      <c r="H65" s="244">
        <v>60</v>
      </c>
      <c r="I65" s="245" t="str">
        <f t="shared" si="1"/>
        <v/>
      </c>
      <c r="J65" s="244" t="e">
        <f t="shared" si="5"/>
        <v>#NUM!</v>
      </c>
      <c r="K65" s="244" t="e">
        <f t="shared" si="2"/>
        <v>#NUM!</v>
      </c>
      <c r="L65" s="244"/>
      <c r="M65" s="246">
        <f t="shared" si="3"/>
        <v>0</v>
      </c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</row>
    <row r="66" spans="1:38" s="227" customFormat="1" x14ac:dyDescent="0.25">
      <c r="A66" s="102">
        <f t="shared" si="4"/>
        <v>0</v>
      </c>
      <c r="B66" s="36" t="str">
        <f t="shared" si="0"/>
        <v/>
      </c>
      <c r="C66" s="37"/>
      <c r="D66" s="37"/>
      <c r="E66" s="37"/>
      <c r="F66" s="37"/>
      <c r="H66" s="241">
        <v>61</v>
      </c>
      <c r="I66" s="242" t="str">
        <f t="shared" si="1"/>
        <v/>
      </c>
      <c r="J66" s="241" t="e">
        <f t="shared" si="5"/>
        <v>#NUM!</v>
      </c>
      <c r="K66" s="241" t="e">
        <f t="shared" si="2"/>
        <v>#NUM!</v>
      </c>
      <c r="L66" s="241"/>
      <c r="M66" s="243">
        <f t="shared" si="3"/>
        <v>0</v>
      </c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</row>
    <row r="67" spans="1:38" s="227" customFormat="1" x14ac:dyDescent="0.25">
      <c r="A67" s="106">
        <f t="shared" si="4"/>
        <v>0</v>
      </c>
      <c r="B67" s="42" t="str">
        <f t="shared" si="0"/>
        <v/>
      </c>
      <c r="C67" s="43"/>
      <c r="D67" s="43"/>
      <c r="E67" s="43"/>
      <c r="F67" s="43"/>
      <c r="H67" s="244">
        <v>62</v>
      </c>
      <c r="I67" s="245" t="str">
        <f t="shared" si="1"/>
        <v/>
      </c>
      <c r="J67" s="244" t="e">
        <f t="shared" si="5"/>
        <v>#NUM!</v>
      </c>
      <c r="K67" s="244" t="e">
        <f t="shared" si="2"/>
        <v>#NUM!</v>
      </c>
      <c r="L67" s="244"/>
      <c r="M67" s="246">
        <f t="shared" si="3"/>
        <v>0</v>
      </c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</row>
    <row r="68" spans="1:38" s="227" customFormat="1" x14ac:dyDescent="0.25">
      <c r="A68" s="102">
        <f t="shared" si="4"/>
        <v>0</v>
      </c>
      <c r="B68" s="36" t="str">
        <f t="shared" si="0"/>
        <v/>
      </c>
      <c r="C68" s="37"/>
      <c r="D68" s="37"/>
      <c r="E68" s="37"/>
      <c r="F68" s="37"/>
      <c r="H68" s="241">
        <v>63</v>
      </c>
      <c r="I68" s="242" t="str">
        <f t="shared" si="1"/>
        <v/>
      </c>
      <c r="J68" s="241" t="e">
        <f t="shared" si="5"/>
        <v>#NUM!</v>
      </c>
      <c r="K68" s="241" t="e">
        <f t="shared" si="2"/>
        <v>#NUM!</v>
      </c>
      <c r="L68" s="241"/>
      <c r="M68" s="243">
        <f t="shared" si="3"/>
        <v>0</v>
      </c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</row>
    <row r="69" spans="1:38" s="227" customFormat="1" x14ac:dyDescent="0.25">
      <c r="A69" s="106">
        <f t="shared" si="4"/>
        <v>0</v>
      </c>
      <c r="B69" s="42" t="str">
        <f t="shared" si="0"/>
        <v/>
      </c>
      <c r="C69" s="43"/>
      <c r="D69" s="43"/>
      <c r="E69" s="43"/>
      <c r="F69" s="43"/>
      <c r="H69" s="244">
        <v>64</v>
      </c>
      <c r="I69" s="245" t="str">
        <f t="shared" si="1"/>
        <v/>
      </c>
      <c r="J69" s="244" t="e">
        <f t="shared" si="5"/>
        <v>#NUM!</v>
      </c>
      <c r="K69" s="244" t="e">
        <f t="shared" si="2"/>
        <v>#NUM!</v>
      </c>
      <c r="L69" s="244"/>
      <c r="M69" s="246">
        <f t="shared" si="3"/>
        <v>0</v>
      </c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</row>
    <row r="70" spans="1:38" s="227" customFormat="1" x14ac:dyDescent="0.25">
      <c r="A70" s="102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241">
        <v>65</v>
      </c>
      <c r="I70" s="242" t="str">
        <f t="shared" ref="I70:I133" si="7">IF(H70&lt;$H$2+1,($I$2-($I$2-1)*(LOG(H70)/LOG($H$2))),"")</f>
        <v/>
      </c>
      <c r="J70" s="241" t="e">
        <f t="shared" si="5"/>
        <v>#NUM!</v>
      </c>
      <c r="K70" s="241" t="e">
        <f t="shared" ref="K70:K133" si="8">J70*$J$2</f>
        <v>#NUM!</v>
      </c>
      <c r="L70" s="241"/>
      <c r="M70" s="243">
        <f t="shared" ref="M70:M133" si="9">IF(I70&lt;&gt;"",K70+I70+L70,0)</f>
        <v>0</v>
      </c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</row>
    <row r="71" spans="1:38" s="227" customFormat="1" x14ac:dyDescent="0.25">
      <c r="A71" s="106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244">
        <v>66</v>
      </c>
      <c r="I71" s="245" t="str">
        <f t="shared" si="7"/>
        <v/>
      </c>
      <c r="J71" s="244" t="e">
        <f t="shared" ref="J71:J134" si="11">INT(LOG($H$2,2))-ROUNDUP(LOG(H71,2),0)+IF(OR($H$2=1,$H$2=2,$H$2=4,$H$2=8,$H$2=16,$H$2=32,$H$2=64,$H$2=128,$H$2=256),0,1)</f>
        <v>#NUM!</v>
      </c>
      <c r="K71" s="244" t="e">
        <f t="shared" si="8"/>
        <v>#NUM!</v>
      </c>
      <c r="L71" s="244"/>
      <c r="M71" s="246">
        <f t="shared" si="9"/>
        <v>0</v>
      </c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</row>
    <row r="72" spans="1:38" s="227" customFormat="1" x14ac:dyDescent="0.25">
      <c r="A72" s="102">
        <f t="shared" si="10"/>
        <v>0</v>
      </c>
      <c r="B72" s="36" t="str">
        <f t="shared" si="6"/>
        <v/>
      </c>
      <c r="C72" s="37"/>
      <c r="D72" s="37"/>
      <c r="E72" s="37"/>
      <c r="F72" s="37"/>
      <c r="H72" s="241">
        <v>67</v>
      </c>
      <c r="I72" s="242" t="str">
        <f t="shared" si="7"/>
        <v/>
      </c>
      <c r="J72" s="241" t="e">
        <f t="shared" si="11"/>
        <v>#NUM!</v>
      </c>
      <c r="K72" s="241" t="e">
        <f t="shared" si="8"/>
        <v>#NUM!</v>
      </c>
      <c r="L72" s="241"/>
      <c r="M72" s="243">
        <f t="shared" si="9"/>
        <v>0</v>
      </c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</row>
    <row r="73" spans="1:38" s="227" customFormat="1" x14ac:dyDescent="0.25">
      <c r="A73" s="106">
        <f t="shared" si="10"/>
        <v>0</v>
      </c>
      <c r="B73" s="42" t="str">
        <f t="shared" si="6"/>
        <v/>
      </c>
      <c r="C73" s="43"/>
      <c r="D73" s="43"/>
      <c r="E73" s="43"/>
      <c r="F73" s="43"/>
      <c r="H73" s="244">
        <v>68</v>
      </c>
      <c r="I73" s="245" t="str">
        <f t="shared" si="7"/>
        <v/>
      </c>
      <c r="J73" s="244" t="e">
        <f t="shared" si="11"/>
        <v>#NUM!</v>
      </c>
      <c r="K73" s="244" t="e">
        <f t="shared" si="8"/>
        <v>#NUM!</v>
      </c>
      <c r="L73" s="244"/>
      <c r="M73" s="246">
        <f t="shared" si="9"/>
        <v>0</v>
      </c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</row>
    <row r="74" spans="1:38" s="227" customFormat="1" x14ac:dyDescent="0.25">
      <c r="A74" s="102">
        <f t="shared" si="10"/>
        <v>0</v>
      </c>
      <c r="B74" s="36" t="str">
        <f t="shared" si="6"/>
        <v/>
      </c>
      <c r="C74" s="37"/>
      <c r="D74" s="37"/>
      <c r="E74" s="37"/>
      <c r="F74" s="37"/>
      <c r="H74" s="241">
        <v>69</v>
      </c>
      <c r="I74" s="242" t="str">
        <f t="shared" si="7"/>
        <v/>
      </c>
      <c r="J74" s="241" t="e">
        <f t="shared" si="11"/>
        <v>#NUM!</v>
      </c>
      <c r="K74" s="241" t="e">
        <f t="shared" si="8"/>
        <v>#NUM!</v>
      </c>
      <c r="L74" s="241"/>
      <c r="M74" s="243">
        <f t="shared" si="9"/>
        <v>0</v>
      </c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</row>
    <row r="75" spans="1:38" s="227" customFormat="1" x14ac:dyDescent="0.25">
      <c r="A75" s="106">
        <f t="shared" si="10"/>
        <v>0</v>
      </c>
      <c r="B75" s="42" t="str">
        <f t="shared" si="6"/>
        <v/>
      </c>
      <c r="C75" s="43"/>
      <c r="D75" s="43"/>
      <c r="E75" s="43"/>
      <c r="F75" s="43"/>
      <c r="H75" s="244">
        <v>70</v>
      </c>
      <c r="I75" s="245" t="str">
        <f t="shared" si="7"/>
        <v/>
      </c>
      <c r="J75" s="244" t="e">
        <f t="shared" si="11"/>
        <v>#NUM!</v>
      </c>
      <c r="K75" s="244" t="e">
        <f t="shared" si="8"/>
        <v>#NUM!</v>
      </c>
      <c r="L75" s="244"/>
      <c r="M75" s="246">
        <f t="shared" si="9"/>
        <v>0</v>
      </c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</row>
    <row r="76" spans="1:38" s="227" customFormat="1" x14ac:dyDescent="0.25">
      <c r="A76" s="102">
        <f t="shared" si="10"/>
        <v>0</v>
      </c>
      <c r="B76" s="36" t="str">
        <f t="shared" si="6"/>
        <v/>
      </c>
      <c r="C76" s="37"/>
      <c r="D76" s="37"/>
      <c r="E76" s="37"/>
      <c r="F76" s="37"/>
      <c r="H76" s="241">
        <v>71</v>
      </c>
      <c r="I76" s="242" t="str">
        <f t="shared" si="7"/>
        <v/>
      </c>
      <c r="J76" s="241" t="e">
        <f t="shared" si="11"/>
        <v>#NUM!</v>
      </c>
      <c r="K76" s="241" t="e">
        <f t="shared" si="8"/>
        <v>#NUM!</v>
      </c>
      <c r="L76" s="241"/>
      <c r="M76" s="243">
        <f t="shared" si="9"/>
        <v>0</v>
      </c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</row>
    <row r="77" spans="1:38" s="227" customFormat="1" x14ac:dyDescent="0.25">
      <c r="A77" s="106">
        <f t="shared" si="10"/>
        <v>0</v>
      </c>
      <c r="B77" s="42" t="str">
        <f t="shared" si="6"/>
        <v/>
      </c>
      <c r="C77" s="43"/>
      <c r="D77" s="43"/>
      <c r="E77" s="43"/>
      <c r="F77" s="43"/>
      <c r="H77" s="244">
        <v>72</v>
      </c>
      <c r="I77" s="245" t="str">
        <f t="shared" si="7"/>
        <v/>
      </c>
      <c r="J77" s="244" t="e">
        <f t="shared" si="11"/>
        <v>#NUM!</v>
      </c>
      <c r="K77" s="244" t="e">
        <f t="shared" si="8"/>
        <v>#NUM!</v>
      </c>
      <c r="L77" s="244"/>
      <c r="M77" s="246">
        <f t="shared" si="9"/>
        <v>0</v>
      </c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</row>
    <row r="78" spans="1:38" s="227" customFormat="1" x14ac:dyDescent="0.25">
      <c r="A78" s="102">
        <f t="shared" si="10"/>
        <v>0</v>
      </c>
      <c r="B78" s="36" t="str">
        <f t="shared" si="6"/>
        <v/>
      </c>
      <c r="C78" s="37"/>
      <c r="D78" s="37"/>
      <c r="E78" s="37"/>
      <c r="F78" s="37"/>
      <c r="H78" s="241">
        <v>73</v>
      </c>
      <c r="I78" s="242" t="str">
        <f t="shared" si="7"/>
        <v/>
      </c>
      <c r="J78" s="241" t="e">
        <f t="shared" si="11"/>
        <v>#NUM!</v>
      </c>
      <c r="K78" s="241" t="e">
        <f t="shared" si="8"/>
        <v>#NUM!</v>
      </c>
      <c r="L78" s="241"/>
      <c r="M78" s="243">
        <f t="shared" si="9"/>
        <v>0</v>
      </c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</row>
    <row r="79" spans="1:38" s="227" customFormat="1" x14ac:dyDescent="0.25">
      <c r="A79" s="106">
        <f t="shared" si="10"/>
        <v>0</v>
      </c>
      <c r="B79" s="42" t="str">
        <f t="shared" si="6"/>
        <v/>
      </c>
      <c r="C79" s="43"/>
      <c r="D79" s="43"/>
      <c r="E79" s="43"/>
      <c r="F79" s="43"/>
      <c r="H79" s="244">
        <v>74</v>
      </c>
      <c r="I79" s="245" t="str">
        <f t="shared" si="7"/>
        <v/>
      </c>
      <c r="J79" s="244" t="e">
        <f t="shared" si="11"/>
        <v>#NUM!</v>
      </c>
      <c r="K79" s="244" t="e">
        <f t="shared" si="8"/>
        <v>#NUM!</v>
      </c>
      <c r="L79" s="244"/>
      <c r="M79" s="246">
        <f t="shared" si="9"/>
        <v>0</v>
      </c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</row>
    <row r="80" spans="1:38" s="227" customFormat="1" x14ac:dyDescent="0.25">
      <c r="A80" s="102">
        <f t="shared" si="10"/>
        <v>0</v>
      </c>
      <c r="B80" s="36" t="str">
        <f t="shared" si="6"/>
        <v/>
      </c>
      <c r="C80" s="37"/>
      <c r="D80" s="37"/>
      <c r="E80" s="37"/>
      <c r="F80" s="37"/>
      <c r="H80" s="241">
        <v>75</v>
      </c>
      <c r="I80" s="242" t="str">
        <f t="shared" si="7"/>
        <v/>
      </c>
      <c r="J80" s="241" t="e">
        <f t="shared" si="11"/>
        <v>#NUM!</v>
      </c>
      <c r="K80" s="241" t="e">
        <f t="shared" si="8"/>
        <v>#NUM!</v>
      </c>
      <c r="L80" s="241"/>
      <c r="M80" s="243">
        <f t="shared" si="9"/>
        <v>0</v>
      </c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</row>
    <row r="81" spans="1:38" s="227" customFormat="1" x14ac:dyDescent="0.25">
      <c r="A81" s="106">
        <f t="shared" si="10"/>
        <v>0</v>
      </c>
      <c r="B81" s="42" t="str">
        <f t="shared" si="6"/>
        <v/>
      </c>
      <c r="C81" s="43"/>
      <c r="D81" s="43"/>
      <c r="E81" s="43"/>
      <c r="F81" s="43"/>
      <c r="H81" s="244">
        <v>76</v>
      </c>
      <c r="I81" s="245" t="str">
        <f t="shared" si="7"/>
        <v/>
      </c>
      <c r="J81" s="244" t="e">
        <f t="shared" si="11"/>
        <v>#NUM!</v>
      </c>
      <c r="K81" s="244" t="e">
        <f t="shared" si="8"/>
        <v>#NUM!</v>
      </c>
      <c r="L81" s="244"/>
      <c r="M81" s="246">
        <f t="shared" si="9"/>
        <v>0</v>
      </c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</row>
    <row r="82" spans="1:38" s="227" customFormat="1" x14ac:dyDescent="0.25">
      <c r="A82" s="102">
        <f t="shared" si="10"/>
        <v>0</v>
      </c>
      <c r="B82" s="36" t="str">
        <f t="shared" si="6"/>
        <v/>
      </c>
      <c r="C82" s="37"/>
      <c r="D82" s="37"/>
      <c r="E82" s="37"/>
      <c r="F82" s="37"/>
      <c r="H82" s="241">
        <v>77</v>
      </c>
      <c r="I82" s="242" t="str">
        <f t="shared" si="7"/>
        <v/>
      </c>
      <c r="J82" s="241" t="e">
        <f t="shared" si="11"/>
        <v>#NUM!</v>
      </c>
      <c r="K82" s="241" t="e">
        <f t="shared" si="8"/>
        <v>#NUM!</v>
      </c>
      <c r="L82" s="241"/>
      <c r="M82" s="243">
        <f t="shared" si="9"/>
        <v>0</v>
      </c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</row>
    <row r="83" spans="1:38" s="227" customFormat="1" x14ac:dyDescent="0.25">
      <c r="A83" s="106">
        <f t="shared" si="10"/>
        <v>0</v>
      </c>
      <c r="B83" s="42" t="str">
        <f t="shared" si="6"/>
        <v/>
      </c>
      <c r="C83" s="43"/>
      <c r="D83" s="43"/>
      <c r="E83" s="43"/>
      <c r="F83" s="43"/>
      <c r="H83" s="244">
        <v>78</v>
      </c>
      <c r="I83" s="245" t="str">
        <f t="shared" si="7"/>
        <v/>
      </c>
      <c r="J83" s="244" t="e">
        <f t="shared" si="11"/>
        <v>#NUM!</v>
      </c>
      <c r="K83" s="244" t="e">
        <f t="shared" si="8"/>
        <v>#NUM!</v>
      </c>
      <c r="L83" s="244"/>
      <c r="M83" s="246">
        <f t="shared" si="9"/>
        <v>0</v>
      </c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</row>
    <row r="84" spans="1:38" s="227" customFormat="1" x14ac:dyDescent="0.25">
      <c r="A84" s="102">
        <f t="shared" si="10"/>
        <v>0</v>
      </c>
      <c r="B84" s="36" t="str">
        <f t="shared" si="6"/>
        <v/>
      </c>
      <c r="C84" s="37"/>
      <c r="D84" s="37"/>
      <c r="E84" s="37"/>
      <c r="F84" s="37"/>
      <c r="H84" s="241">
        <v>79</v>
      </c>
      <c r="I84" s="242" t="str">
        <f t="shared" si="7"/>
        <v/>
      </c>
      <c r="J84" s="241" t="e">
        <f t="shared" si="11"/>
        <v>#NUM!</v>
      </c>
      <c r="K84" s="241" t="e">
        <f t="shared" si="8"/>
        <v>#NUM!</v>
      </c>
      <c r="L84" s="241"/>
      <c r="M84" s="243">
        <f t="shared" si="9"/>
        <v>0</v>
      </c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</row>
    <row r="85" spans="1:38" s="227" customFormat="1" x14ac:dyDescent="0.25">
      <c r="A85" s="106">
        <f t="shared" si="10"/>
        <v>0</v>
      </c>
      <c r="B85" s="42" t="str">
        <f t="shared" si="6"/>
        <v/>
      </c>
      <c r="C85" s="43"/>
      <c r="D85" s="43"/>
      <c r="E85" s="43"/>
      <c r="F85" s="43"/>
      <c r="H85" s="244">
        <v>80</v>
      </c>
      <c r="I85" s="245" t="str">
        <f t="shared" si="7"/>
        <v/>
      </c>
      <c r="J85" s="244" t="e">
        <f t="shared" si="11"/>
        <v>#NUM!</v>
      </c>
      <c r="K85" s="244" t="e">
        <f t="shared" si="8"/>
        <v>#NUM!</v>
      </c>
      <c r="L85" s="244"/>
      <c r="M85" s="246">
        <f t="shared" si="9"/>
        <v>0</v>
      </c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</row>
    <row r="86" spans="1:38" s="227" customFormat="1" x14ac:dyDescent="0.25">
      <c r="A86" s="102">
        <f t="shared" si="10"/>
        <v>0</v>
      </c>
      <c r="B86" s="36" t="str">
        <f t="shared" si="6"/>
        <v/>
      </c>
      <c r="C86" s="37"/>
      <c r="D86" s="37"/>
      <c r="E86" s="37"/>
      <c r="F86" s="37"/>
      <c r="H86" s="241">
        <v>81</v>
      </c>
      <c r="I86" s="242" t="str">
        <f t="shared" si="7"/>
        <v/>
      </c>
      <c r="J86" s="241" t="e">
        <f t="shared" si="11"/>
        <v>#NUM!</v>
      </c>
      <c r="K86" s="241" t="e">
        <f t="shared" si="8"/>
        <v>#NUM!</v>
      </c>
      <c r="L86" s="241"/>
      <c r="M86" s="243">
        <f t="shared" si="9"/>
        <v>0</v>
      </c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</row>
    <row r="87" spans="1:38" s="227" customFormat="1" x14ac:dyDescent="0.25">
      <c r="A87" s="106">
        <f t="shared" si="10"/>
        <v>0</v>
      </c>
      <c r="B87" s="42" t="str">
        <f t="shared" si="6"/>
        <v/>
      </c>
      <c r="C87" s="43"/>
      <c r="D87" s="43"/>
      <c r="E87" s="43"/>
      <c r="F87" s="43"/>
      <c r="H87" s="244">
        <v>82</v>
      </c>
      <c r="I87" s="245" t="str">
        <f t="shared" si="7"/>
        <v/>
      </c>
      <c r="J87" s="244" t="e">
        <f t="shared" si="11"/>
        <v>#NUM!</v>
      </c>
      <c r="K87" s="244" t="e">
        <f t="shared" si="8"/>
        <v>#NUM!</v>
      </c>
      <c r="L87" s="244"/>
      <c r="M87" s="246">
        <f t="shared" si="9"/>
        <v>0</v>
      </c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</row>
    <row r="88" spans="1:38" s="227" customFormat="1" x14ac:dyDescent="0.25">
      <c r="A88" s="102">
        <f t="shared" si="10"/>
        <v>0</v>
      </c>
      <c r="B88" s="36" t="str">
        <f t="shared" si="6"/>
        <v/>
      </c>
      <c r="C88" s="37"/>
      <c r="D88" s="37"/>
      <c r="E88" s="37"/>
      <c r="F88" s="37"/>
      <c r="H88" s="241">
        <v>83</v>
      </c>
      <c r="I88" s="242" t="str">
        <f t="shared" si="7"/>
        <v/>
      </c>
      <c r="J88" s="241" t="e">
        <f t="shared" si="11"/>
        <v>#NUM!</v>
      </c>
      <c r="K88" s="241" t="e">
        <f t="shared" si="8"/>
        <v>#NUM!</v>
      </c>
      <c r="L88" s="241"/>
      <c r="M88" s="243">
        <f t="shared" si="9"/>
        <v>0</v>
      </c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</row>
    <row r="89" spans="1:38" s="227" customFormat="1" x14ac:dyDescent="0.25">
      <c r="A89" s="106">
        <f t="shared" si="10"/>
        <v>0</v>
      </c>
      <c r="B89" s="42" t="str">
        <f t="shared" si="6"/>
        <v/>
      </c>
      <c r="C89" s="43"/>
      <c r="D89" s="43"/>
      <c r="E89" s="43"/>
      <c r="F89" s="43"/>
      <c r="H89" s="244">
        <v>84</v>
      </c>
      <c r="I89" s="245" t="str">
        <f t="shared" si="7"/>
        <v/>
      </c>
      <c r="J89" s="244" t="e">
        <f t="shared" si="11"/>
        <v>#NUM!</v>
      </c>
      <c r="K89" s="244" t="e">
        <f t="shared" si="8"/>
        <v>#NUM!</v>
      </c>
      <c r="L89" s="244"/>
      <c r="M89" s="246">
        <f t="shared" si="9"/>
        <v>0</v>
      </c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</row>
    <row r="90" spans="1:38" s="227" customFormat="1" x14ac:dyDescent="0.25">
      <c r="A90" s="102">
        <f t="shared" si="10"/>
        <v>0</v>
      </c>
      <c r="B90" s="36" t="str">
        <f t="shared" si="6"/>
        <v/>
      </c>
      <c r="C90" s="37"/>
      <c r="D90" s="37"/>
      <c r="E90" s="37"/>
      <c r="F90" s="37"/>
      <c r="H90" s="241">
        <v>85</v>
      </c>
      <c r="I90" s="242" t="str">
        <f t="shared" si="7"/>
        <v/>
      </c>
      <c r="J90" s="241" t="e">
        <f t="shared" si="11"/>
        <v>#NUM!</v>
      </c>
      <c r="K90" s="241" t="e">
        <f t="shared" si="8"/>
        <v>#NUM!</v>
      </c>
      <c r="L90" s="241"/>
      <c r="M90" s="243">
        <f t="shared" si="9"/>
        <v>0</v>
      </c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</row>
    <row r="91" spans="1:38" s="227" customFormat="1" x14ac:dyDescent="0.25">
      <c r="A91" s="106">
        <f t="shared" si="10"/>
        <v>0</v>
      </c>
      <c r="B91" s="42" t="str">
        <f t="shared" si="6"/>
        <v/>
      </c>
      <c r="C91" s="43"/>
      <c r="D91" s="43"/>
      <c r="E91" s="43"/>
      <c r="F91" s="43"/>
      <c r="H91" s="244">
        <v>86</v>
      </c>
      <c r="I91" s="245" t="str">
        <f t="shared" si="7"/>
        <v/>
      </c>
      <c r="J91" s="244" t="e">
        <f t="shared" si="11"/>
        <v>#NUM!</v>
      </c>
      <c r="K91" s="244" t="e">
        <f t="shared" si="8"/>
        <v>#NUM!</v>
      </c>
      <c r="L91" s="244"/>
      <c r="M91" s="246">
        <f t="shared" si="9"/>
        <v>0</v>
      </c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</row>
    <row r="92" spans="1:38" s="227" customFormat="1" x14ac:dyDescent="0.25">
      <c r="A92" s="102">
        <f t="shared" si="10"/>
        <v>0</v>
      </c>
      <c r="B92" s="36" t="str">
        <f t="shared" si="6"/>
        <v/>
      </c>
      <c r="C92" s="37"/>
      <c r="D92" s="37"/>
      <c r="E92" s="37"/>
      <c r="F92" s="37"/>
      <c r="H92" s="241">
        <v>87</v>
      </c>
      <c r="I92" s="242" t="str">
        <f t="shared" si="7"/>
        <v/>
      </c>
      <c r="J92" s="241" t="e">
        <f t="shared" si="11"/>
        <v>#NUM!</v>
      </c>
      <c r="K92" s="241" t="e">
        <f t="shared" si="8"/>
        <v>#NUM!</v>
      </c>
      <c r="L92" s="241"/>
      <c r="M92" s="243">
        <f t="shared" si="9"/>
        <v>0</v>
      </c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</row>
    <row r="93" spans="1:38" s="227" customFormat="1" x14ac:dyDescent="0.25">
      <c r="A93" s="106">
        <f t="shared" si="10"/>
        <v>0</v>
      </c>
      <c r="B93" s="42" t="str">
        <f t="shared" si="6"/>
        <v/>
      </c>
      <c r="C93" s="43"/>
      <c r="D93" s="43"/>
      <c r="E93" s="43"/>
      <c r="F93" s="43"/>
      <c r="H93" s="244">
        <v>88</v>
      </c>
      <c r="I93" s="245" t="str">
        <f t="shared" si="7"/>
        <v/>
      </c>
      <c r="J93" s="244" t="e">
        <f t="shared" si="11"/>
        <v>#NUM!</v>
      </c>
      <c r="K93" s="244" t="e">
        <f t="shared" si="8"/>
        <v>#NUM!</v>
      </c>
      <c r="L93" s="244"/>
      <c r="M93" s="246">
        <f t="shared" si="9"/>
        <v>0</v>
      </c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</row>
    <row r="94" spans="1:38" s="227" customFormat="1" x14ac:dyDescent="0.25">
      <c r="A94" s="102">
        <f t="shared" si="10"/>
        <v>0</v>
      </c>
      <c r="B94" s="36" t="str">
        <f t="shared" si="6"/>
        <v/>
      </c>
      <c r="C94" s="37"/>
      <c r="D94" s="37"/>
      <c r="E94" s="37"/>
      <c r="F94" s="37"/>
      <c r="H94" s="241">
        <v>89</v>
      </c>
      <c r="I94" s="242" t="str">
        <f t="shared" si="7"/>
        <v/>
      </c>
      <c r="J94" s="241" t="e">
        <f t="shared" si="11"/>
        <v>#NUM!</v>
      </c>
      <c r="K94" s="241" t="e">
        <f t="shared" si="8"/>
        <v>#NUM!</v>
      </c>
      <c r="L94" s="241"/>
      <c r="M94" s="243">
        <f t="shared" si="9"/>
        <v>0</v>
      </c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</row>
    <row r="95" spans="1:38" s="227" customFormat="1" x14ac:dyDescent="0.25">
      <c r="A95" s="106">
        <f t="shared" si="10"/>
        <v>0</v>
      </c>
      <c r="B95" s="42" t="str">
        <f t="shared" si="6"/>
        <v/>
      </c>
      <c r="C95" s="43"/>
      <c r="D95" s="43"/>
      <c r="E95" s="43"/>
      <c r="F95" s="43"/>
      <c r="H95" s="244">
        <v>90</v>
      </c>
      <c r="I95" s="245" t="str">
        <f t="shared" si="7"/>
        <v/>
      </c>
      <c r="J95" s="244" t="e">
        <f t="shared" si="11"/>
        <v>#NUM!</v>
      </c>
      <c r="K95" s="244" t="e">
        <f t="shared" si="8"/>
        <v>#NUM!</v>
      </c>
      <c r="L95" s="244"/>
      <c r="M95" s="246">
        <f t="shared" si="9"/>
        <v>0</v>
      </c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</row>
    <row r="96" spans="1:38" s="227" customFormat="1" x14ac:dyDescent="0.25">
      <c r="A96" s="102">
        <f t="shared" si="10"/>
        <v>0</v>
      </c>
      <c r="B96" s="36" t="str">
        <f t="shared" si="6"/>
        <v/>
      </c>
      <c r="C96" s="37"/>
      <c r="D96" s="37"/>
      <c r="E96" s="37"/>
      <c r="F96" s="37"/>
      <c r="H96" s="241">
        <v>91</v>
      </c>
      <c r="I96" s="242" t="str">
        <f t="shared" si="7"/>
        <v/>
      </c>
      <c r="J96" s="241" t="e">
        <f t="shared" si="11"/>
        <v>#NUM!</v>
      </c>
      <c r="K96" s="241" t="e">
        <f t="shared" si="8"/>
        <v>#NUM!</v>
      </c>
      <c r="L96" s="241"/>
      <c r="M96" s="243">
        <f t="shared" si="9"/>
        <v>0</v>
      </c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</row>
    <row r="97" spans="1:38" s="227" customFormat="1" x14ac:dyDescent="0.25">
      <c r="A97" s="106">
        <f t="shared" si="10"/>
        <v>0</v>
      </c>
      <c r="B97" s="42" t="str">
        <f t="shared" si="6"/>
        <v/>
      </c>
      <c r="C97" s="43"/>
      <c r="D97" s="43"/>
      <c r="E97" s="43"/>
      <c r="F97" s="43"/>
      <c r="H97" s="244">
        <v>92</v>
      </c>
      <c r="I97" s="245" t="str">
        <f t="shared" si="7"/>
        <v/>
      </c>
      <c r="J97" s="244" t="e">
        <f t="shared" si="11"/>
        <v>#NUM!</v>
      </c>
      <c r="K97" s="244" t="e">
        <f t="shared" si="8"/>
        <v>#NUM!</v>
      </c>
      <c r="L97" s="244"/>
      <c r="M97" s="246">
        <f t="shared" si="9"/>
        <v>0</v>
      </c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</row>
    <row r="98" spans="1:38" s="227" customFormat="1" x14ac:dyDescent="0.25">
      <c r="A98" s="102">
        <f t="shared" si="10"/>
        <v>0</v>
      </c>
      <c r="B98" s="36" t="str">
        <f t="shared" si="6"/>
        <v/>
      </c>
      <c r="C98" s="37"/>
      <c r="D98" s="37"/>
      <c r="E98" s="37"/>
      <c r="F98" s="37"/>
      <c r="H98" s="241">
        <v>93</v>
      </c>
      <c r="I98" s="242" t="str">
        <f t="shared" si="7"/>
        <v/>
      </c>
      <c r="J98" s="241" t="e">
        <f t="shared" si="11"/>
        <v>#NUM!</v>
      </c>
      <c r="K98" s="241" t="e">
        <f t="shared" si="8"/>
        <v>#NUM!</v>
      </c>
      <c r="L98" s="241"/>
      <c r="M98" s="243">
        <f t="shared" si="9"/>
        <v>0</v>
      </c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</row>
    <row r="99" spans="1:38" s="227" customFormat="1" x14ac:dyDescent="0.25">
      <c r="A99" s="106">
        <f t="shared" si="10"/>
        <v>0</v>
      </c>
      <c r="B99" s="42" t="str">
        <f t="shared" si="6"/>
        <v/>
      </c>
      <c r="C99" s="43"/>
      <c r="D99" s="43"/>
      <c r="E99" s="43"/>
      <c r="F99" s="43"/>
      <c r="H99" s="244">
        <v>94</v>
      </c>
      <c r="I99" s="245" t="str">
        <f t="shared" si="7"/>
        <v/>
      </c>
      <c r="J99" s="244" t="e">
        <f t="shared" si="11"/>
        <v>#NUM!</v>
      </c>
      <c r="K99" s="244" t="e">
        <f t="shared" si="8"/>
        <v>#NUM!</v>
      </c>
      <c r="L99" s="244"/>
      <c r="M99" s="246">
        <f t="shared" si="9"/>
        <v>0</v>
      </c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</row>
    <row r="100" spans="1:38" s="227" customFormat="1" x14ac:dyDescent="0.25">
      <c r="A100" s="102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241">
        <v>95</v>
      </c>
      <c r="I100" s="242" t="str">
        <f t="shared" si="7"/>
        <v/>
      </c>
      <c r="J100" s="241" t="e">
        <f t="shared" si="11"/>
        <v>#NUM!</v>
      </c>
      <c r="K100" s="241" t="e">
        <f t="shared" si="8"/>
        <v>#NUM!</v>
      </c>
      <c r="L100" s="241"/>
      <c r="M100" s="243">
        <f t="shared" si="9"/>
        <v>0</v>
      </c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</row>
    <row r="101" spans="1:38" s="227" customFormat="1" x14ac:dyDescent="0.25">
      <c r="A101" s="106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244">
        <v>96</v>
      </c>
      <c r="I101" s="245" t="str">
        <f t="shared" si="7"/>
        <v/>
      </c>
      <c r="J101" s="244" t="e">
        <f t="shared" si="11"/>
        <v>#NUM!</v>
      </c>
      <c r="K101" s="244" t="e">
        <f t="shared" si="8"/>
        <v>#NUM!</v>
      </c>
      <c r="L101" s="244"/>
      <c r="M101" s="246">
        <f t="shared" si="9"/>
        <v>0</v>
      </c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</row>
    <row r="102" spans="1:38" s="227" customFormat="1" x14ac:dyDescent="0.25">
      <c r="A102" s="102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241">
        <v>97</v>
      </c>
      <c r="I102" s="242" t="str">
        <f t="shared" si="7"/>
        <v/>
      </c>
      <c r="J102" s="241" t="e">
        <f t="shared" si="11"/>
        <v>#NUM!</v>
      </c>
      <c r="K102" s="241" t="e">
        <f t="shared" si="8"/>
        <v>#NUM!</v>
      </c>
      <c r="L102" s="241"/>
      <c r="M102" s="243">
        <f t="shared" si="9"/>
        <v>0</v>
      </c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</row>
    <row r="103" spans="1:38" s="227" customFormat="1" x14ac:dyDescent="0.25">
      <c r="A103" s="106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244">
        <v>98</v>
      </c>
      <c r="I103" s="245" t="str">
        <f t="shared" si="7"/>
        <v/>
      </c>
      <c r="J103" s="244" t="e">
        <f t="shared" si="11"/>
        <v>#NUM!</v>
      </c>
      <c r="K103" s="244" t="e">
        <f t="shared" si="8"/>
        <v>#NUM!</v>
      </c>
      <c r="L103" s="244"/>
      <c r="M103" s="246">
        <f t="shared" si="9"/>
        <v>0</v>
      </c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</row>
    <row r="104" spans="1:38" s="227" customFormat="1" x14ac:dyDescent="0.25">
      <c r="A104" s="102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241">
        <v>99</v>
      </c>
      <c r="I104" s="242" t="str">
        <f t="shared" si="7"/>
        <v/>
      </c>
      <c r="J104" s="241" t="e">
        <f t="shared" si="11"/>
        <v>#NUM!</v>
      </c>
      <c r="K104" s="241" t="e">
        <f t="shared" si="8"/>
        <v>#NUM!</v>
      </c>
      <c r="L104" s="241"/>
      <c r="M104" s="243">
        <f t="shared" si="9"/>
        <v>0</v>
      </c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</row>
    <row r="105" spans="1:38" s="227" customFormat="1" x14ac:dyDescent="0.25">
      <c r="A105" s="106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244">
        <v>100</v>
      </c>
      <c r="I105" s="245" t="str">
        <f t="shared" si="7"/>
        <v/>
      </c>
      <c r="J105" s="244" t="e">
        <f t="shared" si="11"/>
        <v>#NUM!</v>
      </c>
      <c r="K105" s="244" t="e">
        <f t="shared" si="8"/>
        <v>#NUM!</v>
      </c>
      <c r="L105" s="244"/>
      <c r="M105" s="246">
        <f t="shared" si="9"/>
        <v>0</v>
      </c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</row>
    <row r="106" spans="1:38" s="227" customFormat="1" x14ac:dyDescent="0.25">
      <c r="A106" s="102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241">
        <v>101</v>
      </c>
      <c r="I106" s="242" t="str">
        <f t="shared" si="7"/>
        <v/>
      </c>
      <c r="J106" s="241" t="e">
        <f t="shared" si="11"/>
        <v>#NUM!</v>
      </c>
      <c r="K106" s="241" t="e">
        <f t="shared" si="8"/>
        <v>#NUM!</v>
      </c>
      <c r="L106" s="241"/>
      <c r="M106" s="243">
        <f t="shared" si="9"/>
        <v>0</v>
      </c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</row>
    <row r="107" spans="1:38" s="227" customFormat="1" x14ac:dyDescent="0.25">
      <c r="A107" s="106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244">
        <v>102</v>
      </c>
      <c r="I107" s="245" t="str">
        <f t="shared" si="7"/>
        <v/>
      </c>
      <c r="J107" s="244" t="e">
        <f t="shared" si="11"/>
        <v>#NUM!</v>
      </c>
      <c r="K107" s="244" t="e">
        <f t="shared" si="8"/>
        <v>#NUM!</v>
      </c>
      <c r="L107" s="244"/>
      <c r="M107" s="246">
        <f t="shared" si="9"/>
        <v>0</v>
      </c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</row>
    <row r="108" spans="1:38" s="227" customFormat="1" x14ac:dyDescent="0.25">
      <c r="A108" s="102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241">
        <v>103</v>
      </c>
      <c r="I108" s="242" t="str">
        <f t="shared" si="7"/>
        <v/>
      </c>
      <c r="J108" s="241" t="e">
        <f t="shared" si="11"/>
        <v>#NUM!</v>
      </c>
      <c r="K108" s="241" t="e">
        <f t="shared" si="8"/>
        <v>#NUM!</v>
      </c>
      <c r="L108" s="241"/>
      <c r="M108" s="243">
        <f t="shared" si="9"/>
        <v>0</v>
      </c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</row>
    <row r="109" spans="1:38" s="227" customFormat="1" x14ac:dyDescent="0.25">
      <c r="A109" s="106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244">
        <v>104</v>
      </c>
      <c r="I109" s="245" t="str">
        <f t="shared" si="7"/>
        <v/>
      </c>
      <c r="J109" s="244" t="e">
        <f t="shared" si="11"/>
        <v>#NUM!</v>
      </c>
      <c r="K109" s="244" t="e">
        <f t="shared" si="8"/>
        <v>#NUM!</v>
      </c>
      <c r="L109" s="244"/>
      <c r="M109" s="246">
        <f t="shared" si="9"/>
        <v>0</v>
      </c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</row>
    <row r="110" spans="1:38" s="227" customFormat="1" x14ac:dyDescent="0.25">
      <c r="A110" s="102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241">
        <v>105</v>
      </c>
      <c r="I110" s="242" t="str">
        <f t="shared" si="7"/>
        <v/>
      </c>
      <c r="J110" s="241" t="e">
        <f t="shared" si="11"/>
        <v>#NUM!</v>
      </c>
      <c r="K110" s="241" t="e">
        <f t="shared" si="8"/>
        <v>#NUM!</v>
      </c>
      <c r="L110" s="241"/>
      <c r="M110" s="243">
        <f t="shared" si="9"/>
        <v>0</v>
      </c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</row>
    <row r="111" spans="1:38" s="227" customFormat="1" x14ac:dyDescent="0.25">
      <c r="A111" s="106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244">
        <v>106</v>
      </c>
      <c r="I111" s="245" t="str">
        <f t="shared" si="7"/>
        <v/>
      </c>
      <c r="J111" s="244" t="e">
        <f t="shared" si="11"/>
        <v>#NUM!</v>
      </c>
      <c r="K111" s="244" t="e">
        <f t="shared" si="8"/>
        <v>#NUM!</v>
      </c>
      <c r="L111" s="244"/>
      <c r="M111" s="246">
        <f t="shared" si="9"/>
        <v>0</v>
      </c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</row>
    <row r="112" spans="1:38" s="227" customFormat="1" x14ac:dyDescent="0.25">
      <c r="A112" s="102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241">
        <v>107</v>
      </c>
      <c r="I112" s="242" t="str">
        <f t="shared" si="7"/>
        <v/>
      </c>
      <c r="J112" s="241" t="e">
        <f t="shared" si="11"/>
        <v>#NUM!</v>
      </c>
      <c r="K112" s="241" t="e">
        <f t="shared" si="8"/>
        <v>#NUM!</v>
      </c>
      <c r="L112" s="241"/>
      <c r="M112" s="243">
        <f t="shared" si="9"/>
        <v>0</v>
      </c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</row>
    <row r="113" spans="1:38" s="227" customFormat="1" x14ac:dyDescent="0.25">
      <c r="A113" s="106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244">
        <v>108</v>
      </c>
      <c r="I113" s="245" t="str">
        <f t="shared" si="7"/>
        <v/>
      </c>
      <c r="J113" s="244" t="e">
        <f t="shared" si="11"/>
        <v>#NUM!</v>
      </c>
      <c r="K113" s="244" t="e">
        <f t="shared" si="8"/>
        <v>#NUM!</v>
      </c>
      <c r="L113" s="244"/>
      <c r="M113" s="246">
        <f t="shared" si="9"/>
        <v>0</v>
      </c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</row>
    <row r="114" spans="1:38" s="227" customFormat="1" x14ac:dyDescent="0.25">
      <c r="A114" s="102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241">
        <v>109</v>
      </c>
      <c r="I114" s="242" t="str">
        <f t="shared" si="7"/>
        <v/>
      </c>
      <c r="J114" s="241" t="e">
        <f t="shared" si="11"/>
        <v>#NUM!</v>
      </c>
      <c r="K114" s="241" t="e">
        <f t="shared" si="8"/>
        <v>#NUM!</v>
      </c>
      <c r="L114" s="241"/>
      <c r="M114" s="243">
        <f t="shared" si="9"/>
        <v>0</v>
      </c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</row>
    <row r="115" spans="1:38" s="227" customFormat="1" x14ac:dyDescent="0.25">
      <c r="A115" s="106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244">
        <v>110</v>
      </c>
      <c r="I115" s="245" t="str">
        <f t="shared" si="7"/>
        <v/>
      </c>
      <c r="J115" s="244" t="e">
        <f t="shared" si="11"/>
        <v>#NUM!</v>
      </c>
      <c r="K115" s="244" t="e">
        <f t="shared" si="8"/>
        <v>#NUM!</v>
      </c>
      <c r="L115" s="244"/>
      <c r="M115" s="246">
        <f t="shared" si="9"/>
        <v>0</v>
      </c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</row>
    <row r="116" spans="1:38" s="227" customFormat="1" x14ac:dyDescent="0.25">
      <c r="A116" s="102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241">
        <v>111</v>
      </c>
      <c r="I116" s="242" t="str">
        <f t="shared" si="7"/>
        <v/>
      </c>
      <c r="J116" s="241" t="e">
        <f t="shared" si="11"/>
        <v>#NUM!</v>
      </c>
      <c r="K116" s="241" t="e">
        <f t="shared" si="8"/>
        <v>#NUM!</v>
      </c>
      <c r="L116" s="241"/>
      <c r="M116" s="243">
        <f t="shared" si="9"/>
        <v>0</v>
      </c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</row>
    <row r="117" spans="1:38" s="227" customFormat="1" x14ac:dyDescent="0.25">
      <c r="A117" s="106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244">
        <v>112</v>
      </c>
      <c r="I117" s="245" t="str">
        <f t="shared" si="7"/>
        <v/>
      </c>
      <c r="J117" s="244" t="e">
        <f t="shared" si="11"/>
        <v>#NUM!</v>
      </c>
      <c r="K117" s="244" t="e">
        <f t="shared" si="8"/>
        <v>#NUM!</v>
      </c>
      <c r="L117" s="244"/>
      <c r="M117" s="246">
        <f t="shared" si="9"/>
        <v>0</v>
      </c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</row>
    <row r="118" spans="1:38" s="227" customFormat="1" x14ac:dyDescent="0.25">
      <c r="A118" s="102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241">
        <v>113</v>
      </c>
      <c r="I118" s="242" t="str">
        <f t="shared" si="7"/>
        <v/>
      </c>
      <c r="J118" s="241" t="e">
        <f t="shared" si="11"/>
        <v>#NUM!</v>
      </c>
      <c r="K118" s="241" t="e">
        <f t="shared" si="8"/>
        <v>#NUM!</v>
      </c>
      <c r="L118" s="241"/>
      <c r="M118" s="243">
        <f t="shared" si="9"/>
        <v>0</v>
      </c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</row>
    <row r="119" spans="1:38" s="227" customFormat="1" x14ac:dyDescent="0.25">
      <c r="A119" s="106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244">
        <v>114</v>
      </c>
      <c r="I119" s="245" t="str">
        <f t="shared" si="7"/>
        <v/>
      </c>
      <c r="J119" s="244" t="e">
        <f t="shared" si="11"/>
        <v>#NUM!</v>
      </c>
      <c r="K119" s="244" t="e">
        <f t="shared" si="8"/>
        <v>#NUM!</v>
      </c>
      <c r="L119" s="244"/>
      <c r="M119" s="246">
        <f t="shared" si="9"/>
        <v>0</v>
      </c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</row>
    <row r="120" spans="1:38" s="227" customFormat="1" x14ac:dyDescent="0.25">
      <c r="A120" s="102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241">
        <v>115</v>
      </c>
      <c r="I120" s="242" t="str">
        <f t="shared" si="7"/>
        <v/>
      </c>
      <c r="J120" s="241" t="e">
        <f t="shared" si="11"/>
        <v>#NUM!</v>
      </c>
      <c r="K120" s="241" t="e">
        <f t="shared" si="8"/>
        <v>#NUM!</v>
      </c>
      <c r="L120" s="241"/>
      <c r="M120" s="243">
        <f t="shared" si="9"/>
        <v>0</v>
      </c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</row>
    <row r="121" spans="1:38" s="227" customFormat="1" x14ac:dyDescent="0.25">
      <c r="A121" s="106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244">
        <v>116</v>
      </c>
      <c r="I121" s="245" t="str">
        <f t="shared" si="7"/>
        <v/>
      </c>
      <c r="J121" s="244" t="e">
        <f t="shared" si="11"/>
        <v>#NUM!</v>
      </c>
      <c r="K121" s="244" t="e">
        <f t="shared" si="8"/>
        <v>#NUM!</v>
      </c>
      <c r="L121" s="244"/>
      <c r="M121" s="246">
        <f t="shared" si="9"/>
        <v>0</v>
      </c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</row>
    <row r="122" spans="1:38" s="227" customFormat="1" x14ac:dyDescent="0.25">
      <c r="A122" s="102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241">
        <v>117</v>
      </c>
      <c r="I122" s="242" t="str">
        <f t="shared" si="7"/>
        <v/>
      </c>
      <c r="J122" s="241" t="e">
        <f t="shared" si="11"/>
        <v>#NUM!</v>
      </c>
      <c r="K122" s="241" t="e">
        <f t="shared" si="8"/>
        <v>#NUM!</v>
      </c>
      <c r="L122" s="241"/>
      <c r="M122" s="243">
        <f t="shared" si="9"/>
        <v>0</v>
      </c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</row>
    <row r="123" spans="1:38" s="227" customFormat="1" x14ac:dyDescent="0.25">
      <c r="A123" s="106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244">
        <v>118</v>
      </c>
      <c r="I123" s="245" t="str">
        <f t="shared" si="7"/>
        <v/>
      </c>
      <c r="J123" s="244" t="e">
        <f t="shared" si="11"/>
        <v>#NUM!</v>
      </c>
      <c r="K123" s="244" t="e">
        <f t="shared" si="8"/>
        <v>#NUM!</v>
      </c>
      <c r="L123" s="244"/>
      <c r="M123" s="246">
        <f t="shared" si="9"/>
        <v>0</v>
      </c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</row>
    <row r="124" spans="1:38" s="227" customFormat="1" x14ac:dyDescent="0.25">
      <c r="A124" s="102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241">
        <v>119</v>
      </c>
      <c r="I124" s="242" t="str">
        <f t="shared" si="7"/>
        <v/>
      </c>
      <c r="J124" s="241" t="e">
        <f t="shared" si="11"/>
        <v>#NUM!</v>
      </c>
      <c r="K124" s="241" t="e">
        <f t="shared" si="8"/>
        <v>#NUM!</v>
      </c>
      <c r="L124" s="241"/>
      <c r="M124" s="243">
        <f t="shared" si="9"/>
        <v>0</v>
      </c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</row>
    <row r="125" spans="1:38" s="227" customFormat="1" x14ac:dyDescent="0.25">
      <c r="A125" s="106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244">
        <v>120</v>
      </c>
      <c r="I125" s="245" t="str">
        <f t="shared" si="7"/>
        <v/>
      </c>
      <c r="J125" s="244" t="e">
        <f t="shared" si="11"/>
        <v>#NUM!</v>
      </c>
      <c r="K125" s="244" t="e">
        <f t="shared" si="8"/>
        <v>#NUM!</v>
      </c>
      <c r="L125" s="244"/>
      <c r="M125" s="246">
        <f t="shared" si="9"/>
        <v>0</v>
      </c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</row>
    <row r="126" spans="1:38" s="227" customFormat="1" x14ac:dyDescent="0.25">
      <c r="A126" s="102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241">
        <v>121</v>
      </c>
      <c r="I126" s="242" t="str">
        <f t="shared" si="7"/>
        <v/>
      </c>
      <c r="J126" s="241" t="e">
        <f t="shared" si="11"/>
        <v>#NUM!</v>
      </c>
      <c r="K126" s="241" t="e">
        <f t="shared" si="8"/>
        <v>#NUM!</v>
      </c>
      <c r="L126" s="241"/>
      <c r="M126" s="243">
        <f t="shared" si="9"/>
        <v>0</v>
      </c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</row>
    <row r="127" spans="1:38" s="227" customFormat="1" x14ac:dyDescent="0.25">
      <c r="A127" s="106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244">
        <v>122</v>
      </c>
      <c r="I127" s="245" t="str">
        <f t="shared" si="7"/>
        <v/>
      </c>
      <c r="J127" s="244" t="e">
        <f t="shared" si="11"/>
        <v>#NUM!</v>
      </c>
      <c r="K127" s="244" t="e">
        <f t="shared" si="8"/>
        <v>#NUM!</v>
      </c>
      <c r="L127" s="244"/>
      <c r="M127" s="246">
        <f t="shared" si="9"/>
        <v>0</v>
      </c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</row>
    <row r="128" spans="1:38" s="227" customFormat="1" x14ac:dyDescent="0.25">
      <c r="A128" s="102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241">
        <v>123</v>
      </c>
      <c r="I128" s="242" t="str">
        <f t="shared" si="7"/>
        <v/>
      </c>
      <c r="J128" s="241" t="e">
        <f t="shared" si="11"/>
        <v>#NUM!</v>
      </c>
      <c r="K128" s="241" t="e">
        <f t="shared" si="8"/>
        <v>#NUM!</v>
      </c>
      <c r="L128" s="241"/>
      <c r="M128" s="243">
        <f t="shared" si="9"/>
        <v>0</v>
      </c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</row>
    <row r="129" spans="1:38" s="227" customFormat="1" x14ac:dyDescent="0.25">
      <c r="A129" s="106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244">
        <v>124</v>
      </c>
      <c r="I129" s="245" t="str">
        <f t="shared" si="7"/>
        <v/>
      </c>
      <c r="J129" s="244" t="e">
        <f t="shared" si="11"/>
        <v>#NUM!</v>
      </c>
      <c r="K129" s="244" t="e">
        <f t="shared" si="8"/>
        <v>#NUM!</v>
      </c>
      <c r="L129" s="244"/>
      <c r="M129" s="246">
        <f t="shared" si="9"/>
        <v>0</v>
      </c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</row>
    <row r="130" spans="1:38" s="227" customFormat="1" x14ac:dyDescent="0.25">
      <c r="A130" s="102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241">
        <v>125</v>
      </c>
      <c r="I130" s="242" t="str">
        <f t="shared" si="7"/>
        <v/>
      </c>
      <c r="J130" s="241" t="e">
        <f t="shared" si="11"/>
        <v>#NUM!</v>
      </c>
      <c r="K130" s="241" t="e">
        <f t="shared" si="8"/>
        <v>#NUM!</v>
      </c>
      <c r="L130" s="241"/>
      <c r="M130" s="243">
        <f t="shared" si="9"/>
        <v>0</v>
      </c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</row>
    <row r="131" spans="1:38" s="227" customFormat="1" x14ac:dyDescent="0.25">
      <c r="A131" s="106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244">
        <v>126</v>
      </c>
      <c r="I131" s="245" t="str">
        <f t="shared" si="7"/>
        <v/>
      </c>
      <c r="J131" s="244" t="e">
        <f t="shared" si="11"/>
        <v>#NUM!</v>
      </c>
      <c r="K131" s="244" t="e">
        <f t="shared" si="8"/>
        <v>#NUM!</v>
      </c>
      <c r="L131" s="244"/>
      <c r="M131" s="246">
        <f t="shared" si="9"/>
        <v>0</v>
      </c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</row>
    <row r="132" spans="1:38" s="227" customFormat="1" x14ac:dyDescent="0.25">
      <c r="A132" s="102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241">
        <v>127</v>
      </c>
      <c r="I132" s="242" t="str">
        <f t="shared" si="7"/>
        <v/>
      </c>
      <c r="J132" s="241" t="e">
        <f t="shared" si="11"/>
        <v>#NUM!</v>
      </c>
      <c r="K132" s="241" t="e">
        <f t="shared" si="8"/>
        <v>#NUM!</v>
      </c>
      <c r="L132" s="241"/>
      <c r="M132" s="243">
        <f t="shared" si="9"/>
        <v>0</v>
      </c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</row>
    <row r="133" spans="1:38" s="227" customFormat="1" x14ac:dyDescent="0.25">
      <c r="A133" s="106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244">
        <v>128</v>
      </c>
      <c r="I133" s="245" t="str">
        <f t="shared" si="7"/>
        <v/>
      </c>
      <c r="J133" s="244" t="e">
        <f t="shared" si="11"/>
        <v>#NUM!</v>
      </c>
      <c r="K133" s="244" t="e">
        <f t="shared" si="8"/>
        <v>#NUM!</v>
      </c>
      <c r="L133" s="244"/>
      <c r="M133" s="246">
        <f t="shared" si="9"/>
        <v>0</v>
      </c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</row>
    <row r="134" spans="1:38" s="227" customFormat="1" x14ac:dyDescent="0.25">
      <c r="A134" s="102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241">
        <v>129</v>
      </c>
      <c r="I134" s="242" t="str">
        <f t="shared" ref="I134:I197" si="13">IF(H134&lt;$H$2+1,($I$2-($I$2-1)*(LOG(H134)/LOG($H$2))),"")</f>
        <v/>
      </c>
      <c r="J134" s="241" t="e">
        <f t="shared" si="11"/>
        <v>#NUM!</v>
      </c>
      <c r="K134" s="241" t="e">
        <f t="shared" ref="K134:K197" si="14">J134*$J$2</f>
        <v>#NUM!</v>
      </c>
      <c r="L134" s="241"/>
      <c r="M134" s="243">
        <f t="shared" ref="M134:M197" si="15">IF(I134&lt;&gt;"",K134+I134+L134,0)</f>
        <v>0</v>
      </c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</row>
    <row r="135" spans="1:38" s="227" customFormat="1" x14ac:dyDescent="0.25">
      <c r="A135" s="106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244">
        <v>130</v>
      </c>
      <c r="I135" s="245" t="str">
        <f t="shared" si="13"/>
        <v/>
      </c>
      <c r="J135" s="244" t="e">
        <f t="shared" ref="J135:J198" si="17">INT(LOG($H$2,2))-ROUNDUP(LOG(H135,2),0)+IF(OR($H$2=1,$H$2=2,$H$2=4,$H$2=8,$H$2=16,$H$2=32,$H$2=64,$H$2=128,$H$2=256),0,1)</f>
        <v>#NUM!</v>
      </c>
      <c r="K135" s="244" t="e">
        <f t="shared" si="14"/>
        <v>#NUM!</v>
      </c>
      <c r="L135" s="244"/>
      <c r="M135" s="246">
        <f t="shared" si="15"/>
        <v>0</v>
      </c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</row>
    <row r="136" spans="1:38" s="227" customFormat="1" x14ac:dyDescent="0.25">
      <c r="A136" s="102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241">
        <v>131</v>
      </c>
      <c r="I136" s="242" t="str">
        <f t="shared" si="13"/>
        <v/>
      </c>
      <c r="J136" s="241" t="e">
        <f t="shared" si="17"/>
        <v>#NUM!</v>
      </c>
      <c r="K136" s="241" t="e">
        <f t="shared" si="14"/>
        <v>#NUM!</v>
      </c>
      <c r="L136" s="241"/>
      <c r="M136" s="243">
        <f t="shared" si="15"/>
        <v>0</v>
      </c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</row>
    <row r="137" spans="1:38" s="227" customFormat="1" x14ac:dyDescent="0.25">
      <c r="A137" s="106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244">
        <v>132</v>
      </c>
      <c r="I137" s="245" t="str">
        <f t="shared" si="13"/>
        <v/>
      </c>
      <c r="J137" s="244" t="e">
        <f t="shared" si="17"/>
        <v>#NUM!</v>
      </c>
      <c r="K137" s="244" t="e">
        <f t="shared" si="14"/>
        <v>#NUM!</v>
      </c>
      <c r="L137" s="244"/>
      <c r="M137" s="246">
        <f t="shared" si="15"/>
        <v>0</v>
      </c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</row>
    <row r="138" spans="1:38" s="227" customFormat="1" x14ac:dyDescent="0.25">
      <c r="A138" s="102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241">
        <v>133</v>
      </c>
      <c r="I138" s="242" t="str">
        <f t="shared" si="13"/>
        <v/>
      </c>
      <c r="J138" s="241" t="e">
        <f t="shared" si="17"/>
        <v>#NUM!</v>
      </c>
      <c r="K138" s="241" t="e">
        <f t="shared" si="14"/>
        <v>#NUM!</v>
      </c>
      <c r="L138" s="241"/>
      <c r="M138" s="243">
        <f t="shared" si="15"/>
        <v>0</v>
      </c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</row>
    <row r="139" spans="1:38" s="227" customFormat="1" x14ac:dyDescent="0.25">
      <c r="A139" s="106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244">
        <v>134</v>
      </c>
      <c r="I139" s="245" t="str">
        <f t="shared" si="13"/>
        <v/>
      </c>
      <c r="J139" s="244" t="e">
        <f t="shared" si="17"/>
        <v>#NUM!</v>
      </c>
      <c r="K139" s="244" t="e">
        <f t="shared" si="14"/>
        <v>#NUM!</v>
      </c>
      <c r="L139" s="244"/>
      <c r="M139" s="246">
        <f t="shared" si="15"/>
        <v>0</v>
      </c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</row>
    <row r="140" spans="1:38" s="227" customFormat="1" x14ac:dyDescent="0.25">
      <c r="A140" s="102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241">
        <v>135</v>
      </c>
      <c r="I140" s="242" t="str">
        <f t="shared" si="13"/>
        <v/>
      </c>
      <c r="J140" s="241" t="e">
        <f t="shared" si="17"/>
        <v>#NUM!</v>
      </c>
      <c r="K140" s="241" t="e">
        <f t="shared" si="14"/>
        <v>#NUM!</v>
      </c>
      <c r="L140" s="241"/>
      <c r="M140" s="243">
        <f t="shared" si="15"/>
        <v>0</v>
      </c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</row>
    <row r="141" spans="1:38" x14ac:dyDescent="0.25">
      <c r="A141" s="258"/>
      <c r="G141" s="227"/>
      <c r="H141" s="244">
        <v>136</v>
      </c>
      <c r="I141" s="242" t="str">
        <f t="shared" si="13"/>
        <v/>
      </c>
      <c r="J141" s="241" t="e">
        <f t="shared" si="17"/>
        <v>#NUM!</v>
      </c>
      <c r="K141" s="241" t="e">
        <f t="shared" si="14"/>
        <v>#NUM!</v>
      </c>
      <c r="L141" s="241"/>
      <c r="M141" s="243">
        <f t="shared" si="15"/>
        <v>0</v>
      </c>
    </row>
    <row r="142" spans="1:38" x14ac:dyDescent="0.25">
      <c r="A142" s="258"/>
      <c r="G142" s="227"/>
      <c r="H142" s="241">
        <v>137</v>
      </c>
      <c r="I142" s="242" t="str">
        <f t="shared" si="13"/>
        <v/>
      </c>
      <c r="J142" s="241" t="e">
        <f t="shared" si="17"/>
        <v>#NUM!</v>
      </c>
      <c r="K142" s="241" t="e">
        <f t="shared" si="14"/>
        <v>#NUM!</v>
      </c>
      <c r="L142" s="241"/>
      <c r="M142" s="243">
        <f t="shared" si="15"/>
        <v>0</v>
      </c>
    </row>
    <row r="143" spans="1:38" x14ac:dyDescent="0.25">
      <c r="A143" s="258"/>
      <c r="G143" s="227"/>
      <c r="H143" s="244">
        <v>138</v>
      </c>
      <c r="I143" s="242" t="str">
        <f t="shared" si="13"/>
        <v/>
      </c>
      <c r="J143" s="241" t="e">
        <f t="shared" si="17"/>
        <v>#NUM!</v>
      </c>
      <c r="K143" s="241" t="e">
        <f t="shared" si="14"/>
        <v>#NUM!</v>
      </c>
      <c r="L143" s="241"/>
      <c r="M143" s="243">
        <f t="shared" si="15"/>
        <v>0</v>
      </c>
    </row>
    <row r="144" spans="1:38" x14ac:dyDescent="0.25">
      <c r="A144" s="258"/>
      <c r="G144" s="227"/>
      <c r="H144" s="241">
        <v>139</v>
      </c>
      <c r="I144" s="242" t="str">
        <f t="shared" si="13"/>
        <v/>
      </c>
      <c r="J144" s="241" t="e">
        <f t="shared" si="17"/>
        <v>#NUM!</v>
      </c>
      <c r="K144" s="241" t="e">
        <f t="shared" si="14"/>
        <v>#NUM!</v>
      </c>
      <c r="L144" s="241"/>
      <c r="M144" s="243">
        <f t="shared" si="15"/>
        <v>0</v>
      </c>
    </row>
    <row r="145" spans="1:13" x14ac:dyDescent="0.25">
      <c r="A145" s="258"/>
      <c r="G145" s="227"/>
      <c r="H145" s="244">
        <v>140</v>
      </c>
      <c r="I145" s="242" t="str">
        <f t="shared" si="13"/>
        <v/>
      </c>
      <c r="J145" s="241" t="e">
        <f t="shared" si="17"/>
        <v>#NUM!</v>
      </c>
      <c r="K145" s="241" t="e">
        <f t="shared" si="14"/>
        <v>#NUM!</v>
      </c>
      <c r="L145" s="241"/>
      <c r="M145" s="243">
        <f t="shared" si="15"/>
        <v>0</v>
      </c>
    </row>
    <row r="146" spans="1:13" x14ac:dyDescent="0.25">
      <c r="A146" s="258"/>
      <c r="G146" s="227"/>
      <c r="H146" s="241">
        <v>141</v>
      </c>
      <c r="I146" s="242" t="str">
        <f t="shared" si="13"/>
        <v/>
      </c>
      <c r="J146" s="241" t="e">
        <f t="shared" si="17"/>
        <v>#NUM!</v>
      </c>
      <c r="K146" s="241" t="e">
        <f t="shared" si="14"/>
        <v>#NUM!</v>
      </c>
      <c r="L146" s="241"/>
      <c r="M146" s="243">
        <f t="shared" si="15"/>
        <v>0</v>
      </c>
    </row>
    <row r="147" spans="1:13" x14ac:dyDescent="0.25">
      <c r="A147" s="258"/>
      <c r="G147" s="227"/>
      <c r="H147" s="244">
        <v>142</v>
      </c>
      <c r="I147" s="242" t="str">
        <f t="shared" si="13"/>
        <v/>
      </c>
      <c r="J147" s="241" t="e">
        <f t="shared" si="17"/>
        <v>#NUM!</v>
      </c>
      <c r="K147" s="241" t="e">
        <f t="shared" si="14"/>
        <v>#NUM!</v>
      </c>
      <c r="L147" s="241"/>
      <c r="M147" s="243">
        <f t="shared" si="15"/>
        <v>0</v>
      </c>
    </row>
    <row r="148" spans="1:13" x14ac:dyDescent="0.25">
      <c r="A148" s="258"/>
      <c r="G148" s="227"/>
      <c r="H148" s="241">
        <v>143</v>
      </c>
      <c r="I148" s="242" t="str">
        <f t="shared" si="13"/>
        <v/>
      </c>
      <c r="J148" s="241" t="e">
        <f t="shared" si="17"/>
        <v>#NUM!</v>
      </c>
      <c r="K148" s="241" t="e">
        <f t="shared" si="14"/>
        <v>#NUM!</v>
      </c>
      <c r="L148" s="241"/>
      <c r="M148" s="243">
        <f t="shared" si="15"/>
        <v>0</v>
      </c>
    </row>
    <row r="149" spans="1:13" x14ac:dyDescent="0.25">
      <c r="A149" s="258"/>
      <c r="G149" s="227"/>
      <c r="H149" s="244">
        <v>144</v>
      </c>
      <c r="I149" s="242" t="str">
        <f t="shared" si="13"/>
        <v/>
      </c>
      <c r="J149" s="241" t="e">
        <f t="shared" si="17"/>
        <v>#NUM!</v>
      </c>
      <c r="K149" s="241" t="e">
        <f t="shared" si="14"/>
        <v>#NUM!</v>
      </c>
      <c r="L149" s="241"/>
      <c r="M149" s="243">
        <f t="shared" si="15"/>
        <v>0</v>
      </c>
    </row>
    <row r="150" spans="1:13" x14ac:dyDescent="0.25">
      <c r="A150" s="258"/>
      <c r="G150" s="227"/>
      <c r="H150" s="241">
        <v>145</v>
      </c>
      <c r="I150" s="242" t="str">
        <f t="shared" si="13"/>
        <v/>
      </c>
      <c r="J150" s="241" t="e">
        <f t="shared" si="17"/>
        <v>#NUM!</v>
      </c>
      <c r="K150" s="241" t="e">
        <f t="shared" si="14"/>
        <v>#NUM!</v>
      </c>
      <c r="L150" s="241"/>
      <c r="M150" s="243">
        <f t="shared" si="15"/>
        <v>0</v>
      </c>
    </row>
    <row r="151" spans="1:13" x14ac:dyDescent="0.25">
      <c r="A151" s="258"/>
      <c r="G151" s="227"/>
      <c r="H151" s="244">
        <v>146</v>
      </c>
      <c r="I151" s="242" t="str">
        <f t="shared" si="13"/>
        <v/>
      </c>
      <c r="J151" s="241" t="e">
        <f t="shared" si="17"/>
        <v>#NUM!</v>
      </c>
      <c r="K151" s="241" t="e">
        <f t="shared" si="14"/>
        <v>#NUM!</v>
      </c>
      <c r="L151" s="241"/>
      <c r="M151" s="243">
        <f t="shared" si="15"/>
        <v>0</v>
      </c>
    </row>
    <row r="152" spans="1:13" x14ac:dyDescent="0.25">
      <c r="A152" s="258"/>
      <c r="G152" s="227"/>
      <c r="H152" s="241">
        <v>147</v>
      </c>
      <c r="I152" s="242" t="str">
        <f t="shared" si="13"/>
        <v/>
      </c>
      <c r="J152" s="241" t="e">
        <f t="shared" si="17"/>
        <v>#NUM!</v>
      </c>
      <c r="K152" s="241" t="e">
        <f t="shared" si="14"/>
        <v>#NUM!</v>
      </c>
      <c r="L152" s="241"/>
      <c r="M152" s="243">
        <f t="shared" si="15"/>
        <v>0</v>
      </c>
    </row>
    <row r="153" spans="1:13" x14ac:dyDescent="0.25">
      <c r="A153" s="258"/>
      <c r="G153" s="227"/>
      <c r="H153" s="244">
        <v>148</v>
      </c>
      <c r="I153" s="242" t="str">
        <f t="shared" si="13"/>
        <v/>
      </c>
      <c r="J153" s="241" t="e">
        <f t="shared" si="17"/>
        <v>#NUM!</v>
      </c>
      <c r="K153" s="241" t="e">
        <f t="shared" si="14"/>
        <v>#NUM!</v>
      </c>
      <c r="L153" s="241"/>
      <c r="M153" s="243">
        <f t="shared" si="15"/>
        <v>0</v>
      </c>
    </row>
    <row r="154" spans="1:13" x14ac:dyDescent="0.25">
      <c r="A154" s="258"/>
      <c r="G154" s="227"/>
      <c r="H154" s="241">
        <v>149</v>
      </c>
      <c r="I154" s="242" t="str">
        <f t="shared" si="13"/>
        <v/>
      </c>
      <c r="J154" s="241" t="e">
        <f t="shared" si="17"/>
        <v>#NUM!</v>
      </c>
      <c r="K154" s="241" t="e">
        <f t="shared" si="14"/>
        <v>#NUM!</v>
      </c>
      <c r="L154" s="241"/>
      <c r="M154" s="243">
        <f t="shared" si="15"/>
        <v>0</v>
      </c>
    </row>
    <row r="155" spans="1:13" x14ac:dyDescent="0.25">
      <c r="A155" s="258"/>
      <c r="G155" s="227"/>
      <c r="H155" s="244">
        <v>150</v>
      </c>
      <c r="I155" s="242" t="str">
        <f t="shared" si="13"/>
        <v/>
      </c>
      <c r="J155" s="241" t="e">
        <f t="shared" si="17"/>
        <v>#NUM!</v>
      </c>
      <c r="K155" s="241" t="e">
        <f t="shared" si="14"/>
        <v>#NUM!</v>
      </c>
      <c r="L155" s="241"/>
      <c r="M155" s="243">
        <f t="shared" si="15"/>
        <v>0</v>
      </c>
    </row>
    <row r="156" spans="1:13" x14ac:dyDescent="0.25">
      <c r="A156" s="258"/>
      <c r="G156" s="227"/>
      <c r="H156" s="241">
        <v>151</v>
      </c>
      <c r="I156" s="242" t="str">
        <f t="shared" si="13"/>
        <v/>
      </c>
      <c r="J156" s="241" t="e">
        <f t="shared" si="17"/>
        <v>#NUM!</v>
      </c>
      <c r="K156" s="241" t="e">
        <f t="shared" si="14"/>
        <v>#NUM!</v>
      </c>
      <c r="L156" s="241"/>
      <c r="M156" s="243">
        <f t="shared" si="15"/>
        <v>0</v>
      </c>
    </row>
    <row r="157" spans="1:13" x14ac:dyDescent="0.25">
      <c r="A157" s="258"/>
      <c r="G157" s="227"/>
      <c r="H157" s="244">
        <v>152</v>
      </c>
      <c r="I157" s="242" t="str">
        <f t="shared" si="13"/>
        <v/>
      </c>
      <c r="J157" s="241" t="e">
        <f t="shared" si="17"/>
        <v>#NUM!</v>
      </c>
      <c r="K157" s="241" t="e">
        <f t="shared" si="14"/>
        <v>#NUM!</v>
      </c>
      <c r="L157" s="241"/>
      <c r="M157" s="243">
        <f t="shared" si="15"/>
        <v>0</v>
      </c>
    </row>
    <row r="158" spans="1:13" x14ac:dyDescent="0.25">
      <c r="A158" s="258"/>
      <c r="G158" s="227"/>
      <c r="H158" s="241">
        <v>153</v>
      </c>
      <c r="I158" s="242" t="str">
        <f t="shared" si="13"/>
        <v/>
      </c>
      <c r="J158" s="241" t="e">
        <f t="shared" si="17"/>
        <v>#NUM!</v>
      </c>
      <c r="K158" s="241" t="e">
        <f t="shared" si="14"/>
        <v>#NUM!</v>
      </c>
      <c r="L158" s="241"/>
      <c r="M158" s="243">
        <f t="shared" si="15"/>
        <v>0</v>
      </c>
    </row>
    <row r="159" spans="1:13" x14ac:dyDescent="0.25">
      <c r="A159" s="258"/>
      <c r="G159" s="227"/>
      <c r="H159" s="244">
        <v>154</v>
      </c>
      <c r="I159" s="242" t="str">
        <f t="shared" si="13"/>
        <v/>
      </c>
      <c r="J159" s="241" t="e">
        <f t="shared" si="17"/>
        <v>#NUM!</v>
      </c>
      <c r="K159" s="241" t="e">
        <f t="shared" si="14"/>
        <v>#NUM!</v>
      </c>
      <c r="L159" s="241"/>
      <c r="M159" s="243">
        <f t="shared" si="15"/>
        <v>0</v>
      </c>
    </row>
    <row r="160" spans="1:13" x14ac:dyDescent="0.25">
      <c r="A160" s="258"/>
      <c r="G160" s="227"/>
      <c r="H160" s="241">
        <v>155</v>
      </c>
      <c r="I160" s="242" t="str">
        <f t="shared" si="13"/>
        <v/>
      </c>
      <c r="J160" s="241" t="e">
        <f t="shared" si="17"/>
        <v>#NUM!</v>
      </c>
      <c r="K160" s="241" t="e">
        <f t="shared" si="14"/>
        <v>#NUM!</v>
      </c>
      <c r="L160" s="241"/>
      <c r="M160" s="243">
        <f t="shared" si="15"/>
        <v>0</v>
      </c>
    </row>
    <row r="161" spans="1:13" x14ac:dyDescent="0.25">
      <c r="A161" s="258"/>
      <c r="G161" s="227"/>
      <c r="H161" s="244">
        <v>156</v>
      </c>
      <c r="I161" s="242" t="str">
        <f t="shared" si="13"/>
        <v/>
      </c>
      <c r="J161" s="241" t="e">
        <f t="shared" si="17"/>
        <v>#NUM!</v>
      </c>
      <c r="K161" s="241" t="e">
        <f t="shared" si="14"/>
        <v>#NUM!</v>
      </c>
      <c r="L161" s="241"/>
      <c r="M161" s="243">
        <f t="shared" si="15"/>
        <v>0</v>
      </c>
    </row>
    <row r="162" spans="1:13" x14ac:dyDescent="0.25">
      <c r="A162" s="258"/>
      <c r="G162" s="227"/>
      <c r="H162" s="241">
        <v>157</v>
      </c>
      <c r="I162" s="242" t="str">
        <f t="shared" si="13"/>
        <v/>
      </c>
      <c r="J162" s="241" t="e">
        <f t="shared" si="17"/>
        <v>#NUM!</v>
      </c>
      <c r="K162" s="241" t="e">
        <f t="shared" si="14"/>
        <v>#NUM!</v>
      </c>
      <c r="L162" s="241"/>
      <c r="M162" s="243">
        <f t="shared" si="15"/>
        <v>0</v>
      </c>
    </row>
    <row r="163" spans="1:13" x14ac:dyDescent="0.25">
      <c r="A163" s="258"/>
      <c r="G163" s="227"/>
      <c r="H163" s="244">
        <v>158</v>
      </c>
      <c r="I163" s="242" t="str">
        <f t="shared" si="13"/>
        <v/>
      </c>
      <c r="J163" s="241" t="e">
        <f t="shared" si="17"/>
        <v>#NUM!</v>
      </c>
      <c r="K163" s="241" t="e">
        <f t="shared" si="14"/>
        <v>#NUM!</v>
      </c>
      <c r="L163" s="241"/>
      <c r="M163" s="243">
        <f t="shared" si="15"/>
        <v>0</v>
      </c>
    </row>
    <row r="164" spans="1:13" x14ac:dyDescent="0.25">
      <c r="A164" s="258"/>
      <c r="G164" s="227"/>
      <c r="H164" s="241">
        <v>159</v>
      </c>
      <c r="I164" s="242" t="str">
        <f t="shared" si="13"/>
        <v/>
      </c>
      <c r="J164" s="241" t="e">
        <f t="shared" si="17"/>
        <v>#NUM!</v>
      </c>
      <c r="K164" s="241" t="e">
        <f t="shared" si="14"/>
        <v>#NUM!</v>
      </c>
      <c r="L164" s="241"/>
      <c r="M164" s="243">
        <f t="shared" si="15"/>
        <v>0</v>
      </c>
    </row>
    <row r="165" spans="1:13" x14ac:dyDescent="0.25">
      <c r="A165" s="258"/>
      <c r="G165" s="227"/>
      <c r="H165" s="244">
        <v>160</v>
      </c>
      <c r="I165" s="242" t="str">
        <f t="shared" si="13"/>
        <v/>
      </c>
      <c r="J165" s="241" t="e">
        <f t="shared" si="17"/>
        <v>#NUM!</v>
      </c>
      <c r="K165" s="241" t="e">
        <f t="shared" si="14"/>
        <v>#NUM!</v>
      </c>
      <c r="L165" s="241"/>
      <c r="M165" s="243">
        <f t="shared" si="15"/>
        <v>0</v>
      </c>
    </row>
    <row r="166" spans="1:13" x14ac:dyDescent="0.25">
      <c r="A166" s="258"/>
      <c r="G166" s="227"/>
      <c r="H166" s="241">
        <v>161</v>
      </c>
      <c r="I166" s="242" t="str">
        <f t="shared" si="13"/>
        <v/>
      </c>
      <c r="J166" s="241" t="e">
        <f t="shared" si="17"/>
        <v>#NUM!</v>
      </c>
      <c r="K166" s="241" t="e">
        <f t="shared" si="14"/>
        <v>#NUM!</v>
      </c>
      <c r="L166" s="241"/>
      <c r="M166" s="243">
        <f t="shared" si="15"/>
        <v>0</v>
      </c>
    </row>
    <row r="167" spans="1:13" x14ac:dyDescent="0.25">
      <c r="A167" s="258"/>
      <c r="G167" s="227"/>
      <c r="H167" s="244">
        <v>162</v>
      </c>
      <c r="I167" s="242" t="str">
        <f t="shared" si="13"/>
        <v/>
      </c>
      <c r="J167" s="241" t="e">
        <f t="shared" si="17"/>
        <v>#NUM!</v>
      </c>
      <c r="K167" s="241" t="e">
        <f t="shared" si="14"/>
        <v>#NUM!</v>
      </c>
      <c r="L167" s="241"/>
      <c r="M167" s="243">
        <f t="shared" si="15"/>
        <v>0</v>
      </c>
    </row>
    <row r="168" spans="1:13" x14ac:dyDescent="0.25">
      <c r="A168" s="258"/>
      <c r="G168" s="227"/>
      <c r="H168" s="241">
        <v>163</v>
      </c>
      <c r="I168" s="242" t="str">
        <f t="shared" si="13"/>
        <v/>
      </c>
      <c r="J168" s="241" t="e">
        <f t="shared" si="17"/>
        <v>#NUM!</v>
      </c>
      <c r="K168" s="241" t="e">
        <f t="shared" si="14"/>
        <v>#NUM!</v>
      </c>
      <c r="L168" s="241"/>
      <c r="M168" s="243">
        <f t="shared" si="15"/>
        <v>0</v>
      </c>
    </row>
    <row r="169" spans="1:13" x14ac:dyDescent="0.25">
      <c r="A169" s="258"/>
      <c r="C169" s="257" t="s">
        <v>53</v>
      </c>
      <c r="G169" s="227"/>
      <c r="H169" s="244">
        <v>164</v>
      </c>
      <c r="I169" s="242" t="str">
        <f t="shared" si="13"/>
        <v/>
      </c>
      <c r="J169" s="241" t="e">
        <f t="shared" si="17"/>
        <v>#NUM!</v>
      </c>
      <c r="K169" s="241" t="e">
        <f t="shared" si="14"/>
        <v>#NUM!</v>
      </c>
      <c r="L169" s="241"/>
      <c r="M169" s="243">
        <f t="shared" si="15"/>
        <v>0</v>
      </c>
    </row>
    <row r="170" spans="1:13" x14ac:dyDescent="0.25">
      <c r="A170" s="258"/>
      <c r="G170" s="227"/>
      <c r="H170" s="241">
        <v>165</v>
      </c>
      <c r="I170" s="242" t="str">
        <f t="shared" si="13"/>
        <v/>
      </c>
      <c r="J170" s="241" t="e">
        <f t="shared" si="17"/>
        <v>#NUM!</v>
      </c>
      <c r="K170" s="241" t="e">
        <f t="shared" si="14"/>
        <v>#NUM!</v>
      </c>
      <c r="L170" s="241"/>
      <c r="M170" s="243">
        <f t="shared" si="15"/>
        <v>0</v>
      </c>
    </row>
    <row r="171" spans="1:13" x14ac:dyDescent="0.25">
      <c r="A171" s="258"/>
      <c r="G171" s="227"/>
      <c r="H171" s="244">
        <v>166</v>
      </c>
      <c r="I171" s="242" t="str">
        <f t="shared" si="13"/>
        <v/>
      </c>
      <c r="J171" s="241" t="e">
        <f t="shared" si="17"/>
        <v>#NUM!</v>
      </c>
      <c r="K171" s="241" t="e">
        <f t="shared" si="14"/>
        <v>#NUM!</v>
      </c>
      <c r="L171" s="241"/>
      <c r="M171" s="243">
        <f t="shared" si="15"/>
        <v>0</v>
      </c>
    </row>
    <row r="172" spans="1:13" x14ac:dyDescent="0.25">
      <c r="A172" s="258"/>
      <c r="G172" s="227"/>
      <c r="H172" s="241">
        <v>167</v>
      </c>
      <c r="I172" s="242" t="str">
        <f t="shared" si="13"/>
        <v/>
      </c>
      <c r="J172" s="241" t="e">
        <f t="shared" si="17"/>
        <v>#NUM!</v>
      </c>
      <c r="K172" s="241" t="e">
        <f t="shared" si="14"/>
        <v>#NUM!</v>
      </c>
      <c r="L172" s="241"/>
      <c r="M172" s="243">
        <f t="shared" si="15"/>
        <v>0</v>
      </c>
    </row>
    <row r="173" spans="1:13" x14ac:dyDescent="0.25">
      <c r="A173" s="258"/>
      <c r="G173" s="227"/>
      <c r="H173" s="244">
        <v>168</v>
      </c>
      <c r="I173" s="242" t="str">
        <f t="shared" si="13"/>
        <v/>
      </c>
      <c r="J173" s="241" t="e">
        <f t="shared" si="17"/>
        <v>#NUM!</v>
      </c>
      <c r="K173" s="241" t="e">
        <f t="shared" si="14"/>
        <v>#NUM!</v>
      </c>
      <c r="L173" s="241"/>
      <c r="M173" s="243">
        <f t="shared" si="15"/>
        <v>0</v>
      </c>
    </row>
    <row r="174" spans="1:13" x14ac:dyDescent="0.25">
      <c r="A174" s="258"/>
      <c r="G174" s="227"/>
      <c r="H174" s="241">
        <v>169</v>
      </c>
      <c r="I174" s="242" t="str">
        <f t="shared" si="13"/>
        <v/>
      </c>
      <c r="J174" s="241" t="e">
        <f t="shared" si="17"/>
        <v>#NUM!</v>
      </c>
      <c r="K174" s="241" t="e">
        <f t="shared" si="14"/>
        <v>#NUM!</v>
      </c>
      <c r="L174" s="241"/>
      <c r="M174" s="243">
        <f t="shared" si="15"/>
        <v>0</v>
      </c>
    </row>
    <row r="175" spans="1:13" x14ac:dyDescent="0.25">
      <c r="A175" s="258"/>
      <c r="G175" s="227"/>
      <c r="H175" s="244">
        <v>170</v>
      </c>
      <c r="I175" s="242" t="str">
        <f t="shared" si="13"/>
        <v/>
      </c>
      <c r="J175" s="241" t="e">
        <f t="shared" si="17"/>
        <v>#NUM!</v>
      </c>
      <c r="K175" s="241" t="e">
        <f t="shared" si="14"/>
        <v>#NUM!</v>
      </c>
      <c r="L175" s="241"/>
      <c r="M175" s="243">
        <f t="shared" si="15"/>
        <v>0</v>
      </c>
    </row>
    <row r="176" spans="1:13" x14ac:dyDescent="0.25">
      <c r="A176" s="258"/>
      <c r="G176" s="227"/>
      <c r="H176" s="241">
        <v>171</v>
      </c>
      <c r="I176" s="242" t="str">
        <f t="shared" si="13"/>
        <v/>
      </c>
      <c r="J176" s="241" t="e">
        <f t="shared" si="17"/>
        <v>#NUM!</v>
      </c>
      <c r="K176" s="241" t="e">
        <f t="shared" si="14"/>
        <v>#NUM!</v>
      </c>
      <c r="L176" s="241"/>
      <c r="M176" s="243">
        <f t="shared" si="15"/>
        <v>0</v>
      </c>
    </row>
    <row r="177" spans="1:13" x14ac:dyDescent="0.25">
      <c r="A177" s="258"/>
      <c r="G177" s="227"/>
      <c r="H177" s="244">
        <v>172</v>
      </c>
      <c r="I177" s="242" t="str">
        <f t="shared" si="13"/>
        <v/>
      </c>
      <c r="J177" s="241" t="e">
        <f t="shared" si="17"/>
        <v>#NUM!</v>
      </c>
      <c r="K177" s="241" t="e">
        <f t="shared" si="14"/>
        <v>#NUM!</v>
      </c>
      <c r="L177" s="241"/>
      <c r="M177" s="243">
        <f t="shared" si="15"/>
        <v>0</v>
      </c>
    </row>
    <row r="178" spans="1:13" x14ac:dyDescent="0.25">
      <c r="A178" s="258"/>
      <c r="G178" s="227"/>
      <c r="H178" s="241">
        <v>173</v>
      </c>
      <c r="I178" s="242" t="str">
        <f t="shared" si="13"/>
        <v/>
      </c>
      <c r="J178" s="241" t="e">
        <f t="shared" si="17"/>
        <v>#NUM!</v>
      </c>
      <c r="K178" s="241" t="e">
        <f t="shared" si="14"/>
        <v>#NUM!</v>
      </c>
      <c r="L178" s="241"/>
      <c r="M178" s="243">
        <f t="shared" si="15"/>
        <v>0</v>
      </c>
    </row>
    <row r="179" spans="1:13" x14ac:dyDescent="0.25">
      <c r="A179" s="258"/>
      <c r="G179" s="227"/>
      <c r="H179" s="244">
        <v>174</v>
      </c>
      <c r="I179" s="242" t="str">
        <f t="shared" si="13"/>
        <v/>
      </c>
      <c r="J179" s="241" t="e">
        <f t="shared" si="17"/>
        <v>#NUM!</v>
      </c>
      <c r="K179" s="241" t="e">
        <f t="shared" si="14"/>
        <v>#NUM!</v>
      </c>
      <c r="L179" s="241"/>
      <c r="M179" s="243">
        <f t="shared" si="15"/>
        <v>0</v>
      </c>
    </row>
    <row r="180" spans="1:13" x14ac:dyDescent="0.25">
      <c r="A180" s="258"/>
      <c r="G180" s="227"/>
      <c r="H180" s="241">
        <v>175</v>
      </c>
      <c r="I180" s="242" t="str">
        <f t="shared" si="13"/>
        <v/>
      </c>
      <c r="J180" s="241" t="e">
        <f t="shared" si="17"/>
        <v>#NUM!</v>
      </c>
      <c r="K180" s="241" t="e">
        <f t="shared" si="14"/>
        <v>#NUM!</v>
      </c>
      <c r="L180" s="241"/>
      <c r="M180" s="243">
        <f t="shared" si="15"/>
        <v>0</v>
      </c>
    </row>
    <row r="181" spans="1:13" x14ac:dyDescent="0.25">
      <c r="A181" s="258"/>
      <c r="G181" s="227"/>
      <c r="H181" s="244">
        <v>176</v>
      </c>
      <c r="I181" s="242" t="str">
        <f t="shared" si="13"/>
        <v/>
      </c>
      <c r="J181" s="241" t="e">
        <f t="shared" si="17"/>
        <v>#NUM!</v>
      </c>
      <c r="K181" s="241" t="e">
        <f t="shared" si="14"/>
        <v>#NUM!</v>
      </c>
      <c r="L181" s="241"/>
      <c r="M181" s="243">
        <f t="shared" si="15"/>
        <v>0</v>
      </c>
    </row>
    <row r="182" spans="1:13" x14ac:dyDescent="0.25">
      <c r="A182" s="258"/>
      <c r="G182" s="227"/>
      <c r="H182" s="241">
        <v>177</v>
      </c>
      <c r="I182" s="242" t="str">
        <f t="shared" si="13"/>
        <v/>
      </c>
      <c r="J182" s="241" t="e">
        <f t="shared" si="17"/>
        <v>#NUM!</v>
      </c>
      <c r="K182" s="241" t="e">
        <f t="shared" si="14"/>
        <v>#NUM!</v>
      </c>
      <c r="L182" s="241"/>
      <c r="M182" s="243">
        <f t="shared" si="15"/>
        <v>0</v>
      </c>
    </row>
    <row r="183" spans="1:13" x14ac:dyDescent="0.25">
      <c r="A183" s="258"/>
      <c r="G183" s="227"/>
      <c r="H183" s="244">
        <v>178</v>
      </c>
      <c r="I183" s="242" t="str">
        <f t="shared" si="13"/>
        <v/>
      </c>
      <c r="J183" s="241" t="e">
        <f t="shared" si="17"/>
        <v>#NUM!</v>
      </c>
      <c r="K183" s="241" t="e">
        <f t="shared" si="14"/>
        <v>#NUM!</v>
      </c>
      <c r="L183" s="241"/>
      <c r="M183" s="243">
        <f t="shared" si="15"/>
        <v>0</v>
      </c>
    </row>
    <row r="184" spans="1:13" x14ac:dyDescent="0.25">
      <c r="A184" s="258"/>
      <c r="G184" s="227"/>
      <c r="H184" s="241">
        <v>179</v>
      </c>
      <c r="I184" s="242" t="str">
        <f t="shared" si="13"/>
        <v/>
      </c>
      <c r="J184" s="241" t="e">
        <f t="shared" si="17"/>
        <v>#NUM!</v>
      </c>
      <c r="K184" s="241" t="e">
        <f t="shared" si="14"/>
        <v>#NUM!</v>
      </c>
      <c r="L184" s="241"/>
      <c r="M184" s="243">
        <f t="shared" si="15"/>
        <v>0</v>
      </c>
    </row>
    <row r="185" spans="1:13" x14ac:dyDescent="0.25">
      <c r="A185" s="258"/>
      <c r="G185" s="227"/>
      <c r="H185" s="244">
        <v>180</v>
      </c>
      <c r="I185" s="242" t="str">
        <f t="shared" si="13"/>
        <v/>
      </c>
      <c r="J185" s="241" t="e">
        <f t="shared" si="17"/>
        <v>#NUM!</v>
      </c>
      <c r="K185" s="241" t="e">
        <f t="shared" si="14"/>
        <v>#NUM!</v>
      </c>
      <c r="L185" s="241"/>
      <c r="M185" s="243">
        <f t="shared" si="15"/>
        <v>0</v>
      </c>
    </row>
    <row r="186" spans="1:13" x14ac:dyDescent="0.25">
      <c r="A186" s="258"/>
      <c r="G186" s="227"/>
      <c r="H186" s="241">
        <v>181</v>
      </c>
      <c r="I186" s="242" t="str">
        <f t="shared" si="13"/>
        <v/>
      </c>
      <c r="J186" s="241" t="e">
        <f t="shared" si="17"/>
        <v>#NUM!</v>
      </c>
      <c r="K186" s="241" t="e">
        <f t="shared" si="14"/>
        <v>#NUM!</v>
      </c>
      <c r="L186" s="241"/>
      <c r="M186" s="243">
        <f t="shared" si="15"/>
        <v>0</v>
      </c>
    </row>
    <row r="187" spans="1:13" x14ac:dyDescent="0.25">
      <c r="A187" s="258"/>
      <c r="G187" s="227"/>
      <c r="H187" s="244">
        <v>182</v>
      </c>
      <c r="I187" s="242" t="str">
        <f t="shared" si="13"/>
        <v/>
      </c>
      <c r="J187" s="241" t="e">
        <f t="shared" si="17"/>
        <v>#NUM!</v>
      </c>
      <c r="K187" s="241" t="e">
        <f t="shared" si="14"/>
        <v>#NUM!</v>
      </c>
      <c r="L187" s="241"/>
      <c r="M187" s="243">
        <f t="shared" si="15"/>
        <v>0</v>
      </c>
    </row>
    <row r="188" spans="1:13" x14ac:dyDescent="0.25">
      <c r="A188" s="258"/>
      <c r="G188" s="227"/>
      <c r="H188" s="241">
        <v>183</v>
      </c>
      <c r="I188" s="242" t="str">
        <f t="shared" si="13"/>
        <v/>
      </c>
      <c r="J188" s="241" t="e">
        <f t="shared" si="17"/>
        <v>#NUM!</v>
      </c>
      <c r="K188" s="241" t="e">
        <f t="shared" si="14"/>
        <v>#NUM!</v>
      </c>
      <c r="L188" s="241"/>
      <c r="M188" s="243">
        <f t="shared" si="15"/>
        <v>0</v>
      </c>
    </row>
    <row r="189" spans="1:13" x14ac:dyDescent="0.25">
      <c r="A189" s="258"/>
      <c r="G189" s="227"/>
      <c r="H189" s="244">
        <v>184</v>
      </c>
      <c r="I189" s="242" t="str">
        <f t="shared" si="13"/>
        <v/>
      </c>
      <c r="J189" s="241" t="e">
        <f t="shared" si="17"/>
        <v>#NUM!</v>
      </c>
      <c r="K189" s="241" t="e">
        <f t="shared" si="14"/>
        <v>#NUM!</v>
      </c>
      <c r="L189" s="241"/>
      <c r="M189" s="243">
        <f t="shared" si="15"/>
        <v>0</v>
      </c>
    </row>
    <row r="190" spans="1:13" x14ac:dyDescent="0.25">
      <c r="A190" s="258"/>
      <c r="G190" s="227"/>
      <c r="H190" s="241">
        <v>185</v>
      </c>
      <c r="I190" s="242" t="str">
        <f t="shared" si="13"/>
        <v/>
      </c>
      <c r="J190" s="241" t="e">
        <f t="shared" si="17"/>
        <v>#NUM!</v>
      </c>
      <c r="K190" s="241" t="e">
        <f t="shared" si="14"/>
        <v>#NUM!</v>
      </c>
      <c r="L190" s="241"/>
      <c r="M190" s="243">
        <f t="shared" si="15"/>
        <v>0</v>
      </c>
    </row>
    <row r="191" spans="1:13" x14ac:dyDescent="0.25">
      <c r="A191" s="258"/>
      <c r="G191" s="227"/>
      <c r="H191" s="244">
        <v>186</v>
      </c>
      <c r="I191" s="242" t="str">
        <f t="shared" si="13"/>
        <v/>
      </c>
      <c r="J191" s="241" t="e">
        <f t="shared" si="17"/>
        <v>#NUM!</v>
      </c>
      <c r="K191" s="241" t="e">
        <f t="shared" si="14"/>
        <v>#NUM!</v>
      </c>
      <c r="L191" s="241"/>
      <c r="M191" s="243">
        <f t="shared" si="15"/>
        <v>0</v>
      </c>
    </row>
    <row r="192" spans="1:13" x14ac:dyDescent="0.25">
      <c r="A192" s="258"/>
      <c r="G192" s="227"/>
      <c r="H192" s="241">
        <v>187</v>
      </c>
      <c r="I192" s="242" t="str">
        <f t="shared" si="13"/>
        <v/>
      </c>
      <c r="J192" s="241" t="e">
        <f t="shared" si="17"/>
        <v>#NUM!</v>
      </c>
      <c r="K192" s="241" t="e">
        <f t="shared" si="14"/>
        <v>#NUM!</v>
      </c>
      <c r="L192" s="241"/>
      <c r="M192" s="243">
        <f t="shared" si="15"/>
        <v>0</v>
      </c>
    </row>
    <row r="193" spans="1:13" x14ac:dyDescent="0.25">
      <c r="A193" s="258"/>
      <c r="G193" s="227"/>
      <c r="H193" s="244">
        <v>188</v>
      </c>
      <c r="I193" s="242" t="str">
        <f t="shared" si="13"/>
        <v/>
      </c>
      <c r="J193" s="241" t="e">
        <f t="shared" si="17"/>
        <v>#NUM!</v>
      </c>
      <c r="K193" s="241" t="e">
        <f t="shared" si="14"/>
        <v>#NUM!</v>
      </c>
      <c r="L193" s="241"/>
      <c r="M193" s="243">
        <f t="shared" si="15"/>
        <v>0</v>
      </c>
    </row>
    <row r="194" spans="1:13" x14ac:dyDescent="0.25">
      <c r="A194" s="258"/>
      <c r="G194" s="227"/>
      <c r="H194" s="241">
        <v>189</v>
      </c>
      <c r="I194" s="242" t="str">
        <f t="shared" si="13"/>
        <v/>
      </c>
      <c r="J194" s="241" t="e">
        <f t="shared" si="17"/>
        <v>#NUM!</v>
      </c>
      <c r="K194" s="241" t="e">
        <f t="shared" si="14"/>
        <v>#NUM!</v>
      </c>
      <c r="L194" s="241"/>
      <c r="M194" s="243">
        <f t="shared" si="15"/>
        <v>0</v>
      </c>
    </row>
    <row r="195" spans="1:13" x14ac:dyDescent="0.25">
      <c r="A195" s="258"/>
      <c r="G195" s="227"/>
      <c r="H195" s="244">
        <v>190</v>
      </c>
      <c r="I195" s="242" t="str">
        <f t="shared" si="13"/>
        <v/>
      </c>
      <c r="J195" s="241" t="e">
        <f t="shared" si="17"/>
        <v>#NUM!</v>
      </c>
      <c r="K195" s="241" t="e">
        <f t="shared" si="14"/>
        <v>#NUM!</v>
      </c>
      <c r="L195" s="241"/>
      <c r="M195" s="243">
        <f t="shared" si="15"/>
        <v>0</v>
      </c>
    </row>
    <row r="196" spans="1:13" x14ac:dyDescent="0.25">
      <c r="A196" s="258"/>
      <c r="G196" s="227"/>
      <c r="H196" s="241">
        <v>191</v>
      </c>
      <c r="I196" s="242" t="str">
        <f t="shared" si="13"/>
        <v/>
      </c>
      <c r="J196" s="241" t="e">
        <f t="shared" si="17"/>
        <v>#NUM!</v>
      </c>
      <c r="K196" s="241" t="e">
        <f t="shared" si="14"/>
        <v>#NUM!</v>
      </c>
      <c r="L196" s="241"/>
      <c r="M196" s="243">
        <f t="shared" si="15"/>
        <v>0</v>
      </c>
    </row>
    <row r="197" spans="1:13" x14ac:dyDescent="0.25">
      <c r="A197" s="258"/>
      <c r="G197" s="227"/>
      <c r="H197" s="244">
        <v>192</v>
      </c>
      <c r="I197" s="242" t="str">
        <f t="shared" si="13"/>
        <v/>
      </c>
      <c r="J197" s="241" t="e">
        <f t="shared" si="17"/>
        <v>#NUM!</v>
      </c>
      <c r="K197" s="241" t="e">
        <f t="shared" si="14"/>
        <v>#NUM!</v>
      </c>
      <c r="L197" s="241"/>
      <c r="M197" s="243">
        <f t="shared" si="15"/>
        <v>0</v>
      </c>
    </row>
    <row r="198" spans="1:13" x14ac:dyDescent="0.25">
      <c r="A198" s="258"/>
      <c r="G198" s="227"/>
      <c r="H198" s="241">
        <v>193</v>
      </c>
      <c r="I198" s="242" t="str">
        <f t="shared" ref="I198:I261" si="18">IF(H198&lt;$H$2+1,($I$2-($I$2-1)*(LOG(H198)/LOG($H$2))),"")</f>
        <v/>
      </c>
      <c r="J198" s="241" t="e">
        <f t="shared" si="17"/>
        <v>#NUM!</v>
      </c>
      <c r="K198" s="241" t="e">
        <f t="shared" ref="K198:K261" si="19">J198*$J$2</f>
        <v>#NUM!</v>
      </c>
      <c r="L198" s="241"/>
      <c r="M198" s="243">
        <f t="shared" ref="M198:M261" si="20">IF(I198&lt;&gt;"",K198+I198+L198,0)</f>
        <v>0</v>
      </c>
    </row>
    <row r="199" spans="1:13" x14ac:dyDescent="0.25">
      <c r="A199" s="258"/>
      <c r="G199" s="227"/>
      <c r="H199" s="244">
        <v>194</v>
      </c>
      <c r="I199" s="242" t="str">
        <f t="shared" si="18"/>
        <v/>
      </c>
      <c r="J199" s="241" t="e">
        <f t="shared" ref="J199:J262" si="21">INT(LOG($H$2,2))-ROUNDUP(LOG(H199,2),0)+IF(OR($H$2=1,$H$2=2,$H$2=4,$H$2=8,$H$2=16,$H$2=32,$H$2=64,$H$2=128,$H$2=256),0,1)</f>
        <v>#NUM!</v>
      </c>
      <c r="K199" s="241" t="e">
        <f t="shared" si="19"/>
        <v>#NUM!</v>
      </c>
      <c r="L199" s="241"/>
      <c r="M199" s="243">
        <f t="shared" si="20"/>
        <v>0</v>
      </c>
    </row>
    <row r="200" spans="1:13" x14ac:dyDescent="0.25">
      <c r="A200" s="258"/>
      <c r="G200" s="227"/>
      <c r="H200" s="241">
        <v>195</v>
      </c>
      <c r="I200" s="242" t="str">
        <f t="shared" si="18"/>
        <v/>
      </c>
      <c r="J200" s="241" t="e">
        <f t="shared" si="21"/>
        <v>#NUM!</v>
      </c>
      <c r="K200" s="241" t="e">
        <f t="shared" si="19"/>
        <v>#NUM!</v>
      </c>
      <c r="L200" s="241"/>
      <c r="M200" s="243">
        <f t="shared" si="20"/>
        <v>0</v>
      </c>
    </row>
    <row r="201" spans="1:13" x14ac:dyDescent="0.25">
      <c r="A201" s="258"/>
      <c r="G201" s="227"/>
      <c r="H201" s="244">
        <v>196</v>
      </c>
      <c r="I201" s="242" t="str">
        <f t="shared" si="18"/>
        <v/>
      </c>
      <c r="J201" s="241" t="e">
        <f t="shared" si="21"/>
        <v>#NUM!</v>
      </c>
      <c r="K201" s="241" t="e">
        <f t="shared" si="19"/>
        <v>#NUM!</v>
      </c>
      <c r="L201" s="241"/>
      <c r="M201" s="243">
        <f t="shared" si="20"/>
        <v>0</v>
      </c>
    </row>
    <row r="202" spans="1:13" x14ac:dyDescent="0.25">
      <c r="A202" s="258"/>
      <c r="G202" s="227"/>
      <c r="H202" s="241">
        <v>197</v>
      </c>
      <c r="I202" s="242" t="str">
        <f t="shared" si="18"/>
        <v/>
      </c>
      <c r="J202" s="241" t="e">
        <f t="shared" si="21"/>
        <v>#NUM!</v>
      </c>
      <c r="K202" s="241" t="e">
        <f t="shared" si="19"/>
        <v>#NUM!</v>
      </c>
      <c r="L202" s="241"/>
      <c r="M202" s="243">
        <f t="shared" si="20"/>
        <v>0</v>
      </c>
    </row>
    <row r="203" spans="1:13" x14ac:dyDescent="0.25">
      <c r="A203" s="258"/>
      <c r="G203" s="227"/>
      <c r="H203" s="244">
        <v>198</v>
      </c>
      <c r="I203" s="242" t="str">
        <f t="shared" si="18"/>
        <v/>
      </c>
      <c r="J203" s="241" t="e">
        <f t="shared" si="21"/>
        <v>#NUM!</v>
      </c>
      <c r="K203" s="241" t="e">
        <f t="shared" si="19"/>
        <v>#NUM!</v>
      </c>
      <c r="L203" s="241"/>
      <c r="M203" s="243">
        <f t="shared" si="20"/>
        <v>0</v>
      </c>
    </row>
    <row r="204" spans="1:13" x14ac:dyDescent="0.25">
      <c r="A204" s="258"/>
      <c r="G204" s="227"/>
      <c r="H204" s="241">
        <v>199</v>
      </c>
      <c r="I204" s="242" t="str">
        <f t="shared" si="18"/>
        <v/>
      </c>
      <c r="J204" s="241" t="e">
        <f t="shared" si="21"/>
        <v>#NUM!</v>
      </c>
      <c r="K204" s="241" t="e">
        <f t="shared" si="19"/>
        <v>#NUM!</v>
      </c>
      <c r="L204" s="241"/>
      <c r="M204" s="243">
        <f t="shared" si="20"/>
        <v>0</v>
      </c>
    </row>
    <row r="205" spans="1:13" x14ac:dyDescent="0.25">
      <c r="A205" s="258"/>
      <c r="G205" s="227"/>
      <c r="H205" s="244">
        <v>200</v>
      </c>
      <c r="I205" s="242" t="str">
        <f t="shared" si="18"/>
        <v/>
      </c>
      <c r="J205" s="241" t="e">
        <f t="shared" si="21"/>
        <v>#NUM!</v>
      </c>
      <c r="K205" s="241" t="e">
        <f t="shared" si="19"/>
        <v>#NUM!</v>
      </c>
      <c r="L205" s="241"/>
      <c r="M205" s="243">
        <f t="shared" si="20"/>
        <v>0</v>
      </c>
    </row>
    <row r="206" spans="1:13" x14ac:dyDescent="0.25">
      <c r="A206" s="258"/>
      <c r="G206" s="227"/>
      <c r="H206" s="241">
        <v>201</v>
      </c>
      <c r="I206" s="242" t="str">
        <f t="shared" si="18"/>
        <v/>
      </c>
      <c r="J206" s="241" t="e">
        <f t="shared" si="21"/>
        <v>#NUM!</v>
      </c>
      <c r="K206" s="241" t="e">
        <f t="shared" si="19"/>
        <v>#NUM!</v>
      </c>
      <c r="L206" s="241"/>
      <c r="M206" s="243">
        <f t="shared" si="20"/>
        <v>0</v>
      </c>
    </row>
    <row r="207" spans="1:13" x14ac:dyDescent="0.25">
      <c r="A207" s="258"/>
      <c r="G207" s="227"/>
      <c r="H207" s="244">
        <v>202</v>
      </c>
      <c r="I207" s="242" t="str">
        <f t="shared" si="18"/>
        <v/>
      </c>
      <c r="J207" s="241" t="e">
        <f t="shared" si="21"/>
        <v>#NUM!</v>
      </c>
      <c r="K207" s="241" t="e">
        <f t="shared" si="19"/>
        <v>#NUM!</v>
      </c>
      <c r="L207" s="241"/>
      <c r="M207" s="243">
        <f t="shared" si="20"/>
        <v>0</v>
      </c>
    </row>
    <row r="208" spans="1:13" x14ac:dyDescent="0.25">
      <c r="A208" s="258"/>
      <c r="G208" s="227"/>
      <c r="H208" s="241">
        <v>203</v>
      </c>
      <c r="I208" s="242" t="str">
        <f t="shared" si="18"/>
        <v/>
      </c>
      <c r="J208" s="241" t="e">
        <f t="shared" si="21"/>
        <v>#NUM!</v>
      </c>
      <c r="K208" s="241" t="e">
        <f t="shared" si="19"/>
        <v>#NUM!</v>
      </c>
      <c r="L208" s="241"/>
      <c r="M208" s="243">
        <f t="shared" si="20"/>
        <v>0</v>
      </c>
    </row>
    <row r="209" spans="1:13" x14ac:dyDescent="0.25">
      <c r="A209" s="258"/>
      <c r="G209" s="227"/>
      <c r="H209" s="244">
        <v>204</v>
      </c>
      <c r="I209" s="242" t="str">
        <f t="shared" si="18"/>
        <v/>
      </c>
      <c r="J209" s="241" t="e">
        <f t="shared" si="21"/>
        <v>#NUM!</v>
      </c>
      <c r="K209" s="241" t="e">
        <f t="shared" si="19"/>
        <v>#NUM!</v>
      </c>
      <c r="L209" s="241"/>
      <c r="M209" s="243">
        <f t="shared" si="20"/>
        <v>0</v>
      </c>
    </row>
    <row r="210" spans="1:13" x14ac:dyDescent="0.25">
      <c r="A210" s="258"/>
      <c r="G210" s="227"/>
      <c r="H210" s="241">
        <v>205</v>
      </c>
      <c r="I210" s="242" t="str">
        <f t="shared" si="18"/>
        <v/>
      </c>
      <c r="J210" s="241" t="e">
        <f t="shared" si="21"/>
        <v>#NUM!</v>
      </c>
      <c r="K210" s="241" t="e">
        <f t="shared" si="19"/>
        <v>#NUM!</v>
      </c>
      <c r="L210" s="241"/>
      <c r="M210" s="243">
        <f t="shared" si="20"/>
        <v>0</v>
      </c>
    </row>
    <row r="211" spans="1:13" x14ac:dyDescent="0.25">
      <c r="A211" s="258"/>
      <c r="G211" s="227"/>
      <c r="H211" s="244">
        <v>206</v>
      </c>
      <c r="I211" s="242" t="str">
        <f t="shared" si="18"/>
        <v/>
      </c>
      <c r="J211" s="241" t="e">
        <f t="shared" si="21"/>
        <v>#NUM!</v>
      </c>
      <c r="K211" s="241" t="e">
        <f t="shared" si="19"/>
        <v>#NUM!</v>
      </c>
      <c r="L211" s="241"/>
      <c r="M211" s="243">
        <f t="shared" si="20"/>
        <v>0</v>
      </c>
    </row>
    <row r="212" spans="1:13" x14ac:dyDescent="0.25">
      <c r="A212" s="258"/>
      <c r="G212" s="227"/>
      <c r="H212" s="241">
        <v>207</v>
      </c>
      <c r="I212" s="242" t="str">
        <f t="shared" si="18"/>
        <v/>
      </c>
      <c r="J212" s="241" t="e">
        <f t="shared" si="21"/>
        <v>#NUM!</v>
      </c>
      <c r="K212" s="241" t="e">
        <f t="shared" si="19"/>
        <v>#NUM!</v>
      </c>
      <c r="L212" s="241"/>
      <c r="M212" s="243">
        <f t="shared" si="20"/>
        <v>0</v>
      </c>
    </row>
    <row r="213" spans="1:13" x14ac:dyDescent="0.25">
      <c r="A213" s="258"/>
      <c r="G213" s="227"/>
      <c r="H213" s="244">
        <v>208</v>
      </c>
      <c r="I213" s="242" t="str">
        <f t="shared" si="18"/>
        <v/>
      </c>
      <c r="J213" s="241" t="e">
        <f t="shared" si="21"/>
        <v>#NUM!</v>
      </c>
      <c r="K213" s="241" t="e">
        <f t="shared" si="19"/>
        <v>#NUM!</v>
      </c>
      <c r="L213" s="241"/>
      <c r="M213" s="243">
        <f t="shared" si="20"/>
        <v>0</v>
      </c>
    </row>
    <row r="214" spans="1:13" x14ac:dyDescent="0.25">
      <c r="A214" s="258"/>
      <c r="G214" s="227"/>
      <c r="H214" s="241">
        <v>209</v>
      </c>
      <c r="I214" s="242" t="str">
        <f t="shared" si="18"/>
        <v/>
      </c>
      <c r="J214" s="241" t="e">
        <f t="shared" si="21"/>
        <v>#NUM!</v>
      </c>
      <c r="K214" s="241" t="e">
        <f t="shared" si="19"/>
        <v>#NUM!</v>
      </c>
      <c r="L214" s="241"/>
      <c r="M214" s="243">
        <f t="shared" si="20"/>
        <v>0</v>
      </c>
    </row>
    <row r="215" spans="1:13" x14ac:dyDescent="0.25">
      <c r="A215" s="258"/>
      <c r="G215" s="227"/>
      <c r="H215" s="244">
        <v>210</v>
      </c>
      <c r="I215" s="242" t="str">
        <f t="shared" si="18"/>
        <v/>
      </c>
      <c r="J215" s="241" t="e">
        <f t="shared" si="21"/>
        <v>#NUM!</v>
      </c>
      <c r="K215" s="241" t="e">
        <f t="shared" si="19"/>
        <v>#NUM!</v>
      </c>
      <c r="L215" s="241"/>
      <c r="M215" s="243">
        <f t="shared" si="20"/>
        <v>0</v>
      </c>
    </row>
    <row r="216" spans="1:13" x14ac:dyDescent="0.25">
      <c r="A216" s="258"/>
      <c r="G216" s="227"/>
      <c r="H216" s="241">
        <v>211</v>
      </c>
      <c r="I216" s="242" t="str">
        <f t="shared" si="18"/>
        <v/>
      </c>
      <c r="J216" s="241" t="e">
        <f t="shared" si="21"/>
        <v>#NUM!</v>
      </c>
      <c r="K216" s="241" t="e">
        <f t="shared" si="19"/>
        <v>#NUM!</v>
      </c>
      <c r="L216" s="241"/>
      <c r="M216" s="243">
        <f t="shared" si="20"/>
        <v>0</v>
      </c>
    </row>
    <row r="217" spans="1:13" x14ac:dyDescent="0.25">
      <c r="A217" s="258"/>
      <c r="G217" s="227"/>
      <c r="H217" s="244">
        <v>212</v>
      </c>
      <c r="I217" s="242" t="str">
        <f t="shared" si="18"/>
        <v/>
      </c>
      <c r="J217" s="241" t="e">
        <f t="shared" si="21"/>
        <v>#NUM!</v>
      </c>
      <c r="K217" s="241" t="e">
        <f t="shared" si="19"/>
        <v>#NUM!</v>
      </c>
      <c r="L217" s="241"/>
      <c r="M217" s="243">
        <f t="shared" si="20"/>
        <v>0</v>
      </c>
    </row>
    <row r="218" spans="1:13" x14ac:dyDescent="0.25">
      <c r="A218" s="258"/>
      <c r="G218" s="227"/>
      <c r="H218" s="241">
        <v>213</v>
      </c>
      <c r="I218" s="242" t="str">
        <f t="shared" si="18"/>
        <v/>
      </c>
      <c r="J218" s="241" t="e">
        <f t="shared" si="21"/>
        <v>#NUM!</v>
      </c>
      <c r="K218" s="241" t="e">
        <f t="shared" si="19"/>
        <v>#NUM!</v>
      </c>
      <c r="L218" s="241"/>
      <c r="M218" s="243">
        <f t="shared" si="20"/>
        <v>0</v>
      </c>
    </row>
    <row r="219" spans="1:13" x14ac:dyDescent="0.25">
      <c r="A219" s="258"/>
      <c r="G219" s="227"/>
      <c r="H219" s="244">
        <v>214</v>
      </c>
      <c r="I219" s="242" t="str">
        <f t="shared" si="18"/>
        <v/>
      </c>
      <c r="J219" s="241" t="e">
        <f t="shared" si="21"/>
        <v>#NUM!</v>
      </c>
      <c r="K219" s="241" t="e">
        <f t="shared" si="19"/>
        <v>#NUM!</v>
      </c>
      <c r="L219" s="241"/>
      <c r="M219" s="243">
        <f t="shared" si="20"/>
        <v>0</v>
      </c>
    </row>
    <row r="220" spans="1:13" x14ac:dyDescent="0.25">
      <c r="A220" s="258"/>
      <c r="G220" s="227"/>
      <c r="H220" s="241">
        <v>215</v>
      </c>
      <c r="I220" s="242" t="str">
        <f t="shared" si="18"/>
        <v/>
      </c>
      <c r="J220" s="241" t="e">
        <f t="shared" si="21"/>
        <v>#NUM!</v>
      </c>
      <c r="K220" s="241" t="e">
        <f t="shared" si="19"/>
        <v>#NUM!</v>
      </c>
      <c r="L220" s="241"/>
      <c r="M220" s="243">
        <f t="shared" si="20"/>
        <v>0</v>
      </c>
    </row>
    <row r="221" spans="1:13" x14ac:dyDescent="0.25">
      <c r="A221" s="258"/>
      <c r="G221" s="227"/>
      <c r="H221" s="244">
        <v>216</v>
      </c>
      <c r="I221" s="242" t="str">
        <f t="shared" si="18"/>
        <v/>
      </c>
      <c r="J221" s="241" t="e">
        <f t="shared" si="21"/>
        <v>#NUM!</v>
      </c>
      <c r="K221" s="241" t="e">
        <f t="shared" si="19"/>
        <v>#NUM!</v>
      </c>
      <c r="L221" s="241"/>
      <c r="M221" s="243">
        <f t="shared" si="20"/>
        <v>0</v>
      </c>
    </row>
    <row r="222" spans="1:13" x14ac:dyDescent="0.25">
      <c r="A222" s="258"/>
      <c r="G222" s="227"/>
      <c r="H222" s="241">
        <v>217</v>
      </c>
      <c r="I222" s="242" t="str">
        <f t="shared" si="18"/>
        <v/>
      </c>
      <c r="J222" s="241" t="e">
        <f t="shared" si="21"/>
        <v>#NUM!</v>
      </c>
      <c r="K222" s="241" t="e">
        <f t="shared" si="19"/>
        <v>#NUM!</v>
      </c>
      <c r="L222" s="241"/>
      <c r="M222" s="243">
        <f t="shared" si="20"/>
        <v>0</v>
      </c>
    </row>
    <row r="223" spans="1:13" x14ac:dyDescent="0.25">
      <c r="A223" s="258"/>
      <c r="G223" s="227"/>
      <c r="H223" s="244">
        <v>218</v>
      </c>
      <c r="I223" s="242" t="str">
        <f t="shared" si="18"/>
        <v/>
      </c>
      <c r="J223" s="241" t="e">
        <f t="shared" si="21"/>
        <v>#NUM!</v>
      </c>
      <c r="K223" s="241" t="e">
        <f t="shared" si="19"/>
        <v>#NUM!</v>
      </c>
      <c r="L223" s="241"/>
      <c r="M223" s="243">
        <f t="shared" si="20"/>
        <v>0</v>
      </c>
    </row>
    <row r="224" spans="1:13" x14ac:dyDescent="0.25">
      <c r="A224" s="258"/>
      <c r="G224" s="227"/>
      <c r="H224" s="241">
        <v>219</v>
      </c>
      <c r="I224" s="242" t="str">
        <f t="shared" si="18"/>
        <v/>
      </c>
      <c r="J224" s="241" t="e">
        <f t="shared" si="21"/>
        <v>#NUM!</v>
      </c>
      <c r="K224" s="241" t="e">
        <f t="shared" si="19"/>
        <v>#NUM!</v>
      </c>
      <c r="L224" s="241"/>
      <c r="M224" s="243">
        <f t="shared" si="20"/>
        <v>0</v>
      </c>
    </row>
    <row r="225" spans="1:13" x14ac:dyDescent="0.25">
      <c r="A225" s="258"/>
      <c r="G225" s="227"/>
      <c r="H225" s="244">
        <v>220</v>
      </c>
      <c r="I225" s="242" t="str">
        <f t="shared" si="18"/>
        <v/>
      </c>
      <c r="J225" s="241" t="e">
        <f t="shared" si="21"/>
        <v>#NUM!</v>
      </c>
      <c r="K225" s="241" t="e">
        <f t="shared" si="19"/>
        <v>#NUM!</v>
      </c>
      <c r="L225" s="241"/>
      <c r="M225" s="243">
        <f t="shared" si="20"/>
        <v>0</v>
      </c>
    </row>
    <row r="226" spans="1:13" x14ac:dyDescent="0.25">
      <c r="A226" s="258"/>
      <c r="G226" s="227"/>
      <c r="H226" s="241">
        <v>221</v>
      </c>
      <c r="I226" s="242" t="str">
        <f t="shared" si="18"/>
        <v/>
      </c>
      <c r="J226" s="241" t="e">
        <f t="shared" si="21"/>
        <v>#NUM!</v>
      </c>
      <c r="K226" s="241" t="e">
        <f t="shared" si="19"/>
        <v>#NUM!</v>
      </c>
      <c r="L226" s="241"/>
      <c r="M226" s="243">
        <f t="shared" si="20"/>
        <v>0</v>
      </c>
    </row>
    <row r="227" spans="1:13" x14ac:dyDescent="0.25">
      <c r="A227" s="258"/>
      <c r="G227" s="227"/>
      <c r="H227" s="244">
        <v>222</v>
      </c>
      <c r="I227" s="242" t="str">
        <f t="shared" si="18"/>
        <v/>
      </c>
      <c r="J227" s="241" t="e">
        <f t="shared" si="21"/>
        <v>#NUM!</v>
      </c>
      <c r="K227" s="241" t="e">
        <f t="shared" si="19"/>
        <v>#NUM!</v>
      </c>
      <c r="L227" s="241"/>
      <c r="M227" s="243">
        <f t="shared" si="20"/>
        <v>0</v>
      </c>
    </row>
    <row r="228" spans="1:13" x14ac:dyDescent="0.25">
      <c r="A228" s="258"/>
      <c r="G228" s="227"/>
      <c r="H228" s="241">
        <v>223</v>
      </c>
      <c r="I228" s="242" t="str">
        <f t="shared" si="18"/>
        <v/>
      </c>
      <c r="J228" s="241" t="e">
        <f t="shared" si="21"/>
        <v>#NUM!</v>
      </c>
      <c r="K228" s="241" t="e">
        <f t="shared" si="19"/>
        <v>#NUM!</v>
      </c>
      <c r="L228" s="241"/>
      <c r="M228" s="243">
        <f t="shared" si="20"/>
        <v>0</v>
      </c>
    </row>
    <row r="229" spans="1:13" x14ac:dyDescent="0.25">
      <c r="A229" s="258"/>
      <c r="G229" s="227"/>
      <c r="H229" s="244">
        <v>224</v>
      </c>
      <c r="I229" s="242" t="str">
        <f t="shared" si="18"/>
        <v/>
      </c>
      <c r="J229" s="241" t="e">
        <f t="shared" si="21"/>
        <v>#NUM!</v>
      </c>
      <c r="K229" s="241" t="e">
        <f t="shared" si="19"/>
        <v>#NUM!</v>
      </c>
      <c r="L229" s="241"/>
      <c r="M229" s="243">
        <f t="shared" si="20"/>
        <v>0</v>
      </c>
    </row>
    <row r="230" spans="1:13" x14ac:dyDescent="0.25">
      <c r="A230" s="258"/>
      <c r="G230" s="227"/>
      <c r="H230" s="241">
        <v>225</v>
      </c>
      <c r="I230" s="242" t="str">
        <f t="shared" si="18"/>
        <v/>
      </c>
      <c r="J230" s="241" t="e">
        <f t="shared" si="21"/>
        <v>#NUM!</v>
      </c>
      <c r="K230" s="241" t="e">
        <f t="shared" si="19"/>
        <v>#NUM!</v>
      </c>
      <c r="L230" s="241"/>
      <c r="M230" s="243">
        <f t="shared" si="20"/>
        <v>0</v>
      </c>
    </row>
    <row r="231" spans="1:13" x14ac:dyDescent="0.25">
      <c r="A231" s="258"/>
      <c r="G231" s="227"/>
      <c r="H231" s="244">
        <v>226</v>
      </c>
      <c r="I231" s="242" t="str">
        <f t="shared" si="18"/>
        <v/>
      </c>
      <c r="J231" s="241" t="e">
        <f t="shared" si="21"/>
        <v>#NUM!</v>
      </c>
      <c r="K231" s="241" t="e">
        <f t="shared" si="19"/>
        <v>#NUM!</v>
      </c>
      <c r="L231" s="241"/>
      <c r="M231" s="243">
        <f t="shared" si="20"/>
        <v>0</v>
      </c>
    </row>
    <row r="232" spans="1:13" x14ac:dyDescent="0.25">
      <c r="A232" s="258"/>
      <c r="G232" s="227"/>
      <c r="H232" s="241">
        <v>227</v>
      </c>
      <c r="I232" s="242" t="str">
        <f t="shared" si="18"/>
        <v/>
      </c>
      <c r="J232" s="241" t="e">
        <f t="shared" si="21"/>
        <v>#NUM!</v>
      </c>
      <c r="K232" s="241" t="e">
        <f t="shared" si="19"/>
        <v>#NUM!</v>
      </c>
      <c r="L232" s="241"/>
      <c r="M232" s="243">
        <f t="shared" si="20"/>
        <v>0</v>
      </c>
    </row>
    <row r="233" spans="1:13" x14ac:dyDescent="0.25">
      <c r="A233" s="258"/>
      <c r="G233" s="227"/>
      <c r="H233" s="244">
        <v>228</v>
      </c>
      <c r="I233" s="242" t="str">
        <f t="shared" si="18"/>
        <v/>
      </c>
      <c r="J233" s="241" t="e">
        <f t="shared" si="21"/>
        <v>#NUM!</v>
      </c>
      <c r="K233" s="241" t="e">
        <f t="shared" si="19"/>
        <v>#NUM!</v>
      </c>
      <c r="L233" s="241"/>
      <c r="M233" s="243">
        <f t="shared" si="20"/>
        <v>0</v>
      </c>
    </row>
    <row r="234" spans="1:13" x14ac:dyDescent="0.25">
      <c r="A234" s="258"/>
      <c r="G234" s="227"/>
      <c r="H234" s="241">
        <v>229</v>
      </c>
      <c r="I234" s="242" t="str">
        <f t="shared" si="18"/>
        <v/>
      </c>
      <c r="J234" s="241" t="e">
        <f t="shared" si="21"/>
        <v>#NUM!</v>
      </c>
      <c r="K234" s="241" t="e">
        <f t="shared" si="19"/>
        <v>#NUM!</v>
      </c>
      <c r="L234" s="241"/>
      <c r="M234" s="243">
        <f t="shared" si="20"/>
        <v>0</v>
      </c>
    </row>
    <row r="235" spans="1:13" x14ac:dyDescent="0.25">
      <c r="A235" s="258"/>
      <c r="G235" s="227"/>
      <c r="H235" s="244">
        <v>230</v>
      </c>
      <c r="I235" s="242" t="str">
        <f t="shared" si="18"/>
        <v/>
      </c>
      <c r="J235" s="241" t="e">
        <f t="shared" si="21"/>
        <v>#NUM!</v>
      </c>
      <c r="K235" s="241" t="e">
        <f t="shared" si="19"/>
        <v>#NUM!</v>
      </c>
      <c r="L235" s="241"/>
      <c r="M235" s="243">
        <f t="shared" si="20"/>
        <v>0</v>
      </c>
    </row>
    <row r="236" spans="1:13" x14ac:dyDescent="0.25">
      <c r="A236" s="258"/>
      <c r="G236" s="227"/>
      <c r="H236" s="241">
        <v>231</v>
      </c>
      <c r="I236" s="242" t="str">
        <f t="shared" si="18"/>
        <v/>
      </c>
      <c r="J236" s="241" t="e">
        <f t="shared" si="21"/>
        <v>#NUM!</v>
      </c>
      <c r="K236" s="241" t="e">
        <f t="shared" si="19"/>
        <v>#NUM!</v>
      </c>
      <c r="L236" s="241"/>
      <c r="M236" s="243">
        <f t="shared" si="20"/>
        <v>0</v>
      </c>
    </row>
    <row r="237" spans="1:13" x14ac:dyDescent="0.25">
      <c r="A237" s="258"/>
      <c r="G237" s="227"/>
      <c r="H237" s="244">
        <v>232</v>
      </c>
      <c r="I237" s="242" t="str">
        <f t="shared" si="18"/>
        <v/>
      </c>
      <c r="J237" s="241" t="e">
        <f t="shared" si="21"/>
        <v>#NUM!</v>
      </c>
      <c r="K237" s="241" t="e">
        <f t="shared" si="19"/>
        <v>#NUM!</v>
      </c>
      <c r="L237" s="241"/>
      <c r="M237" s="243">
        <f t="shared" si="20"/>
        <v>0</v>
      </c>
    </row>
    <row r="238" spans="1:13" x14ac:dyDescent="0.25">
      <c r="A238" s="258"/>
      <c r="G238" s="227"/>
      <c r="H238" s="241">
        <v>233</v>
      </c>
      <c r="I238" s="242" t="str">
        <f t="shared" si="18"/>
        <v/>
      </c>
      <c r="J238" s="241" t="e">
        <f t="shared" si="21"/>
        <v>#NUM!</v>
      </c>
      <c r="K238" s="241" t="e">
        <f t="shared" si="19"/>
        <v>#NUM!</v>
      </c>
      <c r="L238" s="241"/>
      <c r="M238" s="243">
        <f t="shared" si="20"/>
        <v>0</v>
      </c>
    </row>
    <row r="239" spans="1:13" x14ac:dyDescent="0.25">
      <c r="A239" s="258"/>
      <c r="G239" s="227"/>
      <c r="H239" s="244">
        <v>234</v>
      </c>
      <c r="I239" s="242" t="str">
        <f t="shared" si="18"/>
        <v/>
      </c>
      <c r="J239" s="241" t="e">
        <f t="shared" si="21"/>
        <v>#NUM!</v>
      </c>
      <c r="K239" s="241" t="e">
        <f t="shared" si="19"/>
        <v>#NUM!</v>
      </c>
      <c r="L239" s="241"/>
      <c r="M239" s="243">
        <f t="shared" si="20"/>
        <v>0</v>
      </c>
    </row>
    <row r="240" spans="1:13" x14ac:dyDescent="0.25">
      <c r="A240" s="258"/>
      <c r="G240" s="227"/>
      <c r="H240" s="241">
        <v>235</v>
      </c>
      <c r="I240" s="242" t="str">
        <f t="shared" si="18"/>
        <v/>
      </c>
      <c r="J240" s="241" t="e">
        <f t="shared" si="21"/>
        <v>#NUM!</v>
      </c>
      <c r="K240" s="241" t="e">
        <f t="shared" si="19"/>
        <v>#NUM!</v>
      </c>
      <c r="L240" s="241"/>
      <c r="M240" s="243">
        <f t="shared" si="20"/>
        <v>0</v>
      </c>
    </row>
    <row r="241" spans="1:13" x14ac:dyDescent="0.25">
      <c r="A241" s="258"/>
      <c r="G241" s="227"/>
      <c r="H241" s="244">
        <v>236</v>
      </c>
      <c r="I241" s="242" t="str">
        <f t="shared" si="18"/>
        <v/>
      </c>
      <c r="J241" s="241" t="e">
        <f t="shared" si="21"/>
        <v>#NUM!</v>
      </c>
      <c r="K241" s="241" t="e">
        <f t="shared" si="19"/>
        <v>#NUM!</v>
      </c>
      <c r="L241" s="241"/>
      <c r="M241" s="243">
        <f t="shared" si="20"/>
        <v>0</v>
      </c>
    </row>
    <row r="242" spans="1:13" x14ac:dyDescent="0.25">
      <c r="A242" s="258"/>
      <c r="G242" s="227"/>
      <c r="H242" s="241">
        <v>237</v>
      </c>
      <c r="I242" s="242" t="str">
        <f t="shared" si="18"/>
        <v/>
      </c>
      <c r="J242" s="241" t="e">
        <f t="shared" si="21"/>
        <v>#NUM!</v>
      </c>
      <c r="K242" s="241" t="e">
        <f t="shared" si="19"/>
        <v>#NUM!</v>
      </c>
      <c r="L242" s="241"/>
      <c r="M242" s="243">
        <f t="shared" si="20"/>
        <v>0</v>
      </c>
    </row>
    <row r="243" spans="1:13" x14ac:dyDescent="0.25">
      <c r="A243" s="258"/>
      <c r="G243" s="227"/>
      <c r="H243" s="244">
        <v>238</v>
      </c>
      <c r="I243" s="242" t="str">
        <f t="shared" si="18"/>
        <v/>
      </c>
      <c r="J243" s="241" t="e">
        <f t="shared" si="21"/>
        <v>#NUM!</v>
      </c>
      <c r="K243" s="241" t="e">
        <f t="shared" si="19"/>
        <v>#NUM!</v>
      </c>
      <c r="L243" s="241"/>
      <c r="M243" s="243">
        <f t="shared" si="20"/>
        <v>0</v>
      </c>
    </row>
    <row r="244" spans="1:13" x14ac:dyDescent="0.25">
      <c r="A244" s="258"/>
      <c r="G244" s="227"/>
      <c r="H244" s="241">
        <v>239</v>
      </c>
      <c r="I244" s="242" t="str">
        <f t="shared" si="18"/>
        <v/>
      </c>
      <c r="J244" s="241" t="e">
        <f t="shared" si="21"/>
        <v>#NUM!</v>
      </c>
      <c r="K244" s="241" t="e">
        <f t="shared" si="19"/>
        <v>#NUM!</v>
      </c>
      <c r="L244" s="241"/>
      <c r="M244" s="243">
        <f t="shared" si="20"/>
        <v>0</v>
      </c>
    </row>
    <row r="245" spans="1:13" x14ac:dyDescent="0.25">
      <c r="A245" s="258"/>
      <c r="G245" s="227"/>
      <c r="H245" s="244">
        <v>240</v>
      </c>
      <c r="I245" s="242" t="str">
        <f t="shared" si="18"/>
        <v/>
      </c>
      <c r="J245" s="241" t="e">
        <f t="shared" si="21"/>
        <v>#NUM!</v>
      </c>
      <c r="K245" s="241" t="e">
        <f t="shared" si="19"/>
        <v>#NUM!</v>
      </c>
      <c r="L245" s="241"/>
      <c r="M245" s="243">
        <f t="shared" si="20"/>
        <v>0</v>
      </c>
    </row>
    <row r="246" spans="1:13" x14ac:dyDescent="0.25">
      <c r="A246" s="258"/>
      <c r="G246" s="227"/>
      <c r="H246" s="241">
        <v>241</v>
      </c>
      <c r="I246" s="242" t="str">
        <f t="shared" si="18"/>
        <v/>
      </c>
      <c r="J246" s="241" t="e">
        <f t="shared" si="21"/>
        <v>#NUM!</v>
      </c>
      <c r="K246" s="241" t="e">
        <f t="shared" si="19"/>
        <v>#NUM!</v>
      </c>
      <c r="L246" s="241"/>
      <c r="M246" s="243">
        <f t="shared" si="20"/>
        <v>0</v>
      </c>
    </row>
    <row r="247" spans="1:13" x14ac:dyDescent="0.25">
      <c r="A247" s="258"/>
      <c r="G247" s="227"/>
      <c r="H247" s="244">
        <v>242</v>
      </c>
      <c r="I247" s="242" t="str">
        <f t="shared" si="18"/>
        <v/>
      </c>
      <c r="J247" s="241" t="e">
        <f t="shared" si="21"/>
        <v>#NUM!</v>
      </c>
      <c r="K247" s="241" t="e">
        <f t="shared" si="19"/>
        <v>#NUM!</v>
      </c>
      <c r="L247" s="241"/>
      <c r="M247" s="243">
        <f t="shared" si="20"/>
        <v>0</v>
      </c>
    </row>
    <row r="248" spans="1:13" x14ac:dyDescent="0.25">
      <c r="A248" s="258"/>
      <c r="G248" s="227"/>
      <c r="H248" s="241">
        <v>243</v>
      </c>
      <c r="I248" s="242" t="str">
        <f t="shared" si="18"/>
        <v/>
      </c>
      <c r="J248" s="241" t="e">
        <f t="shared" si="21"/>
        <v>#NUM!</v>
      </c>
      <c r="K248" s="241" t="e">
        <f t="shared" si="19"/>
        <v>#NUM!</v>
      </c>
      <c r="L248" s="241"/>
      <c r="M248" s="243">
        <f t="shared" si="20"/>
        <v>0</v>
      </c>
    </row>
    <row r="249" spans="1:13" x14ac:dyDescent="0.25">
      <c r="A249" s="258"/>
      <c r="G249" s="227"/>
      <c r="H249" s="244">
        <v>244</v>
      </c>
      <c r="I249" s="242" t="str">
        <f t="shared" si="18"/>
        <v/>
      </c>
      <c r="J249" s="241" t="e">
        <f t="shared" si="21"/>
        <v>#NUM!</v>
      </c>
      <c r="K249" s="241" t="e">
        <f t="shared" si="19"/>
        <v>#NUM!</v>
      </c>
      <c r="L249" s="241"/>
      <c r="M249" s="243">
        <f t="shared" si="20"/>
        <v>0</v>
      </c>
    </row>
    <row r="250" spans="1:13" x14ac:dyDescent="0.25">
      <c r="A250" s="258"/>
      <c r="G250" s="227"/>
      <c r="H250" s="241">
        <v>245</v>
      </c>
      <c r="I250" s="242" t="str">
        <f t="shared" si="18"/>
        <v/>
      </c>
      <c r="J250" s="241" t="e">
        <f t="shared" si="21"/>
        <v>#NUM!</v>
      </c>
      <c r="K250" s="241" t="e">
        <f t="shared" si="19"/>
        <v>#NUM!</v>
      </c>
      <c r="L250" s="241"/>
      <c r="M250" s="243">
        <f t="shared" si="20"/>
        <v>0</v>
      </c>
    </row>
    <row r="251" spans="1:13" x14ac:dyDescent="0.25">
      <c r="A251" s="258"/>
      <c r="G251" s="227"/>
      <c r="H251" s="244">
        <v>246</v>
      </c>
      <c r="I251" s="242" t="str">
        <f t="shared" si="18"/>
        <v/>
      </c>
      <c r="J251" s="241" t="e">
        <f t="shared" si="21"/>
        <v>#NUM!</v>
      </c>
      <c r="K251" s="241" t="e">
        <f t="shared" si="19"/>
        <v>#NUM!</v>
      </c>
      <c r="L251" s="241"/>
      <c r="M251" s="243">
        <f t="shared" si="20"/>
        <v>0</v>
      </c>
    </row>
    <row r="252" spans="1:13" x14ac:dyDescent="0.25">
      <c r="A252" s="258"/>
      <c r="G252" s="227"/>
      <c r="H252" s="241">
        <v>247</v>
      </c>
      <c r="I252" s="242" t="str">
        <f t="shared" si="18"/>
        <v/>
      </c>
      <c r="J252" s="241" t="e">
        <f t="shared" si="21"/>
        <v>#NUM!</v>
      </c>
      <c r="K252" s="241" t="e">
        <f t="shared" si="19"/>
        <v>#NUM!</v>
      </c>
      <c r="L252" s="241"/>
      <c r="M252" s="243">
        <f t="shared" si="20"/>
        <v>0</v>
      </c>
    </row>
    <row r="253" spans="1:13" x14ac:dyDescent="0.25">
      <c r="A253" s="258"/>
      <c r="G253" s="227"/>
      <c r="H253" s="244">
        <v>248</v>
      </c>
      <c r="I253" s="242" t="str">
        <f t="shared" si="18"/>
        <v/>
      </c>
      <c r="J253" s="241" t="e">
        <f t="shared" si="21"/>
        <v>#NUM!</v>
      </c>
      <c r="K253" s="241" t="e">
        <f t="shared" si="19"/>
        <v>#NUM!</v>
      </c>
      <c r="L253" s="241"/>
      <c r="M253" s="243">
        <f t="shared" si="20"/>
        <v>0</v>
      </c>
    </row>
    <row r="254" spans="1:13" x14ac:dyDescent="0.25">
      <c r="A254" s="258"/>
      <c r="G254" s="227"/>
      <c r="H254" s="241">
        <v>249</v>
      </c>
      <c r="I254" s="242" t="str">
        <f t="shared" si="18"/>
        <v/>
      </c>
      <c r="J254" s="241" t="e">
        <f t="shared" si="21"/>
        <v>#NUM!</v>
      </c>
      <c r="K254" s="241" t="e">
        <f t="shared" si="19"/>
        <v>#NUM!</v>
      </c>
      <c r="L254" s="241"/>
      <c r="M254" s="243">
        <f t="shared" si="20"/>
        <v>0</v>
      </c>
    </row>
    <row r="255" spans="1:13" x14ac:dyDescent="0.25">
      <c r="A255" s="258"/>
      <c r="G255" s="227"/>
      <c r="H255" s="244">
        <v>250</v>
      </c>
      <c r="I255" s="242" t="str">
        <f t="shared" si="18"/>
        <v/>
      </c>
      <c r="J255" s="241" t="e">
        <f t="shared" si="21"/>
        <v>#NUM!</v>
      </c>
      <c r="K255" s="241" t="e">
        <f t="shared" si="19"/>
        <v>#NUM!</v>
      </c>
      <c r="L255" s="241"/>
      <c r="M255" s="243">
        <f t="shared" si="20"/>
        <v>0</v>
      </c>
    </row>
    <row r="256" spans="1:13" x14ac:dyDescent="0.25">
      <c r="A256" s="258"/>
      <c r="G256" s="227"/>
      <c r="H256" s="241">
        <v>251</v>
      </c>
      <c r="I256" s="242" t="str">
        <f t="shared" si="18"/>
        <v/>
      </c>
      <c r="J256" s="241" t="e">
        <f t="shared" si="21"/>
        <v>#NUM!</v>
      </c>
      <c r="K256" s="241" t="e">
        <f t="shared" si="19"/>
        <v>#NUM!</v>
      </c>
      <c r="L256" s="241"/>
      <c r="M256" s="243">
        <f t="shared" si="20"/>
        <v>0</v>
      </c>
    </row>
    <row r="257" spans="1:13" x14ac:dyDescent="0.25">
      <c r="A257" s="258"/>
      <c r="G257" s="227"/>
      <c r="H257" s="244">
        <v>252</v>
      </c>
      <c r="I257" s="242" t="str">
        <f t="shared" si="18"/>
        <v/>
      </c>
      <c r="J257" s="241" t="e">
        <f t="shared" si="21"/>
        <v>#NUM!</v>
      </c>
      <c r="K257" s="241" t="e">
        <f t="shared" si="19"/>
        <v>#NUM!</v>
      </c>
      <c r="L257" s="241"/>
      <c r="M257" s="243">
        <f t="shared" si="20"/>
        <v>0</v>
      </c>
    </row>
    <row r="258" spans="1:13" x14ac:dyDescent="0.25">
      <c r="A258" s="258"/>
      <c r="G258" s="227"/>
      <c r="H258" s="241">
        <v>253</v>
      </c>
      <c r="I258" s="242" t="str">
        <f t="shared" si="18"/>
        <v/>
      </c>
      <c r="J258" s="241" t="e">
        <f t="shared" si="21"/>
        <v>#NUM!</v>
      </c>
      <c r="K258" s="241" t="e">
        <f t="shared" si="19"/>
        <v>#NUM!</v>
      </c>
      <c r="L258" s="241"/>
      <c r="M258" s="243">
        <f t="shared" si="20"/>
        <v>0</v>
      </c>
    </row>
    <row r="259" spans="1:13" x14ac:dyDescent="0.25">
      <c r="A259" s="258"/>
      <c r="G259" s="227"/>
      <c r="H259" s="244">
        <v>254</v>
      </c>
      <c r="I259" s="242" t="str">
        <f t="shared" si="18"/>
        <v/>
      </c>
      <c r="J259" s="241" t="e">
        <f t="shared" si="21"/>
        <v>#NUM!</v>
      </c>
      <c r="K259" s="241" t="e">
        <f t="shared" si="19"/>
        <v>#NUM!</v>
      </c>
      <c r="L259" s="241"/>
      <c r="M259" s="243">
        <f t="shared" si="20"/>
        <v>0</v>
      </c>
    </row>
    <row r="260" spans="1:13" x14ac:dyDescent="0.25">
      <c r="A260" s="258"/>
      <c r="G260" s="227"/>
      <c r="H260" s="241">
        <v>255</v>
      </c>
      <c r="I260" s="242" t="str">
        <f t="shared" si="18"/>
        <v/>
      </c>
      <c r="J260" s="241" t="e">
        <f t="shared" si="21"/>
        <v>#NUM!</v>
      </c>
      <c r="K260" s="241" t="e">
        <f t="shared" si="19"/>
        <v>#NUM!</v>
      </c>
      <c r="L260" s="241"/>
      <c r="M260" s="243">
        <f t="shared" si="20"/>
        <v>0</v>
      </c>
    </row>
    <row r="261" spans="1:13" x14ac:dyDescent="0.25">
      <c r="A261" s="258"/>
      <c r="G261" s="227"/>
      <c r="H261" s="244">
        <v>256</v>
      </c>
      <c r="I261" s="242" t="str">
        <f t="shared" si="18"/>
        <v/>
      </c>
      <c r="J261" s="241" t="e">
        <f t="shared" si="21"/>
        <v>#NUM!</v>
      </c>
      <c r="K261" s="241" t="e">
        <f t="shared" si="19"/>
        <v>#NUM!</v>
      </c>
      <c r="L261" s="241"/>
      <c r="M261" s="243">
        <f t="shared" si="20"/>
        <v>0</v>
      </c>
    </row>
    <row r="262" spans="1:13" x14ac:dyDescent="0.25">
      <c r="A262" s="258"/>
      <c r="G262" s="227"/>
      <c r="H262" s="241">
        <v>257</v>
      </c>
      <c r="I262" s="242" t="str">
        <f t="shared" ref="I262:I305" si="22">IF(H262&lt;$H$2+1,($I$2-($I$2-1)*(LOG(H262)/LOG($H$2))),"")</f>
        <v/>
      </c>
      <c r="J262" s="241" t="e">
        <f t="shared" si="21"/>
        <v>#NUM!</v>
      </c>
      <c r="K262" s="241" t="e">
        <f t="shared" ref="K262:K305" si="23">J262*$J$2</f>
        <v>#NUM!</v>
      </c>
      <c r="L262" s="241"/>
      <c r="M262" s="243">
        <f t="shared" ref="M262:M305" si="24">IF(I262&lt;&gt;"",K262+I262+L262,0)</f>
        <v>0</v>
      </c>
    </row>
    <row r="263" spans="1:13" x14ac:dyDescent="0.25">
      <c r="A263" s="258"/>
      <c r="G263" s="227"/>
      <c r="H263" s="244">
        <v>258</v>
      </c>
      <c r="I263" s="242" t="str">
        <f t="shared" si="22"/>
        <v/>
      </c>
      <c r="J263" s="241" t="e">
        <f t="shared" ref="J263:J305" si="25">INT(LOG($H$2,2))-ROUNDUP(LOG(H263,2),0)+IF(OR($H$2=1,$H$2=2,$H$2=4,$H$2=8,$H$2=16,$H$2=32,$H$2=64,$H$2=128,$H$2=256),0,1)</f>
        <v>#NUM!</v>
      </c>
      <c r="K263" s="241" t="e">
        <f t="shared" si="23"/>
        <v>#NUM!</v>
      </c>
      <c r="L263" s="241"/>
      <c r="M263" s="243">
        <f t="shared" si="24"/>
        <v>0</v>
      </c>
    </row>
    <row r="264" spans="1:13" x14ac:dyDescent="0.25">
      <c r="A264" s="258"/>
      <c r="G264" s="227"/>
      <c r="H264" s="241">
        <v>259</v>
      </c>
      <c r="I264" s="242" t="str">
        <f t="shared" si="22"/>
        <v/>
      </c>
      <c r="J264" s="241" t="e">
        <f t="shared" si="25"/>
        <v>#NUM!</v>
      </c>
      <c r="K264" s="241" t="e">
        <f t="shared" si="23"/>
        <v>#NUM!</v>
      </c>
      <c r="L264" s="241"/>
      <c r="M264" s="243">
        <f t="shared" si="24"/>
        <v>0</v>
      </c>
    </row>
    <row r="265" spans="1:13" x14ac:dyDescent="0.25">
      <c r="A265" s="258"/>
      <c r="G265" s="227"/>
      <c r="H265" s="244">
        <v>260</v>
      </c>
      <c r="I265" s="242" t="str">
        <f t="shared" si="22"/>
        <v/>
      </c>
      <c r="J265" s="241" t="e">
        <f t="shared" si="25"/>
        <v>#NUM!</v>
      </c>
      <c r="K265" s="241" t="e">
        <f t="shared" si="23"/>
        <v>#NUM!</v>
      </c>
      <c r="L265" s="241"/>
      <c r="M265" s="243">
        <f t="shared" si="24"/>
        <v>0</v>
      </c>
    </row>
    <row r="266" spans="1:13" x14ac:dyDescent="0.25">
      <c r="A266" s="258"/>
      <c r="G266" s="227"/>
      <c r="H266" s="241">
        <v>261</v>
      </c>
      <c r="I266" s="242" t="str">
        <f t="shared" si="22"/>
        <v/>
      </c>
      <c r="J266" s="241" t="e">
        <f t="shared" si="25"/>
        <v>#NUM!</v>
      </c>
      <c r="K266" s="241" t="e">
        <f t="shared" si="23"/>
        <v>#NUM!</v>
      </c>
      <c r="L266" s="241"/>
      <c r="M266" s="243">
        <f t="shared" si="24"/>
        <v>0</v>
      </c>
    </row>
    <row r="267" spans="1:13" x14ac:dyDescent="0.25">
      <c r="A267" s="258"/>
      <c r="G267" s="227"/>
      <c r="H267" s="244">
        <v>262</v>
      </c>
      <c r="I267" s="242" t="str">
        <f t="shared" si="22"/>
        <v/>
      </c>
      <c r="J267" s="241" t="e">
        <f t="shared" si="25"/>
        <v>#NUM!</v>
      </c>
      <c r="K267" s="241" t="e">
        <f t="shared" si="23"/>
        <v>#NUM!</v>
      </c>
      <c r="L267" s="241"/>
      <c r="M267" s="243">
        <f t="shared" si="24"/>
        <v>0</v>
      </c>
    </row>
    <row r="268" spans="1:13" x14ac:dyDescent="0.25">
      <c r="A268" s="258"/>
      <c r="G268" s="227"/>
      <c r="H268" s="241">
        <v>263</v>
      </c>
      <c r="I268" s="242" t="str">
        <f t="shared" si="22"/>
        <v/>
      </c>
      <c r="J268" s="241" t="e">
        <f t="shared" si="25"/>
        <v>#NUM!</v>
      </c>
      <c r="K268" s="241" t="e">
        <f t="shared" si="23"/>
        <v>#NUM!</v>
      </c>
      <c r="L268" s="241"/>
      <c r="M268" s="243">
        <f t="shared" si="24"/>
        <v>0</v>
      </c>
    </row>
    <row r="269" spans="1:13" x14ac:dyDescent="0.25">
      <c r="A269" s="258"/>
      <c r="G269" s="227"/>
      <c r="H269" s="244">
        <v>264</v>
      </c>
      <c r="I269" s="242" t="str">
        <f t="shared" si="22"/>
        <v/>
      </c>
      <c r="J269" s="241" t="e">
        <f t="shared" si="25"/>
        <v>#NUM!</v>
      </c>
      <c r="K269" s="241" t="e">
        <f t="shared" si="23"/>
        <v>#NUM!</v>
      </c>
      <c r="L269" s="241"/>
      <c r="M269" s="243">
        <f t="shared" si="24"/>
        <v>0</v>
      </c>
    </row>
    <row r="270" spans="1:13" x14ac:dyDescent="0.25">
      <c r="A270" s="258"/>
      <c r="G270" s="227"/>
      <c r="H270" s="241">
        <v>265</v>
      </c>
      <c r="I270" s="242" t="str">
        <f t="shared" si="22"/>
        <v/>
      </c>
      <c r="J270" s="241" t="e">
        <f t="shared" si="25"/>
        <v>#NUM!</v>
      </c>
      <c r="K270" s="241" t="e">
        <f t="shared" si="23"/>
        <v>#NUM!</v>
      </c>
      <c r="L270" s="241"/>
      <c r="M270" s="243">
        <f t="shared" si="24"/>
        <v>0</v>
      </c>
    </row>
    <row r="271" spans="1:13" x14ac:dyDescent="0.25">
      <c r="A271" s="258"/>
      <c r="G271" s="227"/>
      <c r="H271" s="244">
        <v>266</v>
      </c>
      <c r="I271" s="242" t="str">
        <f t="shared" si="22"/>
        <v/>
      </c>
      <c r="J271" s="241" t="e">
        <f t="shared" si="25"/>
        <v>#NUM!</v>
      </c>
      <c r="K271" s="241" t="e">
        <f t="shared" si="23"/>
        <v>#NUM!</v>
      </c>
      <c r="L271" s="241"/>
      <c r="M271" s="243">
        <f t="shared" si="24"/>
        <v>0</v>
      </c>
    </row>
    <row r="272" spans="1:13" x14ac:dyDescent="0.25">
      <c r="A272" s="258"/>
      <c r="G272" s="227"/>
      <c r="H272" s="241">
        <v>267</v>
      </c>
      <c r="I272" s="242" t="str">
        <f t="shared" si="22"/>
        <v/>
      </c>
      <c r="J272" s="241" t="e">
        <f t="shared" si="25"/>
        <v>#NUM!</v>
      </c>
      <c r="K272" s="241" t="e">
        <f t="shared" si="23"/>
        <v>#NUM!</v>
      </c>
      <c r="L272" s="241"/>
      <c r="M272" s="243">
        <f t="shared" si="24"/>
        <v>0</v>
      </c>
    </row>
    <row r="273" spans="1:13" x14ac:dyDescent="0.25">
      <c r="A273" s="258"/>
      <c r="G273" s="227"/>
      <c r="H273" s="244">
        <v>268</v>
      </c>
      <c r="I273" s="242" t="str">
        <f t="shared" si="22"/>
        <v/>
      </c>
      <c r="J273" s="241" t="e">
        <f t="shared" si="25"/>
        <v>#NUM!</v>
      </c>
      <c r="K273" s="241" t="e">
        <f t="shared" si="23"/>
        <v>#NUM!</v>
      </c>
      <c r="L273" s="241"/>
      <c r="M273" s="243">
        <f t="shared" si="24"/>
        <v>0</v>
      </c>
    </row>
    <row r="274" spans="1:13" x14ac:dyDescent="0.25">
      <c r="A274" s="258"/>
      <c r="G274" s="227"/>
      <c r="H274" s="241">
        <v>269</v>
      </c>
      <c r="I274" s="242" t="str">
        <f t="shared" si="22"/>
        <v/>
      </c>
      <c r="J274" s="241" t="e">
        <f t="shared" si="25"/>
        <v>#NUM!</v>
      </c>
      <c r="K274" s="241" t="e">
        <f t="shared" si="23"/>
        <v>#NUM!</v>
      </c>
      <c r="L274" s="241"/>
      <c r="M274" s="243">
        <f t="shared" si="24"/>
        <v>0</v>
      </c>
    </row>
    <row r="275" spans="1:13" x14ac:dyDescent="0.25">
      <c r="A275" s="258"/>
      <c r="G275" s="227"/>
      <c r="H275" s="244">
        <v>270</v>
      </c>
      <c r="I275" s="242" t="str">
        <f t="shared" si="22"/>
        <v/>
      </c>
      <c r="J275" s="241" t="e">
        <f t="shared" si="25"/>
        <v>#NUM!</v>
      </c>
      <c r="K275" s="241" t="e">
        <f t="shared" si="23"/>
        <v>#NUM!</v>
      </c>
      <c r="L275" s="241"/>
      <c r="M275" s="243">
        <f t="shared" si="24"/>
        <v>0</v>
      </c>
    </row>
    <row r="276" spans="1:13" x14ac:dyDescent="0.25">
      <c r="A276" s="258"/>
      <c r="G276" s="227"/>
      <c r="H276" s="241">
        <v>271</v>
      </c>
      <c r="I276" s="242" t="str">
        <f t="shared" si="22"/>
        <v/>
      </c>
      <c r="J276" s="241" t="e">
        <f t="shared" si="25"/>
        <v>#NUM!</v>
      </c>
      <c r="K276" s="241" t="e">
        <f t="shared" si="23"/>
        <v>#NUM!</v>
      </c>
      <c r="L276" s="241"/>
      <c r="M276" s="243">
        <f t="shared" si="24"/>
        <v>0</v>
      </c>
    </row>
    <row r="277" spans="1:13" x14ac:dyDescent="0.25">
      <c r="A277" s="258"/>
      <c r="G277" s="227"/>
      <c r="H277" s="244">
        <v>272</v>
      </c>
      <c r="I277" s="242" t="str">
        <f t="shared" si="22"/>
        <v/>
      </c>
      <c r="J277" s="241" t="e">
        <f t="shared" si="25"/>
        <v>#NUM!</v>
      </c>
      <c r="K277" s="241" t="e">
        <f t="shared" si="23"/>
        <v>#NUM!</v>
      </c>
      <c r="L277" s="241"/>
      <c r="M277" s="243">
        <f t="shared" si="24"/>
        <v>0</v>
      </c>
    </row>
    <row r="278" spans="1:13" x14ac:dyDescent="0.25">
      <c r="A278" s="258"/>
      <c r="G278" s="227"/>
      <c r="H278" s="241">
        <v>273</v>
      </c>
      <c r="I278" s="242" t="str">
        <f t="shared" si="22"/>
        <v/>
      </c>
      <c r="J278" s="241" t="e">
        <f t="shared" si="25"/>
        <v>#NUM!</v>
      </c>
      <c r="K278" s="241" t="e">
        <f t="shared" si="23"/>
        <v>#NUM!</v>
      </c>
      <c r="L278" s="241"/>
      <c r="M278" s="243">
        <f t="shared" si="24"/>
        <v>0</v>
      </c>
    </row>
    <row r="279" spans="1:13" x14ac:dyDescent="0.25">
      <c r="A279" s="258"/>
      <c r="G279" s="227"/>
      <c r="H279" s="244">
        <v>274</v>
      </c>
      <c r="I279" s="242" t="str">
        <f t="shared" si="22"/>
        <v/>
      </c>
      <c r="J279" s="241" t="e">
        <f t="shared" si="25"/>
        <v>#NUM!</v>
      </c>
      <c r="K279" s="241" t="e">
        <f t="shared" si="23"/>
        <v>#NUM!</v>
      </c>
      <c r="L279" s="241"/>
      <c r="M279" s="243">
        <f t="shared" si="24"/>
        <v>0</v>
      </c>
    </row>
    <row r="280" spans="1:13" x14ac:dyDescent="0.25">
      <c r="A280" s="258"/>
      <c r="G280" s="227"/>
      <c r="H280" s="241">
        <v>275</v>
      </c>
      <c r="I280" s="242" t="str">
        <f t="shared" si="22"/>
        <v/>
      </c>
      <c r="J280" s="241" t="e">
        <f t="shared" si="25"/>
        <v>#NUM!</v>
      </c>
      <c r="K280" s="241" t="e">
        <f t="shared" si="23"/>
        <v>#NUM!</v>
      </c>
      <c r="L280" s="241"/>
      <c r="M280" s="243">
        <f t="shared" si="24"/>
        <v>0</v>
      </c>
    </row>
    <row r="281" spans="1:13" x14ac:dyDescent="0.25">
      <c r="A281" s="258"/>
      <c r="G281" s="227"/>
      <c r="H281" s="244">
        <v>276</v>
      </c>
      <c r="I281" s="242" t="str">
        <f t="shared" si="22"/>
        <v/>
      </c>
      <c r="J281" s="241" t="e">
        <f t="shared" si="25"/>
        <v>#NUM!</v>
      </c>
      <c r="K281" s="241" t="e">
        <f t="shared" si="23"/>
        <v>#NUM!</v>
      </c>
      <c r="L281" s="241"/>
      <c r="M281" s="243">
        <f t="shared" si="24"/>
        <v>0</v>
      </c>
    </row>
    <row r="282" spans="1:13" x14ac:dyDescent="0.25">
      <c r="A282" s="258"/>
      <c r="G282" s="227"/>
      <c r="H282" s="241">
        <v>277</v>
      </c>
      <c r="I282" s="242" t="str">
        <f t="shared" si="22"/>
        <v/>
      </c>
      <c r="J282" s="241" t="e">
        <f t="shared" si="25"/>
        <v>#NUM!</v>
      </c>
      <c r="K282" s="241" t="e">
        <f t="shared" si="23"/>
        <v>#NUM!</v>
      </c>
      <c r="L282" s="241"/>
      <c r="M282" s="243">
        <f t="shared" si="24"/>
        <v>0</v>
      </c>
    </row>
    <row r="283" spans="1:13" x14ac:dyDescent="0.25">
      <c r="A283" s="258"/>
      <c r="G283" s="227"/>
      <c r="H283" s="244">
        <v>278</v>
      </c>
      <c r="I283" s="242" t="str">
        <f t="shared" si="22"/>
        <v/>
      </c>
      <c r="J283" s="241" t="e">
        <f t="shared" si="25"/>
        <v>#NUM!</v>
      </c>
      <c r="K283" s="241" t="e">
        <f t="shared" si="23"/>
        <v>#NUM!</v>
      </c>
      <c r="L283" s="241"/>
      <c r="M283" s="243">
        <f t="shared" si="24"/>
        <v>0</v>
      </c>
    </row>
    <row r="284" spans="1:13" x14ac:dyDescent="0.25">
      <c r="A284" s="258"/>
      <c r="G284" s="227"/>
      <c r="H284" s="241">
        <v>279</v>
      </c>
      <c r="I284" s="242" t="str">
        <f t="shared" si="22"/>
        <v/>
      </c>
      <c r="J284" s="241" t="e">
        <f t="shared" si="25"/>
        <v>#NUM!</v>
      </c>
      <c r="K284" s="241" t="e">
        <f t="shared" si="23"/>
        <v>#NUM!</v>
      </c>
      <c r="L284" s="241"/>
      <c r="M284" s="243">
        <f t="shared" si="24"/>
        <v>0</v>
      </c>
    </row>
    <row r="285" spans="1:13" x14ac:dyDescent="0.25">
      <c r="A285" s="258"/>
      <c r="G285" s="227"/>
      <c r="H285" s="244">
        <v>280</v>
      </c>
      <c r="I285" s="242" t="str">
        <f t="shared" si="22"/>
        <v/>
      </c>
      <c r="J285" s="241" t="e">
        <f t="shared" si="25"/>
        <v>#NUM!</v>
      </c>
      <c r="K285" s="241" t="e">
        <f t="shared" si="23"/>
        <v>#NUM!</v>
      </c>
      <c r="L285" s="241"/>
      <c r="M285" s="243">
        <f t="shared" si="24"/>
        <v>0</v>
      </c>
    </row>
    <row r="286" spans="1:13" x14ac:dyDescent="0.25">
      <c r="A286" s="258"/>
      <c r="G286" s="227"/>
      <c r="H286" s="241">
        <v>281</v>
      </c>
      <c r="I286" s="242" t="str">
        <f t="shared" si="22"/>
        <v/>
      </c>
      <c r="J286" s="241" t="e">
        <f t="shared" si="25"/>
        <v>#NUM!</v>
      </c>
      <c r="K286" s="241" t="e">
        <f t="shared" si="23"/>
        <v>#NUM!</v>
      </c>
      <c r="L286" s="241"/>
      <c r="M286" s="243">
        <f t="shared" si="24"/>
        <v>0</v>
      </c>
    </row>
    <row r="287" spans="1:13" x14ac:dyDescent="0.25">
      <c r="A287" s="258"/>
      <c r="G287" s="227"/>
      <c r="H287" s="244">
        <v>282</v>
      </c>
      <c r="I287" s="242" t="str">
        <f t="shared" si="22"/>
        <v/>
      </c>
      <c r="J287" s="241" t="e">
        <f t="shared" si="25"/>
        <v>#NUM!</v>
      </c>
      <c r="K287" s="241" t="e">
        <f t="shared" si="23"/>
        <v>#NUM!</v>
      </c>
      <c r="L287" s="241"/>
      <c r="M287" s="243">
        <f t="shared" si="24"/>
        <v>0</v>
      </c>
    </row>
    <row r="288" spans="1:13" x14ac:dyDescent="0.25">
      <c r="A288" s="258"/>
      <c r="G288" s="227"/>
      <c r="H288" s="241">
        <v>283</v>
      </c>
      <c r="I288" s="242" t="str">
        <f t="shared" si="22"/>
        <v/>
      </c>
      <c r="J288" s="241" t="e">
        <f t="shared" si="25"/>
        <v>#NUM!</v>
      </c>
      <c r="K288" s="241" t="e">
        <f t="shared" si="23"/>
        <v>#NUM!</v>
      </c>
      <c r="L288" s="241"/>
      <c r="M288" s="243">
        <f t="shared" si="24"/>
        <v>0</v>
      </c>
    </row>
    <row r="289" spans="1:13" x14ac:dyDescent="0.25">
      <c r="A289" s="258"/>
      <c r="G289" s="227"/>
      <c r="H289" s="244">
        <v>284</v>
      </c>
      <c r="I289" s="242" t="str">
        <f t="shared" si="22"/>
        <v/>
      </c>
      <c r="J289" s="241" t="e">
        <f t="shared" si="25"/>
        <v>#NUM!</v>
      </c>
      <c r="K289" s="241" t="e">
        <f t="shared" si="23"/>
        <v>#NUM!</v>
      </c>
      <c r="L289" s="241"/>
      <c r="M289" s="243">
        <f t="shared" si="24"/>
        <v>0</v>
      </c>
    </row>
    <row r="290" spans="1:13" x14ac:dyDescent="0.25">
      <c r="A290" s="258"/>
      <c r="G290" s="227"/>
      <c r="H290" s="241">
        <v>285</v>
      </c>
      <c r="I290" s="242" t="str">
        <f t="shared" si="22"/>
        <v/>
      </c>
      <c r="J290" s="241" t="e">
        <f t="shared" si="25"/>
        <v>#NUM!</v>
      </c>
      <c r="K290" s="241" t="e">
        <f t="shared" si="23"/>
        <v>#NUM!</v>
      </c>
      <c r="L290" s="241"/>
      <c r="M290" s="243">
        <f t="shared" si="24"/>
        <v>0</v>
      </c>
    </row>
    <row r="291" spans="1:13" x14ac:dyDescent="0.25">
      <c r="A291" s="258"/>
      <c r="G291" s="227"/>
      <c r="H291" s="244">
        <v>286</v>
      </c>
      <c r="I291" s="242" t="str">
        <f t="shared" si="22"/>
        <v/>
      </c>
      <c r="J291" s="241" t="e">
        <f t="shared" si="25"/>
        <v>#NUM!</v>
      </c>
      <c r="K291" s="241" t="e">
        <f t="shared" si="23"/>
        <v>#NUM!</v>
      </c>
      <c r="L291" s="241"/>
      <c r="M291" s="243">
        <f t="shared" si="24"/>
        <v>0</v>
      </c>
    </row>
    <row r="292" spans="1:13" x14ac:dyDescent="0.25">
      <c r="A292" s="258"/>
      <c r="G292" s="227"/>
      <c r="H292" s="241">
        <v>287</v>
      </c>
      <c r="I292" s="242" t="str">
        <f t="shared" si="22"/>
        <v/>
      </c>
      <c r="J292" s="241" t="e">
        <f t="shared" si="25"/>
        <v>#NUM!</v>
      </c>
      <c r="K292" s="241" t="e">
        <f t="shared" si="23"/>
        <v>#NUM!</v>
      </c>
      <c r="L292" s="241"/>
      <c r="M292" s="243">
        <f t="shared" si="24"/>
        <v>0</v>
      </c>
    </row>
    <row r="293" spans="1:13" x14ac:dyDescent="0.25">
      <c r="A293" s="258"/>
      <c r="G293" s="227"/>
      <c r="H293" s="241">
        <v>288</v>
      </c>
      <c r="I293" s="242" t="str">
        <f t="shared" si="22"/>
        <v/>
      </c>
      <c r="J293" s="241" t="e">
        <f t="shared" si="25"/>
        <v>#NUM!</v>
      </c>
      <c r="K293" s="241" t="e">
        <f t="shared" si="23"/>
        <v>#NUM!</v>
      </c>
      <c r="L293" s="241"/>
      <c r="M293" s="243">
        <f t="shared" si="24"/>
        <v>0</v>
      </c>
    </row>
    <row r="294" spans="1:13" x14ac:dyDescent="0.25">
      <c r="A294" s="258"/>
      <c r="G294" s="227"/>
      <c r="H294" s="241">
        <v>289</v>
      </c>
      <c r="I294" s="242" t="str">
        <f t="shared" si="22"/>
        <v/>
      </c>
      <c r="J294" s="241" t="e">
        <f t="shared" si="25"/>
        <v>#NUM!</v>
      </c>
      <c r="K294" s="241" t="e">
        <f t="shared" si="23"/>
        <v>#NUM!</v>
      </c>
      <c r="L294" s="241"/>
      <c r="M294" s="243">
        <f t="shared" si="24"/>
        <v>0</v>
      </c>
    </row>
    <row r="295" spans="1:13" x14ac:dyDescent="0.25">
      <c r="A295" s="258"/>
      <c r="G295" s="227"/>
      <c r="H295" s="241">
        <v>290</v>
      </c>
      <c r="I295" s="242" t="str">
        <f t="shared" si="22"/>
        <v/>
      </c>
      <c r="J295" s="241" t="e">
        <f t="shared" si="25"/>
        <v>#NUM!</v>
      </c>
      <c r="K295" s="241" t="e">
        <f t="shared" si="23"/>
        <v>#NUM!</v>
      </c>
      <c r="L295" s="241"/>
      <c r="M295" s="243">
        <f t="shared" si="24"/>
        <v>0</v>
      </c>
    </row>
    <row r="296" spans="1:13" x14ac:dyDescent="0.25">
      <c r="A296" s="258"/>
      <c r="G296" s="227"/>
      <c r="H296" s="241">
        <v>291</v>
      </c>
      <c r="I296" s="242" t="str">
        <f t="shared" si="22"/>
        <v/>
      </c>
      <c r="J296" s="241" t="e">
        <f t="shared" si="25"/>
        <v>#NUM!</v>
      </c>
      <c r="K296" s="241" t="e">
        <f t="shared" si="23"/>
        <v>#NUM!</v>
      </c>
      <c r="L296" s="241"/>
      <c r="M296" s="243">
        <f t="shared" si="24"/>
        <v>0</v>
      </c>
    </row>
    <row r="297" spans="1:13" x14ac:dyDescent="0.25">
      <c r="A297" s="258"/>
      <c r="G297" s="227"/>
      <c r="H297" s="241">
        <v>292</v>
      </c>
      <c r="I297" s="242" t="str">
        <f t="shared" si="22"/>
        <v/>
      </c>
      <c r="J297" s="241" t="e">
        <f t="shared" si="25"/>
        <v>#NUM!</v>
      </c>
      <c r="K297" s="241" t="e">
        <f t="shared" si="23"/>
        <v>#NUM!</v>
      </c>
      <c r="L297" s="241"/>
      <c r="M297" s="243">
        <f t="shared" si="24"/>
        <v>0</v>
      </c>
    </row>
    <row r="298" spans="1:13" x14ac:dyDescent="0.25">
      <c r="A298" s="258"/>
      <c r="G298" s="227"/>
      <c r="H298" s="241">
        <v>293</v>
      </c>
      <c r="I298" s="242" t="str">
        <f t="shared" si="22"/>
        <v/>
      </c>
      <c r="J298" s="241" t="e">
        <f t="shared" si="25"/>
        <v>#NUM!</v>
      </c>
      <c r="K298" s="241" t="e">
        <f t="shared" si="23"/>
        <v>#NUM!</v>
      </c>
      <c r="L298" s="241"/>
      <c r="M298" s="243">
        <f t="shared" si="24"/>
        <v>0</v>
      </c>
    </row>
    <row r="299" spans="1:13" x14ac:dyDescent="0.25">
      <c r="A299" s="258"/>
      <c r="G299" s="227"/>
      <c r="H299" s="241">
        <v>294</v>
      </c>
      <c r="I299" s="242" t="str">
        <f t="shared" si="22"/>
        <v/>
      </c>
      <c r="J299" s="241" t="e">
        <f t="shared" si="25"/>
        <v>#NUM!</v>
      </c>
      <c r="K299" s="241" t="e">
        <f t="shared" si="23"/>
        <v>#NUM!</v>
      </c>
      <c r="L299" s="241"/>
      <c r="M299" s="243">
        <f t="shared" si="24"/>
        <v>0</v>
      </c>
    </row>
    <row r="300" spans="1:13" x14ac:dyDescent="0.25">
      <c r="A300" s="258"/>
      <c r="G300" s="227"/>
      <c r="H300" s="241">
        <v>295</v>
      </c>
      <c r="I300" s="242" t="str">
        <f t="shared" si="22"/>
        <v/>
      </c>
      <c r="J300" s="241" t="e">
        <f t="shared" si="25"/>
        <v>#NUM!</v>
      </c>
      <c r="K300" s="241" t="e">
        <f t="shared" si="23"/>
        <v>#NUM!</v>
      </c>
      <c r="L300" s="241"/>
      <c r="M300" s="243">
        <f t="shared" si="24"/>
        <v>0</v>
      </c>
    </row>
    <row r="301" spans="1:13" x14ac:dyDescent="0.25">
      <c r="A301" s="258"/>
      <c r="G301" s="227"/>
      <c r="H301" s="241">
        <v>296</v>
      </c>
      <c r="I301" s="242" t="str">
        <f t="shared" si="22"/>
        <v/>
      </c>
      <c r="J301" s="241" t="e">
        <f t="shared" si="25"/>
        <v>#NUM!</v>
      </c>
      <c r="K301" s="241" t="e">
        <f t="shared" si="23"/>
        <v>#NUM!</v>
      </c>
      <c r="L301" s="241"/>
      <c r="M301" s="243">
        <f t="shared" si="24"/>
        <v>0</v>
      </c>
    </row>
    <row r="302" spans="1:13" x14ac:dyDescent="0.25">
      <c r="A302" s="258"/>
      <c r="G302" s="227"/>
      <c r="H302" s="241">
        <v>297</v>
      </c>
      <c r="I302" s="242" t="str">
        <f t="shared" si="22"/>
        <v/>
      </c>
      <c r="J302" s="241" t="e">
        <f t="shared" si="25"/>
        <v>#NUM!</v>
      </c>
      <c r="K302" s="241" t="e">
        <f t="shared" si="23"/>
        <v>#NUM!</v>
      </c>
      <c r="L302" s="241"/>
      <c r="M302" s="243">
        <f t="shared" si="24"/>
        <v>0</v>
      </c>
    </row>
    <row r="303" spans="1:13" x14ac:dyDescent="0.25">
      <c r="A303" s="258"/>
      <c r="G303" s="227"/>
      <c r="H303" s="241">
        <v>298</v>
      </c>
      <c r="I303" s="242" t="str">
        <f t="shared" si="22"/>
        <v/>
      </c>
      <c r="J303" s="241" t="e">
        <f t="shared" si="25"/>
        <v>#NUM!</v>
      </c>
      <c r="K303" s="241" t="e">
        <f t="shared" si="23"/>
        <v>#NUM!</v>
      </c>
      <c r="L303" s="241"/>
      <c r="M303" s="243">
        <f t="shared" si="24"/>
        <v>0</v>
      </c>
    </row>
    <row r="304" spans="1:13" x14ac:dyDescent="0.25">
      <c r="A304" s="258"/>
      <c r="G304" s="227"/>
      <c r="H304" s="241">
        <v>299</v>
      </c>
      <c r="I304" s="242" t="str">
        <f t="shared" si="22"/>
        <v/>
      </c>
      <c r="J304" s="241" t="e">
        <f t="shared" si="25"/>
        <v>#NUM!</v>
      </c>
      <c r="K304" s="241" t="e">
        <f t="shared" si="23"/>
        <v>#NUM!</v>
      </c>
      <c r="L304" s="241"/>
      <c r="M304" s="243">
        <f t="shared" si="24"/>
        <v>0</v>
      </c>
    </row>
    <row r="305" spans="1:16" x14ac:dyDescent="0.25">
      <c r="A305" s="258"/>
      <c r="G305" s="227"/>
      <c r="H305" s="241">
        <v>300</v>
      </c>
      <c r="I305" s="242" t="str">
        <f t="shared" si="22"/>
        <v/>
      </c>
      <c r="J305" s="241" t="e">
        <f t="shared" si="25"/>
        <v>#NUM!</v>
      </c>
      <c r="K305" s="241" t="e">
        <f t="shared" si="23"/>
        <v>#NUM!</v>
      </c>
      <c r="L305" s="241"/>
      <c r="M305" s="243">
        <f t="shared" si="24"/>
        <v>0</v>
      </c>
    </row>
    <row r="306" spans="1:16" x14ac:dyDescent="0.25">
      <c r="A306" s="259"/>
    </row>
    <row r="314" spans="1:16" x14ac:dyDescent="0.25">
      <c r="L314" s="262"/>
      <c r="P314" s="252"/>
    </row>
    <row r="315" spans="1:16" x14ac:dyDescent="0.25">
      <c r="L315" s="262"/>
      <c r="P315" s="252"/>
    </row>
    <row r="316" spans="1:16" x14ac:dyDescent="0.25">
      <c r="L316" s="262"/>
      <c r="P316" s="252"/>
    </row>
    <row r="317" spans="1:16" x14ac:dyDescent="0.25">
      <c r="L317" s="262"/>
      <c r="P317" s="252"/>
    </row>
  </sheetData>
  <conditionalFormatting sqref="J6:K305">
    <cfRule type="cellIs" dxfId="16" priority="1" operator="lessThanOrEqual">
      <formula>0</formula>
    </cfRule>
  </conditionalFormatting>
  <hyperlinks>
    <hyperlink ref="C2" r:id="rId1" xr:uid="{273EAA38-3172-43A3-8D43-8F025C8ED762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9B20-197E-4BD0-A6DC-F18CB3949348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76" t="s">
        <v>132</v>
      </c>
      <c r="D2" s="75"/>
      <c r="E2" s="23"/>
      <c r="F2" s="23"/>
      <c r="G2" s="23"/>
      <c r="H2" s="94">
        <v>4</v>
      </c>
      <c r="I2" s="95">
        <v>50</v>
      </c>
      <c r="J2" s="95">
        <v>10</v>
      </c>
      <c r="K2" s="129">
        <f>3*H2^(1/3)</f>
        <v>4.7622031559045981</v>
      </c>
      <c r="L2" s="92"/>
      <c r="M2" s="92"/>
      <c r="N2" s="88"/>
      <c r="O2" s="88"/>
      <c r="P2" s="88"/>
      <c r="Q2" s="88"/>
      <c r="R2" s="88"/>
    </row>
    <row r="3" spans="1:36" s="93" customFormat="1" x14ac:dyDescent="0.25">
      <c r="A3" s="88"/>
      <c r="B3" s="97" t="s">
        <v>32</v>
      </c>
      <c r="C3" s="76" t="s">
        <v>133</v>
      </c>
      <c r="D3" s="76"/>
      <c r="E3" s="28"/>
      <c r="F3" s="28"/>
      <c r="G3" s="28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69" si="0">M6</f>
        <v>84.286609467713788</v>
      </c>
      <c r="B6" s="36">
        <f>IF(H6&gt;$H$2,"",(ROW()-5))</f>
        <v>1</v>
      </c>
      <c r="C6" s="37" t="s">
        <v>53</v>
      </c>
      <c r="D6" s="37"/>
      <c r="E6" s="37"/>
      <c r="F6" s="37"/>
      <c r="G6" s="30"/>
      <c r="H6" s="103">
        <v>1</v>
      </c>
      <c r="I6" s="104">
        <f t="shared" ref="I6:I69" si="1">IF(H6&lt;$H$2+1,($I$2-($I$2-1)*(LOG(H6)/LOG($H$2))),"")</f>
        <v>50</v>
      </c>
      <c r="J6" s="103">
        <f t="shared" ref="J6:J69" si="2">INT(LOG($H$2,2))-ROUNDUP(LOG(H6,2),0)+IF(OR($H$2=1,$H$2=2,$H$2=4,$H$2=8,$H$2=16,$H$2=32,$H$2=64,$H$2=128,$H$2=256),0,1)</f>
        <v>2</v>
      </c>
      <c r="K6" s="103">
        <f t="shared" ref="K6:K69" si="3">J6*$J$2</f>
        <v>20</v>
      </c>
      <c r="L6" s="105">
        <f>3*K2</f>
        <v>14.286609467713795</v>
      </c>
      <c r="M6" s="105">
        <f t="shared" ref="M6:M69" si="4">IF(I6&lt;&gt;"",K6+I6+L6,0)</f>
        <v>84.286609467713788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45.024406311809194</v>
      </c>
      <c r="B7" s="42">
        <f>IF(H7&gt;$H$2,"",(ROW()-5))</f>
        <v>2</v>
      </c>
      <c r="C7" s="43" t="s">
        <v>51</v>
      </c>
      <c r="D7" s="43"/>
      <c r="E7" s="43"/>
      <c r="F7" s="43"/>
      <c r="G7" s="30"/>
      <c r="H7" s="107">
        <v>2</v>
      </c>
      <c r="I7" s="108">
        <f t="shared" si="1"/>
        <v>25.5</v>
      </c>
      <c r="J7" s="107">
        <f t="shared" si="2"/>
        <v>1</v>
      </c>
      <c r="K7" s="107">
        <f t="shared" si="3"/>
        <v>10</v>
      </c>
      <c r="L7" s="109">
        <f>2*K2</f>
        <v>9.5244063118091962</v>
      </c>
      <c r="M7" s="109">
        <f t="shared" si="4"/>
        <v>45.024406311809194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15.930621888236271</v>
      </c>
      <c r="B8" s="36">
        <f>IF(H8&gt;$H$2,"",(ROW()-5))</f>
        <v>3</v>
      </c>
      <c r="C8" s="37" t="s">
        <v>53</v>
      </c>
      <c r="D8" s="37"/>
      <c r="E8" s="37"/>
      <c r="F8" s="37"/>
      <c r="G8" s="30"/>
      <c r="H8" s="103">
        <v>3</v>
      </c>
      <c r="I8" s="104">
        <f t="shared" si="1"/>
        <v>11.168418732331673</v>
      </c>
      <c r="J8" s="103">
        <f t="shared" si="2"/>
        <v>0</v>
      </c>
      <c r="K8" s="103">
        <f t="shared" si="3"/>
        <v>0</v>
      </c>
      <c r="L8" s="105">
        <f>K2</f>
        <v>4.7622031559045981</v>
      </c>
      <c r="M8" s="105">
        <f t="shared" si="4"/>
        <v>15.930621888236271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15.930621888236271</v>
      </c>
      <c r="B9" s="42">
        <f>IF(H9&gt;$H$2,"",3)</f>
        <v>3</v>
      </c>
      <c r="C9" s="43" t="s">
        <v>53</v>
      </c>
      <c r="D9" s="43"/>
      <c r="E9" s="43"/>
      <c r="F9" s="43"/>
      <c r="G9" s="30"/>
      <c r="H9" s="107">
        <v>3</v>
      </c>
      <c r="I9" s="108">
        <f t="shared" si="1"/>
        <v>11.168418732331673</v>
      </c>
      <c r="J9" s="107">
        <f t="shared" si="2"/>
        <v>0</v>
      </c>
      <c r="K9" s="107">
        <f t="shared" si="3"/>
        <v>0</v>
      </c>
      <c r="L9" s="109">
        <f>K2</f>
        <v>4.7622031559045981</v>
      </c>
      <c r="M9" s="109">
        <f t="shared" si="4"/>
        <v>15.930621888236271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0</v>
      </c>
      <c r="B10" s="36" t="str">
        <f t="shared" ref="B10:B73" si="5">IF(H10&gt;$H$2,"",(ROW()-5))</f>
        <v/>
      </c>
      <c r="C10" s="37"/>
      <c r="D10" s="37"/>
      <c r="E10" s="37"/>
      <c r="F10" s="37"/>
      <c r="G10" s="30"/>
      <c r="H10" s="103">
        <v>5</v>
      </c>
      <c r="I10" s="104" t="str">
        <f t="shared" si="1"/>
        <v/>
      </c>
      <c r="J10" s="103">
        <v>2</v>
      </c>
      <c r="K10" s="103">
        <f t="shared" si="3"/>
        <v>20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107">
        <v>6</v>
      </c>
      <c r="I11" s="108" t="str">
        <f t="shared" si="1"/>
        <v/>
      </c>
      <c r="J11" s="107">
        <f t="shared" si="2"/>
        <v>-1</v>
      </c>
      <c r="K11" s="107">
        <f t="shared" si="3"/>
        <v>-10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103">
        <v>7</v>
      </c>
      <c r="I12" s="104" t="str">
        <f t="shared" si="1"/>
        <v/>
      </c>
      <c r="J12" s="103">
        <f t="shared" si="2"/>
        <v>-1</v>
      </c>
      <c r="K12" s="103">
        <f t="shared" si="3"/>
        <v>-10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7">
        <f t="shared" si="2"/>
        <v>-1</v>
      </c>
      <c r="K13" s="107">
        <f t="shared" si="3"/>
        <v>-10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3">
        <f t="shared" si="2"/>
        <v>-2</v>
      </c>
      <c r="K14" s="103">
        <f t="shared" si="3"/>
        <v>-20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7">
        <f t="shared" si="2"/>
        <v>-2</v>
      </c>
      <c r="K15" s="107">
        <f t="shared" si="3"/>
        <v>-20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3">
        <f t="shared" si="2"/>
        <v>-2</v>
      </c>
      <c r="K16" s="103">
        <f t="shared" si="3"/>
        <v>-20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7">
        <f t="shared" si="2"/>
        <v>-2</v>
      </c>
      <c r="K17" s="107">
        <f t="shared" si="3"/>
        <v>-20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3">
        <f t="shared" si="2"/>
        <v>-2</v>
      </c>
      <c r="K18" s="103">
        <f t="shared" si="3"/>
        <v>-20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7">
        <f t="shared" si="2"/>
        <v>-2</v>
      </c>
      <c r="K19" s="107">
        <f t="shared" si="3"/>
        <v>-20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3">
        <f t="shared" si="2"/>
        <v>-2</v>
      </c>
      <c r="K20" s="103">
        <f t="shared" si="3"/>
        <v>-20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7">
        <f t="shared" si="2"/>
        <v>-2</v>
      </c>
      <c r="K21" s="107">
        <f t="shared" si="3"/>
        <v>-20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3">
        <f t="shared" si="2"/>
        <v>-3</v>
      </c>
      <c r="K22" s="103">
        <f t="shared" si="3"/>
        <v>-30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7">
        <f t="shared" si="2"/>
        <v>-3</v>
      </c>
      <c r="K23" s="107">
        <f t="shared" si="3"/>
        <v>-30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3">
        <f t="shared" si="2"/>
        <v>-3</v>
      </c>
      <c r="K24" s="103">
        <f t="shared" si="3"/>
        <v>-30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7">
        <f t="shared" si="2"/>
        <v>-3</v>
      </c>
      <c r="K25" s="107">
        <f t="shared" si="3"/>
        <v>-30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3">
        <f t="shared" si="2"/>
        <v>-3</v>
      </c>
      <c r="K26" s="103">
        <f t="shared" si="3"/>
        <v>-30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7">
        <f t="shared" si="2"/>
        <v>-3</v>
      </c>
      <c r="K27" s="107">
        <f t="shared" si="3"/>
        <v>-30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3">
        <f t="shared" si="2"/>
        <v>-3</v>
      </c>
      <c r="K28" s="103">
        <f t="shared" si="3"/>
        <v>-30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7">
        <f t="shared" si="2"/>
        <v>-3</v>
      </c>
      <c r="K29" s="107">
        <f t="shared" si="3"/>
        <v>-30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3">
        <f t="shared" si="2"/>
        <v>-3</v>
      </c>
      <c r="K30" s="103">
        <f t="shared" si="3"/>
        <v>-30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7">
        <f t="shared" si="2"/>
        <v>-3</v>
      </c>
      <c r="K31" s="107">
        <f t="shared" si="3"/>
        <v>-30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3">
        <f t="shared" si="2"/>
        <v>-3</v>
      </c>
      <c r="K32" s="103">
        <f t="shared" si="3"/>
        <v>-30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19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7">
        <f t="shared" si="2"/>
        <v>-3</v>
      </c>
      <c r="K33" s="107">
        <f t="shared" si="3"/>
        <v>-30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19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3">
        <f t="shared" si="2"/>
        <v>-3</v>
      </c>
      <c r="K34" s="103">
        <f t="shared" si="3"/>
        <v>-30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19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7">
        <f t="shared" si="2"/>
        <v>-3</v>
      </c>
      <c r="K35" s="107">
        <f t="shared" si="3"/>
        <v>-30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19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3">
        <f t="shared" si="2"/>
        <v>-3</v>
      </c>
      <c r="K36" s="103">
        <f t="shared" si="3"/>
        <v>-30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19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7">
        <f t="shared" si="2"/>
        <v>-3</v>
      </c>
      <c r="K37" s="107">
        <f t="shared" si="3"/>
        <v>-30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19" s="93" customFormat="1" x14ac:dyDescent="0.25">
      <c r="A38" s="102">
        <f t="shared" si="0"/>
        <v>0</v>
      </c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3">
        <f t="shared" si="2"/>
        <v>-4</v>
      </c>
      <c r="K38" s="103">
        <f t="shared" si="3"/>
        <v>-40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19" s="93" customFormat="1" x14ac:dyDescent="0.25">
      <c r="A39" s="106">
        <f t="shared" si="0"/>
        <v>0</v>
      </c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7">
        <f t="shared" si="2"/>
        <v>-4</v>
      </c>
      <c r="K39" s="107">
        <f t="shared" si="3"/>
        <v>-40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19" s="93" customFormat="1" x14ac:dyDescent="0.25">
      <c r="A40" s="102">
        <f t="shared" si="0"/>
        <v>0</v>
      </c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3">
        <f t="shared" si="2"/>
        <v>-4</v>
      </c>
      <c r="K40" s="103">
        <f t="shared" si="3"/>
        <v>-40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19" s="93" customFormat="1" x14ac:dyDescent="0.25">
      <c r="A41" s="106">
        <f t="shared" si="0"/>
        <v>0</v>
      </c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7">
        <f t="shared" si="2"/>
        <v>-4</v>
      </c>
      <c r="K41" s="107">
        <f t="shared" si="3"/>
        <v>-40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19" s="93" customFormat="1" x14ac:dyDescent="0.25">
      <c r="A42" s="102">
        <f t="shared" si="0"/>
        <v>0</v>
      </c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3">
        <f t="shared" si="2"/>
        <v>-4</v>
      </c>
      <c r="K42" s="103">
        <f t="shared" si="3"/>
        <v>-40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19" s="93" customFormat="1" x14ac:dyDescent="0.25">
      <c r="A43" s="106">
        <f t="shared" si="0"/>
        <v>0</v>
      </c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7">
        <f t="shared" si="2"/>
        <v>-4</v>
      </c>
      <c r="K43" s="107">
        <f t="shared" si="3"/>
        <v>-40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19" s="93" customFormat="1" x14ac:dyDescent="0.25">
      <c r="A44" s="102">
        <f t="shared" si="0"/>
        <v>0</v>
      </c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3">
        <f t="shared" si="2"/>
        <v>-4</v>
      </c>
      <c r="K44" s="103">
        <f t="shared" si="3"/>
        <v>-40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19" s="93" customFormat="1" x14ac:dyDescent="0.25">
      <c r="A45" s="106">
        <f t="shared" si="0"/>
        <v>0</v>
      </c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7">
        <f t="shared" si="2"/>
        <v>-4</v>
      </c>
      <c r="K45" s="107">
        <f t="shared" si="3"/>
        <v>-40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19" s="93" customFormat="1" x14ac:dyDescent="0.25">
      <c r="A46" s="102">
        <f t="shared" si="0"/>
        <v>0</v>
      </c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3">
        <f t="shared" si="2"/>
        <v>-4</v>
      </c>
      <c r="K46" s="103">
        <f t="shared" si="3"/>
        <v>-40</v>
      </c>
      <c r="L46" s="103"/>
      <c r="M46" s="105">
        <f t="shared" si="4"/>
        <v>0</v>
      </c>
      <c r="N46" s="88"/>
      <c r="O46" s="88"/>
      <c r="P46" s="88"/>
      <c r="Q46" s="88"/>
      <c r="R46" s="88"/>
    </row>
    <row r="47" spans="1:19" s="93" customFormat="1" x14ac:dyDescent="0.25">
      <c r="A47" s="106">
        <f t="shared" si="0"/>
        <v>0</v>
      </c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7">
        <f t="shared" si="2"/>
        <v>-4</v>
      </c>
      <c r="K47" s="107">
        <f t="shared" si="3"/>
        <v>-40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19" s="93" customFormat="1" x14ac:dyDescent="0.25">
      <c r="A48" s="102">
        <f t="shared" si="0"/>
        <v>0</v>
      </c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3">
        <f t="shared" si="2"/>
        <v>-4</v>
      </c>
      <c r="K48" s="103">
        <f t="shared" si="3"/>
        <v>-40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x14ac:dyDescent="0.25">
      <c r="A49" s="106">
        <f t="shared" si="0"/>
        <v>0</v>
      </c>
      <c r="B49" s="42" t="str">
        <f t="shared" si="5"/>
        <v/>
      </c>
      <c r="C49" s="43"/>
      <c r="D49" s="43"/>
      <c r="E49" s="43"/>
      <c r="F49" s="43"/>
      <c r="G49" s="88"/>
      <c r="H49" s="107">
        <v>44</v>
      </c>
      <c r="I49" s="108" t="str">
        <f t="shared" si="1"/>
        <v/>
      </c>
      <c r="J49" s="107">
        <f t="shared" si="2"/>
        <v>-4</v>
      </c>
      <c r="K49" s="107">
        <f t="shared" si="3"/>
        <v>-40</v>
      </c>
      <c r="L49" s="107"/>
      <c r="M49" s="109">
        <f t="shared" si="4"/>
        <v>0</v>
      </c>
    </row>
    <row r="50" spans="1:38" x14ac:dyDescent="0.25">
      <c r="A50" s="102">
        <f t="shared" si="0"/>
        <v>0</v>
      </c>
      <c r="B50" s="36" t="str">
        <f t="shared" si="5"/>
        <v/>
      </c>
      <c r="C50" s="37"/>
      <c r="D50" s="37"/>
      <c r="E50" s="37"/>
      <c r="F50" s="37"/>
      <c r="G50" s="88"/>
      <c r="H50" s="103">
        <v>45</v>
      </c>
      <c r="I50" s="104" t="str">
        <f t="shared" si="1"/>
        <v/>
      </c>
      <c r="J50" s="103">
        <f t="shared" si="2"/>
        <v>-4</v>
      </c>
      <c r="K50" s="103">
        <f t="shared" si="3"/>
        <v>-40</v>
      </c>
      <c r="L50" s="103"/>
      <c r="M50" s="105">
        <f t="shared" si="4"/>
        <v>0</v>
      </c>
    </row>
    <row r="51" spans="1:38" x14ac:dyDescent="0.25">
      <c r="A51" s="106">
        <f t="shared" si="0"/>
        <v>0</v>
      </c>
      <c r="B51" s="42" t="str">
        <f t="shared" si="5"/>
        <v/>
      </c>
      <c r="C51" s="43"/>
      <c r="D51" s="43"/>
      <c r="E51" s="43"/>
      <c r="F51" s="43"/>
      <c r="G51" s="88"/>
      <c r="H51" s="107">
        <v>46</v>
      </c>
      <c r="I51" s="108" t="str">
        <f t="shared" si="1"/>
        <v/>
      </c>
      <c r="J51" s="107">
        <f t="shared" si="2"/>
        <v>-4</v>
      </c>
      <c r="K51" s="107">
        <f t="shared" si="3"/>
        <v>-40</v>
      </c>
      <c r="L51" s="107"/>
      <c r="M51" s="109">
        <f t="shared" si="4"/>
        <v>0</v>
      </c>
    </row>
    <row r="52" spans="1:38" x14ac:dyDescent="0.25">
      <c r="A52" s="102">
        <f t="shared" si="0"/>
        <v>0</v>
      </c>
      <c r="B52" s="36" t="str">
        <f t="shared" si="5"/>
        <v/>
      </c>
      <c r="C52" s="37"/>
      <c r="D52" s="37"/>
      <c r="E52" s="37"/>
      <c r="F52" s="37"/>
      <c r="G52" s="88"/>
      <c r="H52" s="103">
        <v>47</v>
      </c>
      <c r="I52" s="104" t="str">
        <f t="shared" si="1"/>
        <v/>
      </c>
      <c r="J52" s="103">
        <f t="shared" si="2"/>
        <v>-4</v>
      </c>
      <c r="K52" s="103">
        <f t="shared" si="3"/>
        <v>-40</v>
      </c>
      <c r="L52" s="103"/>
      <c r="M52" s="105">
        <f t="shared" si="4"/>
        <v>0</v>
      </c>
    </row>
    <row r="53" spans="1:38" x14ac:dyDescent="0.25">
      <c r="A53" s="106">
        <f t="shared" si="0"/>
        <v>0</v>
      </c>
      <c r="B53" s="42" t="str">
        <f t="shared" si="5"/>
        <v/>
      </c>
      <c r="C53" s="43"/>
      <c r="D53" s="43"/>
      <c r="E53" s="43"/>
      <c r="F53" s="43"/>
      <c r="G53" s="88"/>
      <c r="H53" s="107">
        <v>48</v>
      </c>
      <c r="I53" s="108" t="str">
        <f t="shared" si="1"/>
        <v/>
      </c>
      <c r="J53" s="107">
        <f t="shared" si="2"/>
        <v>-4</v>
      </c>
      <c r="K53" s="107">
        <f t="shared" si="3"/>
        <v>-40</v>
      </c>
      <c r="L53" s="107"/>
      <c r="M53" s="109">
        <f t="shared" si="4"/>
        <v>0</v>
      </c>
    </row>
    <row r="54" spans="1:38" x14ac:dyDescent="0.25">
      <c r="A54" s="102">
        <f t="shared" si="0"/>
        <v>0</v>
      </c>
      <c r="B54" s="36" t="str">
        <f t="shared" si="5"/>
        <v/>
      </c>
      <c r="C54" s="37"/>
      <c r="D54" s="37"/>
      <c r="E54" s="37"/>
      <c r="F54" s="37"/>
      <c r="G54" s="88"/>
      <c r="H54" s="103">
        <v>49</v>
      </c>
      <c r="I54" s="104" t="str">
        <f t="shared" si="1"/>
        <v/>
      </c>
      <c r="J54" s="103">
        <f t="shared" si="2"/>
        <v>-4</v>
      </c>
      <c r="K54" s="103">
        <f t="shared" si="3"/>
        <v>-40</v>
      </c>
      <c r="L54" s="103"/>
      <c r="M54" s="105">
        <f t="shared" si="4"/>
        <v>0</v>
      </c>
    </row>
    <row r="55" spans="1:38" x14ac:dyDescent="0.25">
      <c r="A55" s="106">
        <f t="shared" si="0"/>
        <v>0</v>
      </c>
      <c r="B55" s="42" t="str">
        <f t="shared" si="5"/>
        <v/>
      </c>
      <c r="C55" s="43"/>
      <c r="D55" s="43"/>
      <c r="E55" s="43"/>
      <c r="F55" s="43"/>
      <c r="G55" s="88"/>
      <c r="H55" s="107">
        <v>50</v>
      </c>
      <c r="I55" s="108" t="str">
        <f t="shared" si="1"/>
        <v/>
      </c>
      <c r="J55" s="107">
        <f t="shared" si="2"/>
        <v>-4</v>
      </c>
      <c r="K55" s="107">
        <f t="shared" si="3"/>
        <v>-40</v>
      </c>
      <c r="L55" s="107"/>
      <c r="M55" s="109">
        <f t="shared" si="4"/>
        <v>0</v>
      </c>
    </row>
    <row r="56" spans="1:38" x14ac:dyDescent="0.25">
      <c r="A56" s="102">
        <f t="shared" si="0"/>
        <v>0</v>
      </c>
      <c r="B56" s="36" t="str">
        <f t="shared" si="5"/>
        <v/>
      </c>
      <c r="C56" s="37"/>
      <c r="D56" s="37"/>
      <c r="E56" s="37"/>
      <c r="F56" s="37"/>
      <c r="G56" s="88"/>
      <c r="H56" s="103">
        <v>51</v>
      </c>
      <c r="I56" s="104" t="str">
        <f t="shared" si="1"/>
        <v/>
      </c>
      <c r="J56" s="103">
        <f t="shared" si="2"/>
        <v>-4</v>
      </c>
      <c r="K56" s="103">
        <f t="shared" si="3"/>
        <v>-40</v>
      </c>
      <c r="L56" s="103"/>
      <c r="M56" s="105">
        <f t="shared" si="4"/>
        <v>0</v>
      </c>
    </row>
    <row r="57" spans="1:38" s="88" customFormat="1" x14ac:dyDescent="0.25">
      <c r="A57" s="106">
        <f t="shared" si="0"/>
        <v>0</v>
      </c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7">
        <f t="shared" si="2"/>
        <v>-4</v>
      </c>
      <c r="K57" s="107">
        <f t="shared" si="3"/>
        <v>-40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2">
        <f t="shared" si="0"/>
        <v>0</v>
      </c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3">
        <f t="shared" si="2"/>
        <v>-4</v>
      </c>
      <c r="K58" s="103">
        <f t="shared" si="3"/>
        <v>-40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>
        <f t="shared" si="0"/>
        <v>0</v>
      </c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7">
        <f t="shared" si="2"/>
        <v>-4</v>
      </c>
      <c r="K59" s="107">
        <f t="shared" si="3"/>
        <v>-40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2">
        <f t="shared" si="0"/>
        <v>0</v>
      </c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3">
        <f t="shared" si="2"/>
        <v>-4</v>
      </c>
      <c r="K60" s="103">
        <f t="shared" si="3"/>
        <v>-40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>
        <f t="shared" si="0"/>
        <v>0</v>
      </c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7">
        <f t="shared" si="2"/>
        <v>-4</v>
      </c>
      <c r="K61" s="107">
        <f t="shared" si="3"/>
        <v>-40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>
        <f t="shared" si="0"/>
        <v>0</v>
      </c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3">
        <f t="shared" si="2"/>
        <v>-4</v>
      </c>
      <c r="K62" s="103">
        <f t="shared" si="3"/>
        <v>-40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>
        <f t="shared" si="0"/>
        <v>0</v>
      </c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7">
        <f t="shared" si="2"/>
        <v>-4</v>
      </c>
      <c r="K63" s="107">
        <f t="shared" si="3"/>
        <v>-40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>
        <f t="shared" si="0"/>
        <v>0</v>
      </c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3">
        <f t="shared" si="2"/>
        <v>-4</v>
      </c>
      <c r="K64" s="103">
        <f t="shared" si="3"/>
        <v>-40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>
        <f t="shared" si="0"/>
        <v>0</v>
      </c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7">
        <f t="shared" si="2"/>
        <v>-4</v>
      </c>
      <c r="K65" s="107">
        <f t="shared" si="3"/>
        <v>-40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02">
        <f t="shared" si="0"/>
        <v>0</v>
      </c>
      <c r="B66" s="36" t="str">
        <f t="shared" si="5"/>
        <v/>
      </c>
      <c r="C66" s="37"/>
      <c r="D66" s="37"/>
      <c r="E66" s="37"/>
      <c r="F66" s="37"/>
      <c r="H66" s="103">
        <v>61</v>
      </c>
      <c r="I66" s="104" t="str">
        <f t="shared" si="1"/>
        <v/>
      </c>
      <c r="J66" s="103">
        <f t="shared" si="2"/>
        <v>-4</v>
      </c>
      <c r="K66" s="103">
        <f t="shared" si="3"/>
        <v>-40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06">
        <f t="shared" si="0"/>
        <v>0</v>
      </c>
      <c r="B67" s="42" t="str">
        <f t="shared" si="5"/>
        <v/>
      </c>
      <c r="C67" s="43"/>
      <c r="D67" s="43"/>
      <c r="E67" s="43"/>
      <c r="F67" s="43"/>
      <c r="H67" s="107">
        <v>62</v>
      </c>
      <c r="I67" s="108" t="str">
        <f t="shared" si="1"/>
        <v/>
      </c>
      <c r="J67" s="107">
        <f t="shared" si="2"/>
        <v>-4</v>
      </c>
      <c r="K67" s="107">
        <f t="shared" si="3"/>
        <v>-40</v>
      </c>
      <c r="L67" s="107"/>
      <c r="M67" s="109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02">
        <f t="shared" si="0"/>
        <v>0</v>
      </c>
      <c r="B68" s="36" t="str">
        <f t="shared" si="5"/>
        <v/>
      </c>
      <c r="C68" s="37"/>
      <c r="D68" s="37"/>
      <c r="E68" s="37"/>
      <c r="F68" s="37"/>
      <c r="H68" s="103">
        <v>63</v>
      </c>
      <c r="I68" s="104" t="str">
        <f t="shared" si="1"/>
        <v/>
      </c>
      <c r="J68" s="103">
        <f t="shared" si="2"/>
        <v>-4</v>
      </c>
      <c r="K68" s="103">
        <f t="shared" si="3"/>
        <v>-40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06">
        <f t="shared" si="0"/>
        <v>0</v>
      </c>
      <c r="B69" s="42" t="str">
        <f t="shared" si="5"/>
        <v/>
      </c>
      <c r="C69" s="43"/>
      <c r="D69" s="43"/>
      <c r="E69" s="43"/>
      <c r="F69" s="43"/>
      <c r="H69" s="107">
        <v>64</v>
      </c>
      <c r="I69" s="108" t="str">
        <f t="shared" si="1"/>
        <v/>
      </c>
      <c r="J69" s="107">
        <f t="shared" si="2"/>
        <v>-4</v>
      </c>
      <c r="K69" s="107">
        <f t="shared" si="3"/>
        <v>-40</v>
      </c>
      <c r="L69" s="107"/>
      <c r="M69" s="109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02">
        <f t="shared" ref="A70:A133" si="6">M70</f>
        <v>0</v>
      </c>
      <c r="B70" s="36" t="str">
        <f t="shared" si="5"/>
        <v/>
      </c>
      <c r="C70" s="37"/>
      <c r="D70" s="37"/>
      <c r="E70" s="37"/>
      <c r="F70" s="37"/>
      <c r="H70" s="103">
        <v>65</v>
      </c>
      <c r="I70" s="104" t="str">
        <f t="shared" ref="I70:I133" si="7">IF(H70&lt;$H$2+1,($I$2-($I$2-1)*(LOG(H70)/LOG($H$2))),"")</f>
        <v/>
      </c>
      <c r="J70" s="103">
        <f t="shared" ref="J70:J133" si="8">INT(LOG($H$2,2))-ROUNDUP(LOG(H70,2),0)+IF(OR($H$2=1,$H$2=2,$H$2=4,$H$2=8,$H$2=16,$H$2=32,$H$2=64,$H$2=128,$H$2=256),0,1)</f>
        <v>-5</v>
      </c>
      <c r="K70" s="103">
        <f t="shared" ref="K70:K133" si="9">J70*$J$2</f>
        <v>-50</v>
      </c>
      <c r="L70" s="103"/>
      <c r="M70" s="105">
        <f t="shared" ref="M70:M133" si="10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06">
        <f t="shared" si="6"/>
        <v>0</v>
      </c>
      <c r="B71" s="42" t="str">
        <f t="shared" si="5"/>
        <v/>
      </c>
      <c r="C71" s="43"/>
      <c r="D71" s="43"/>
      <c r="E71" s="43"/>
      <c r="F71" s="43"/>
      <c r="H71" s="107">
        <v>66</v>
      </c>
      <c r="I71" s="108" t="str">
        <f t="shared" si="7"/>
        <v/>
      </c>
      <c r="J71" s="107">
        <f t="shared" si="8"/>
        <v>-5</v>
      </c>
      <c r="K71" s="107">
        <f t="shared" si="9"/>
        <v>-50</v>
      </c>
      <c r="L71" s="107"/>
      <c r="M71" s="109">
        <f t="shared" si="10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02">
        <f t="shared" si="6"/>
        <v>0</v>
      </c>
      <c r="B72" s="36" t="str">
        <f t="shared" si="5"/>
        <v/>
      </c>
      <c r="C72" s="37"/>
      <c r="D72" s="37"/>
      <c r="E72" s="37"/>
      <c r="F72" s="37"/>
      <c r="H72" s="103">
        <v>67</v>
      </c>
      <c r="I72" s="104" t="str">
        <f t="shared" si="7"/>
        <v/>
      </c>
      <c r="J72" s="103">
        <f t="shared" si="8"/>
        <v>-5</v>
      </c>
      <c r="K72" s="103">
        <f t="shared" si="9"/>
        <v>-50</v>
      </c>
      <c r="L72" s="103"/>
      <c r="M72" s="105">
        <f t="shared" si="10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06">
        <f t="shared" si="6"/>
        <v>0</v>
      </c>
      <c r="B73" s="42" t="str">
        <f t="shared" si="5"/>
        <v/>
      </c>
      <c r="C73" s="43"/>
      <c r="D73" s="43"/>
      <c r="E73" s="43"/>
      <c r="F73" s="43"/>
      <c r="H73" s="107">
        <v>68</v>
      </c>
      <c r="I73" s="108" t="str">
        <f t="shared" si="7"/>
        <v/>
      </c>
      <c r="J73" s="107">
        <f t="shared" si="8"/>
        <v>-5</v>
      </c>
      <c r="K73" s="107">
        <f t="shared" si="9"/>
        <v>-50</v>
      </c>
      <c r="L73" s="107"/>
      <c r="M73" s="109">
        <f t="shared" si="10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02">
        <f t="shared" si="6"/>
        <v>0</v>
      </c>
      <c r="B74" s="36" t="str">
        <f t="shared" ref="B74:B137" si="11">IF(H74&gt;$H$2,"",(ROW()-5))</f>
        <v/>
      </c>
      <c r="C74" s="37"/>
      <c r="D74" s="37"/>
      <c r="E74" s="37"/>
      <c r="F74" s="37"/>
      <c r="H74" s="103">
        <v>69</v>
      </c>
      <c r="I74" s="104" t="str">
        <f t="shared" si="7"/>
        <v/>
      </c>
      <c r="J74" s="103">
        <f t="shared" si="8"/>
        <v>-5</v>
      </c>
      <c r="K74" s="103">
        <f t="shared" si="9"/>
        <v>-50</v>
      </c>
      <c r="L74" s="103"/>
      <c r="M74" s="105">
        <f t="shared" si="10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06">
        <f t="shared" si="6"/>
        <v>0</v>
      </c>
      <c r="B75" s="42" t="str">
        <f t="shared" si="11"/>
        <v/>
      </c>
      <c r="C75" s="43"/>
      <c r="D75" s="43"/>
      <c r="E75" s="43"/>
      <c r="F75" s="43"/>
      <c r="H75" s="107">
        <v>70</v>
      </c>
      <c r="I75" s="108" t="str">
        <f t="shared" si="7"/>
        <v/>
      </c>
      <c r="J75" s="107">
        <f t="shared" si="8"/>
        <v>-5</v>
      </c>
      <c r="K75" s="107">
        <f t="shared" si="9"/>
        <v>-50</v>
      </c>
      <c r="L75" s="107"/>
      <c r="M75" s="109">
        <f t="shared" si="10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02">
        <f t="shared" si="6"/>
        <v>0</v>
      </c>
      <c r="B76" s="36" t="str">
        <f t="shared" si="11"/>
        <v/>
      </c>
      <c r="C76" s="37"/>
      <c r="D76" s="37"/>
      <c r="E76" s="37"/>
      <c r="F76" s="37"/>
      <c r="H76" s="103">
        <v>71</v>
      </c>
      <c r="I76" s="104" t="str">
        <f t="shared" si="7"/>
        <v/>
      </c>
      <c r="J76" s="103">
        <f t="shared" si="8"/>
        <v>-5</v>
      </c>
      <c r="K76" s="103">
        <f t="shared" si="9"/>
        <v>-50</v>
      </c>
      <c r="L76" s="103"/>
      <c r="M76" s="105">
        <f t="shared" si="10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06">
        <f t="shared" si="6"/>
        <v>0</v>
      </c>
      <c r="B77" s="42" t="str">
        <f t="shared" si="11"/>
        <v/>
      </c>
      <c r="C77" s="43"/>
      <c r="D77" s="43"/>
      <c r="E77" s="43"/>
      <c r="F77" s="43"/>
      <c r="H77" s="107">
        <v>72</v>
      </c>
      <c r="I77" s="108" t="str">
        <f t="shared" si="7"/>
        <v/>
      </c>
      <c r="J77" s="107">
        <f t="shared" si="8"/>
        <v>-5</v>
      </c>
      <c r="K77" s="107">
        <f t="shared" si="9"/>
        <v>-50</v>
      </c>
      <c r="L77" s="107"/>
      <c r="M77" s="109">
        <f t="shared" si="10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02">
        <f t="shared" si="6"/>
        <v>0</v>
      </c>
      <c r="B78" s="36" t="str">
        <f t="shared" si="11"/>
        <v/>
      </c>
      <c r="C78" s="37"/>
      <c r="D78" s="37"/>
      <c r="E78" s="37"/>
      <c r="F78" s="37"/>
      <c r="H78" s="103">
        <v>73</v>
      </c>
      <c r="I78" s="104" t="str">
        <f t="shared" si="7"/>
        <v/>
      </c>
      <c r="J78" s="103">
        <f t="shared" si="8"/>
        <v>-5</v>
      </c>
      <c r="K78" s="103">
        <f t="shared" si="9"/>
        <v>-50</v>
      </c>
      <c r="L78" s="103"/>
      <c r="M78" s="105">
        <f t="shared" si="10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06">
        <f t="shared" si="6"/>
        <v>0</v>
      </c>
      <c r="B79" s="42" t="str">
        <f t="shared" si="11"/>
        <v/>
      </c>
      <c r="C79" s="43"/>
      <c r="D79" s="43"/>
      <c r="E79" s="43"/>
      <c r="F79" s="43"/>
      <c r="H79" s="107">
        <v>74</v>
      </c>
      <c r="I79" s="108" t="str">
        <f t="shared" si="7"/>
        <v/>
      </c>
      <c r="J79" s="107">
        <f t="shared" si="8"/>
        <v>-5</v>
      </c>
      <c r="K79" s="107">
        <f t="shared" si="9"/>
        <v>-50</v>
      </c>
      <c r="L79" s="107"/>
      <c r="M79" s="109">
        <f t="shared" si="10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02">
        <f t="shared" si="6"/>
        <v>0</v>
      </c>
      <c r="B80" s="36" t="str">
        <f t="shared" si="11"/>
        <v/>
      </c>
      <c r="C80" s="37"/>
      <c r="D80" s="37"/>
      <c r="E80" s="37"/>
      <c r="F80" s="37"/>
      <c r="H80" s="103">
        <v>75</v>
      </c>
      <c r="I80" s="104" t="str">
        <f t="shared" si="7"/>
        <v/>
      </c>
      <c r="J80" s="103">
        <f t="shared" si="8"/>
        <v>-5</v>
      </c>
      <c r="K80" s="103">
        <f t="shared" si="9"/>
        <v>-50</v>
      </c>
      <c r="L80" s="103"/>
      <c r="M80" s="105">
        <f t="shared" si="10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06">
        <f t="shared" si="6"/>
        <v>0</v>
      </c>
      <c r="B81" s="42" t="str">
        <f t="shared" si="11"/>
        <v/>
      </c>
      <c r="C81" s="43"/>
      <c r="D81" s="43"/>
      <c r="E81" s="43"/>
      <c r="F81" s="43"/>
      <c r="H81" s="107">
        <v>76</v>
      </c>
      <c r="I81" s="108" t="str">
        <f t="shared" si="7"/>
        <v/>
      </c>
      <c r="J81" s="107">
        <f t="shared" si="8"/>
        <v>-5</v>
      </c>
      <c r="K81" s="107">
        <f t="shared" si="9"/>
        <v>-50</v>
      </c>
      <c r="L81" s="107"/>
      <c r="M81" s="109">
        <f t="shared" si="10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02">
        <f t="shared" si="6"/>
        <v>0</v>
      </c>
      <c r="B82" s="36" t="str">
        <f t="shared" si="11"/>
        <v/>
      </c>
      <c r="C82" s="37"/>
      <c r="D82" s="37"/>
      <c r="E82" s="37"/>
      <c r="F82" s="37"/>
      <c r="H82" s="103">
        <v>77</v>
      </c>
      <c r="I82" s="104" t="str">
        <f t="shared" si="7"/>
        <v/>
      </c>
      <c r="J82" s="103">
        <f t="shared" si="8"/>
        <v>-5</v>
      </c>
      <c r="K82" s="103">
        <f t="shared" si="9"/>
        <v>-50</v>
      </c>
      <c r="L82" s="103"/>
      <c r="M82" s="105">
        <f t="shared" si="10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06">
        <f t="shared" si="6"/>
        <v>0</v>
      </c>
      <c r="B83" s="42" t="str">
        <f t="shared" si="11"/>
        <v/>
      </c>
      <c r="C83" s="43"/>
      <c r="D83" s="43"/>
      <c r="E83" s="43"/>
      <c r="F83" s="43"/>
      <c r="H83" s="107">
        <v>78</v>
      </c>
      <c r="I83" s="108" t="str">
        <f t="shared" si="7"/>
        <v/>
      </c>
      <c r="J83" s="107">
        <f t="shared" si="8"/>
        <v>-5</v>
      </c>
      <c r="K83" s="107">
        <f t="shared" si="9"/>
        <v>-50</v>
      </c>
      <c r="L83" s="107"/>
      <c r="M83" s="109">
        <f t="shared" si="10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02">
        <f t="shared" si="6"/>
        <v>0</v>
      </c>
      <c r="B84" s="36" t="str">
        <f t="shared" si="11"/>
        <v/>
      </c>
      <c r="C84" s="37"/>
      <c r="D84" s="37"/>
      <c r="E84" s="37"/>
      <c r="F84" s="37"/>
      <c r="H84" s="103">
        <v>79</v>
      </c>
      <c r="I84" s="104" t="str">
        <f t="shared" si="7"/>
        <v/>
      </c>
      <c r="J84" s="103">
        <f t="shared" si="8"/>
        <v>-5</v>
      </c>
      <c r="K84" s="103">
        <f t="shared" si="9"/>
        <v>-50</v>
      </c>
      <c r="L84" s="103"/>
      <c r="M84" s="105">
        <f t="shared" si="10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06">
        <f t="shared" si="6"/>
        <v>0</v>
      </c>
      <c r="B85" s="42" t="str">
        <f t="shared" si="11"/>
        <v/>
      </c>
      <c r="C85" s="43"/>
      <c r="D85" s="43"/>
      <c r="E85" s="43"/>
      <c r="F85" s="43"/>
      <c r="H85" s="107">
        <v>80</v>
      </c>
      <c r="I85" s="108" t="str">
        <f t="shared" si="7"/>
        <v/>
      </c>
      <c r="J85" s="107">
        <f t="shared" si="8"/>
        <v>-5</v>
      </c>
      <c r="K85" s="107">
        <f t="shared" si="9"/>
        <v>-50</v>
      </c>
      <c r="L85" s="107"/>
      <c r="M85" s="109">
        <f t="shared" si="10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02">
        <f t="shared" si="6"/>
        <v>0</v>
      </c>
      <c r="B86" s="36" t="str">
        <f t="shared" si="11"/>
        <v/>
      </c>
      <c r="C86" s="37"/>
      <c r="D86" s="37"/>
      <c r="E86" s="37"/>
      <c r="F86" s="37"/>
      <c r="H86" s="103">
        <v>81</v>
      </c>
      <c r="I86" s="104" t="str">
        <f t="shared" si="7"/>
        <v/>
      </c>
      <c r="J86" s="103">
        <f t="shared" si="8"/>
        <v>-5</v>
      </c>
      <c r="K86" s="103">
        <f t="shared" si="9"/>
        <v>-50</v>
      </c>
      <c r="L86" s="103"/>
      <c r="M86" s="105">
        <f t="shared" si="10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06">
        <f t="shared" si="6"/>
        <v>0</v>
      </c>
      <c r="B87" s="42" t="str">
        <f t="shared" si="11"/>
        <v/>
      </c>
      <c r="C87" s="43"/>
      <c r="D87" s="43"/>
      <c r="E87" s="43"/>
      <c r="F87" s="43"/>
      <c r="H87" s="107">
        <v>82</v>
      </c>
      <c r="I87" s="108" t="str">
        <f t="shared" si="7"/>
        <v/>
      </c>
      <c r="J87" s="107">
        <f t="shared" si="8"/>
        <v>-5</v>
      </c>
      <c r="K87" s="107">
        <f t="shared" si="9"/>
        <v>-50</v>
      </c>
      <c r="L87" s="107"/>
      <c r="M87" s="109">
        <f t="shared" si="10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02">
        <f t="shared" si="6"/>
        <v>0</v>
      </c>
      <c r="B88" s="36" t="str">
        <f t="shared" si="11"/>
        <v/>
      </c>
      <c r="C88" s="37"/>
      <c r="D88" s="37"/>
      <c r="E88" s="37"/>
      <c r="F88" s="37"/>
      <c r="H88" s="103">
        <v>83</v>
      </c>
      <c r="I88" s="104" t="str">
        <f t="shared" si="7"/>
        <v/>
      </c>
      <c r="J88" s="103">
        <f t="shared" si="8"/>
        <v>-5</v>
      </c>
      <c r="K88" s="103">
        <f t="shared" si="9"/>
        <v>-50</v>
      </c>
      <c r="L88" s="103"/>
      <c r="M88" s="105">
        <f t="shared" si="10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06">
        <f t="shared" si="6"/>
        <v>0</v>
      </c>
      <c r="B89" s="42" t="str">
        <f t="shared" si="11"/>
        <v/>
      </c>
      <c r="C89" s="43"/>
      <c r="D89" s="43"/>
      <c r="E89" s="43"/>
      <c r="F89" s="43"/>
      <c r="H89" s="107">
        <v>84</v>
      </c>
      <c r="I89" s="108" t="str">
        <f t="shared" si="7"/>
        <v/>
      </c>
      <c r="J89" s="107">
        <f t="shared" si="8"/>
        <v>-5</v>
      </c>
      <c r="K89" s="107">
        <f t="shared" si="9"/>
        <v>-50</v>
      </c>
      <c r="L89" s="107"/>
      <c r="M89" s="109">
        <f t="shared" si="10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02">
        <f t="shared" si="6"/>
        <v>0</v>
      </c>
      <c r="B90" s="36" t="str">
        <f t="shared" si="11"/>
        <v/>
      </c>
      <c r="C90" s="37"/>
      <c r="D90" s="37"/>
      <c r="E90" s="37"/>
      <c r="F90" s="37"/>
      <c r="H90" s="103">
        <v>85</v>
      </c>
      <c r="I90" s="104" t="str">
        <f t="shared" si="7"/>
        <v/>
      </c>
      <c r="J90" s="103">
        <f t="shared" si="8"/>
        <v>-5</v>
      </c>
      <c r="K90" s="103">
        <f t="shared" si="9"/>
        <v>-50</v>
      </c>
      <c r="L90" s="103"/>
      <c r="M90" s="105">
        <f t="shared" si="10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06">
        <f t="shared" si="6"/>
        <v>0</v>
      </c>
      <c r="B91" s="42" t="str">
        <f t="shared" si="11"/>
        <v/>
      </c>
      <c r="C91" s="43"/>
      <c r="D91" s="43"/>
      <c r="E91" s="43"/>
      <c r="F91" s="43"/>
      <c r="H91" s="107">
        <v>86</v>
      </c>
      <c r="I91" s="108" t="str">
        <f t="shared" si="7"/>
        <v/>
      </c>
      <c r="J91" s="107">
        <f t="shared" si="8"/>
        <v>-5</v>
      </c>
      <c r="K91" s="107">
        <f t="shared" si="9"/>
        <v>-50</v>
      </c>
      <c r="L91" s="107"/>
      <c r="M91" s="109">
        <f t="shared" si="10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02">
        <f t="shared" si="6"/>
        <v>0</v>
      </c>
      <c r="B92" s="36" t="str">
        <f t="shared" si="11"/>
        <v/>
      </c>
      <c r="C92" s="37"/>
      <c r="D92" s="37"/>
      <c r="E92" s="37"/>
      <c r="F92" s="37"/>
      <c r="H92" s="103">
        <v>87</v>
      </c>
      <c r="I92" s="104" t="str">
        <f t="shared" si="7"/>
        <v/>
      </c>
      <c r="J92" s="103">
        <f t="shared" si="8"/>
        <v>-5</v>
      </c>
      <c r="K92" s="103">
        <f t="shared" si="9"/>
        <v>-50</v>
      </c>
      <c r="L92" s="103"/>
      <c r="M92" s="105">
        <f t="shared" si="10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06">
        <f t="shared" si="6"/>
        <v>0</v>
      </c>
      <c r="B93" s="42" t="str">
        <f t="shared" si="11"/>
        <v/>
      </c>
      <c r="C93" s="43"/>
      <c r="D93" s="43"/>
      <c r="E93" s="43"/>
      <c r="F93" s="43"/>
      <c r="H93" s="107">
        <v>88</v>
      </c>
      <c r="I93" s="108" t="str">
        <f t="shared" si="7"/>
        <v/>
      </c>
      <c r="J93" s="107">
        <f t="shared" si="8"/>
        <v>-5</v>
      </c>
      <c r="K93" s="107">
        <f t="shared" si="9"/>
        <v>-50</v>
      </c>
      <c r="L93" s="107"/>
      <c r="M93" s="109">
        <f t="shared" si="10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02">
        <f t="shared" si="6"/>
        <v>0</v>
      </c>
      <c r="B94" s="36" t="str">
        <f t="shared" si="11"/>
        <v/>
      </c>
      <c r="C94" s="37"/>
      <c r="D94" s="37"/>
      <c r="E94" s="37"/>
      <c r="F94" s="37"/>
      <c r="H94" s="103">
        <v>89</v>
      </c>
      <c r="I94" s="104" t="str">
        <f t="shared" si="7"/>
        <v/>
      </c>
      <c r="J94" s="103">
        <f t="shared" si="8"/>
        <v>-5</v>
      </c>
      <c r="K94" s="103">
        <f t="shared" si="9"/>
        <v>-50</v>
      </c>
      <c r="L94" s="103"/>
      <c r="M94" s="105">
        <f t="shared" si="10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06">
        <f t="shared" si="6"/>
        <v>0</v>
      </c>
      <c r="B95" s="42" t="str">
        <f t="shared" si="11"/>
        <v/>
      </c>
      <c r="C95" s="43"/>
      <c r="D95" s="43"/>
      <c r="E95" s="43"/>
      <c r="F95" s="43"/>
      <c r="H95" s="107">
        <v>90</v>
      </c>
      <c r="I95" s="108" t="str">
        <f t="shared" si="7"/>
        <v/>
      </c>
      <c r="J95" s="107">
        <f t="shared" si="8"/>
        <v>-5</v>
      </c>
      <c r="K95" s="107">
        <f t="shared" si="9"/>
        <v>-50</v>
      </c>
      <c r="L95" s="107"/>
      <c r="M95" s="109">
        <f t="shared" si="10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02">
        <f t="shared" si="6"/>
        <v>0</v>
      </c>
      <c r="B96" s="36" t="str">
        <f t="shared" si="11"/>
        <v/>
      </c>
      <c r="C96" s="37"/>
      <c r="D96" s="37"/>
      <c r="E96" s="37"/>
      <c r="F96" s="37"/>
      <c r="H96" s="103">
        <v>91</v>
      </c>
      <c r="I96" s="104" t="str">
        <f t="shared" si="7"/>
        <v/>
      </c>
      <c r="J96" s="103">
        <f t="shared" si="8"/>
        <v>-5</v>
      </c>
      <c r="K96" s="103">
        <f t="shared" si="9"/>
        <v>-50</v>
      </c>
      <c r="L96" s="103"/>
      <c r="M96" s="105">
        <f t="shared" si="10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06">
        <f t="shared" si="6"/>
        <v>0</v>
      </c>
      <c r="B97" s="42" t="str">
        <f t="shared" si="11"/>
        <v/>
      </c>
      <c r="C97" s="43"/>
      <c r="D97" s="43"/>
      <c r="E97" s="43"/>
      <c r="F97" s="43"/>
      <c r="H97" s="107">
        <v>92</v>
      </c>
      <c r="I97" s="108" t="str">
        <f t="shared" si="7"/>
        <v/>
      </c>
      <c r="J97" s="107">
        <f t="shared" si="8"/>
        <v>-5</v>
      </c>
      <c r="K97" s="107">
        <f t="shared" si="9"/>
        <v>-50</v>
      </c>
      <c r="L97" s="107"/>
      <c r="M97" s="109">
        <f t="shared" si="10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02">
        <f t="shared" si="6"/>
        <v>0</v>
      </c>
      <c r="B98" s="36" t="str">
        <f t="shared" si="11"/>
        <v/>
      </c>
      <c r="C98" s="37"/>
      <c r="D98" s="37"/>
      <c r="E98" s="37"/>
      <c r="F98" s="37"/>
      <c r="H98" s="103">
        <v>93</v>
      </c>
      <c r="I98" s="104" t="str">
        <f t="shared" si="7"/>
        <v/>
      </c>
      <c r="J98" s="103">
        <f t="shared" si="8"/>
        <v>-5</v>
      </c>
      <c r="K98" s="103">
        <f t="shared" si="9"/>
        <v>-50</v>
      </c>
      <c r="L98" s="103"/>
      <c r="M98" s="105">
        <f t="shared" si="10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06">
        <f t="shared" si="6"/>
        <v>0</v>
      </c>
      <c r="B99" s="42" t="str">
        <f t="shared" si="11"/>
        <v/>
      </c>
      <c r="C99" s="43"/>
      <c r="D99" s="43"/>
      <c r="E99" s="43"/>
      <c r="F99" s="43"/>
      <c r="H99" s="107">
        <v>94</v>
      </c>
      <c r="I99" s="108" t="str">
        <f t="shared" si="7"/>
        <v/>
      </c>
      <c r="J99" s="107">
        <f t="shared" si="8"/>
        <v>-5</v>
      </c>
      <c r="K99" s="107">
        <f t="shared" si="9"/>
        <v>-50</v>
      </c>
      <c r="L99" s="107"/>
      <c r="M99" s="109">
        <f t="shared" si="10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02">
        <f t="shared" si="6"/>
        <v>0</v>
      </c>
      <c r="B100" s="36" t="str">
        <f t="shared" si="11"/>
        <v/>
      </c>
      <c r="C100" s="37"/>
      <c r="D100" s="37"/>
      <c r="E100" s="37"/>
      <c r="F100" s="37"/>
      <c r="H100" s="103">
        <v>95</v>
      </c>
      <c r="I100" s="104" t="str">
        <f t="shared" si="7"/>
        <v/>
      </c>
      <c r="J100" s="103">
        <f t="shared" si="8"/>
        <v>-5</v>
      </c>
      <c r="K100" s="103">
        <f t="shared" si="9"/>
        <v>-50</v>
      </c>
      <c r="L100" s="103"/>
      <c r="M100" s="105">
        <f t="shared" si="10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06">
        <f t="shared" si="6"/>
        <v>0</v>
      </c>
      <c r="B101" s="42" t="str">
        <f t="shared" si="11"/>
        <v/>
      </c>
      <c r="C101" s="43"/>
      <c r="D101" s="43"/>
      <c r="E101" s="43"/>
      <c r="F101" s="43"/>
      <c r="H101" s="107">
        <v>96</v>
      </c>
      <c r="I101" s="108" t="str">
        <f t="shared" si="7"/>
        <v/>
      </c>
      <c r="J101" s="107">
        <f t="shared" si="8"/>
        <v>-5</v>
      </c>
      <c r="K101" s="107">
        <f t="shared" si="9"/>
        <v>-50</v>
      </c>
      <c r="L101" s="107"/>
      <c r="M101" s="109">
        <f t="shared" si="10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02">
        <f t="shared" si="6"/>
        <v>0</v>
      </c>
      <c r="B102" s="36" t="str">
        <f t="shared" si="11"/>
        <v/>
      </c>
      <c r="C102" s="37"/>
      <c r="D102" s="37"/>
      <c r="E102" s="37"/>
      <c r="F102" s="37"/>
      <c r="H102" s="103">
        <v>97</v>
      </c>
      <c r="I102" s="104" t="str">
        <f t="shared" si="7"/>
        <v/>
      </c>
      <c r="J102" s="103">
        <f t="shared" si="8"/>
        <v>-5</v>
      </c>
      <c r="K102" s="103">
        <f t="shared" si="9"/>
        <v>-50</v>
      </c>
      <c r="L102" s="103"/>
      <c r="M102" s="105">
        <f t="shared" si="10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06">
        <f t="shared" si="6"/>
        <v>0</v>
      </c>
      <c r="B103" s="42" t="str">
        <f t="shared" si="11"/>
        <v/>
      </c>
      <c r="C103" s="43"/>
      <c r="D103" s="43"/>
      <c r="E103" s="43"/>
      <c r="F103" s="43"/>
      <c r="H103" s="107">
        <v>98</v>
      </c>
      <c r="I103" s="108" t="str">
        <f t="shared" si="7"/>
        <v/>
      </c>
      <c r="J103" s="107">
        <f t="shared" si="8"/>
        <v>-5</v>
      </c>
      <c r="K103" s="107">
        <f t="shared" si="9"/>
        <v>-50</v>
      </c>
      <c r="L103" s="107"/>
      <c r="M103" s="109">
        <f t="shared" si="10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02">
        <f t="shared" si="6"/>
        <v>0</v>
      </c>
      <c r="B104" s="36" t="str">
        <f t="shared" si="11"/>
        <v/>
      </c>
      <c r="C104" s="37"/>
      <c r="D104" s="37"/>
      <c r="E104" s="37"/>
      <c r="F104" s="37"/>
      <c r="H104" s="103">
        <v>99</v>
      </c>
      <c r="I104" s="104" t="str">
        <f t="shared" si="7"/>
        <v/>
      </c>
      <c r="J104" s="103">
        <f t="shared" si="8"/>
        <v>-5</v>
      </c>
      <c r="K104" s="103">
        <f t="shared" si="9"/>
        <v>-50</v>
      </c>
      <c r="L104" s="103"/>
      <c r="M104" s="105">
        <f t="shared" si="10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06">
        <f t="shared" si="6"/>
        <v>0</v>
      </c>
      <c r="B105" s="42" t="str">
        <f t="shared" si="11"/>
        <v/>
      </c>
      <c r="C105" s="43"/>
      <c r="D105" s="43"/>
      <c r="E105" s="43"/>
      <c r="F105" s="43"/>
      <c r="H105" s="107">
        <v>100</v>
      </c>
      <c r="I105" s="108" t="str">
        <f t="shared" si="7"/>
        <v/>
      </c>
      <c r="J105" s="107">
        <f t="shared" si="8"/>
        <v>-5</v>
      </c>
      <c r="K105" s="107">
        <f t="shared" si="9"/>
        <v>-50</v>
      </c>
      <c r="L105" s="107"/>
      <c r="M105" s="109">
        <f t="shared" si="10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02">
        <f t="shared" si="6"/>
        <v>0</v>
      </c>
      <c r="B106" s="36" t="str">
        <f t="shared" si="11"/>
        <v/>
      </c>
      <c r="C106" s="37"/>
      <c r="D106" s="37"/>
      <c r="E106" s="37"/>
      <c r="F106" s="37"/>
      <c r="H106" s="103">
        <v>101</v>
      </c>
      <c r="I106" s="104" t="str">
        <f t="shared" si="7"/>
        <v/>
      </c>
      <c r="J106" s="103">
        <f t="shared" si="8"/>
        <v>-5</v>
      </c>
      <c r="K106" s="103">
        <f t="shared" si="9"/>
        <v>-50</v>
      </c>
      <c r="L106" s="103"/>
      <c r="M106" s="105">
        <f t="shared" si="10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06">
        <f t="shared" si="6"/>
        <v>0</v>
      </c>
      <c r="B107" s="42" t="str">
        <f t="shared" si="11"/>
        <v/>
      </c>
      <c r="C107" s="43"/>
      <c r="D107" s="43"/>
      <c r="E107" s="43"/>
      <c r="F107" s="43"/>
      <c r="H107" s="107">
        <v>102</v>
      </c>
      <c r="I107" s="108" t="str">
        <f t="shared" si="7"/>
        <v/>
      </c>
      <c r="J107" s="107">
        <f t="shared" si="8"/>
        <v>-5</v>
      </c>
      <c r="K107" s="107">
        <f t="shared" si="9"/>
        <v>-50</v>
      </c>
      <c r="L107" s="107"/>
      <c r="M107" s="109">
        <f t="shared" si="10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02">
        <f t="shared" si="6"/>
        <v>0</v>
      </c>
      <c r="B108" s="36" t="str">
        <f t="shared" si="11"/>
        <v/>
      </c>
      <c r="C108" s="37"/>
      <c r="D108" s="37"/>
      <c r="E108" s="37"/>
      <c r="F108" s="37"/>
      <c r="H108" s="103">
        <v>103</v>
      </c>
      <c r="I108" s="104" t="str">
        <f t="shared" si="7"/>
        <v/>
      </c>
      <c r="J108" s="103">
        <f t="shared" si="8"/>
        <v>-5</v>
      </c>
      <c r="K108" s="103">
        <f t="shared" si="9"/>
        <v>-50</v>
      </c>
      <c r="L108" s="103"/>
      <c r="M108" s="105">
        <f t="shared" si="10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06">
        <f t="shared" si="6"/>
        <v>0</v>
      </c>
      <c r="B109" s="42" t="str">
        <f t="shared" si="11"/>
        <v/>
      </c>
      <c r="C109" s="43"/>
      <c r="D109" s="43"/>
      <c r="E109" s="43"/>
      <c r="F109" s="43"/>
      <c r="H109" s="107">
        <v>104</v>
      </c>
      <c r="I109" s="108" t="str">
        <f t="shared" si="7"/>
        <v/>
      </c>
      <c r="J109" s="107">
        <f t="shared" si="8"/>
        <v>-5</v>
      </c>
      <c r="K109" s="107">
        <f t="shared" si="9"/>
        <v>-50</v>
      </c>
      <c r="L109" s="107"/>
      <c r="M109" s="109">
        <f t="shared" si="10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02">
        <f t="shared" si="6"/>
        <v>0</v>
      </c>
      <c r="B110" s="36" t="str">
        <f t="shared" si="11"/>
        <v/>
      </c>
      <c r="C110" s="37"/>
      <c r="D110" s="37"/>
      <c r="E110" s="37"/>
      <c r="F110" s="37"/>
      <c r="H110" s="103">
        <v>105</v>
      </c>
      <c r="I110" s="104" t="str">
        <f t="shared" si="7"/>
        <v/>
      </c>
      <c r="J110" s="103">
        <f t="shared" si="8"/>
        <v>-5</v>
      </c>
      <c r="K110" s="103">
        <f t="shared" si="9"/>
        <v>-50</v>
      </c>
      <c r="L110" s="103"/>
      <c r="M110" s="105">
        <f t="shared" si="10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06">
        <f t="shared" si="6"/>
        <v>0</v>
      </c>
      <c r="B111" s="42" t="str">
        <f t="shared" si="11"/>
        <v/>
      </c>
      <c r="C111" s="43"/>
      <c r="D111" s="43"/>
      <c r="E111" s="43"/>
      <c r="F111" s="43"/>
      <c r="H111" s="107">
        <v>106</v>
      </c>
      <c r="I111" s="108" t="str">
        <f t="shared" si="7"/>
        <v/>
      </c>
      <c r="J111" s="107">
        <f t="shared" si="8"/>
        <v>-5</v>
      </c>
      <c r="K111" s="107">
        <f t="shared" si="9"/>
        <v>-50</v>
      </c>
      <c r="L111" s="107"/>
      <c r="M111" s="109">
        <f t="shared" si="10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02">
        <f t="shared" si="6"/>
        <v>0</v>
      </c>
      <c r="B112" s="36" t="str">
        <f t="shared" si="11"/>
        <v/>
      </c>
      <c r="C112" s="37"/>
      <c r="D112" s="37"/>
      <c r="E112" s="37"/>
      <c r="F112" s="37"/>
      <c r="H112" s="103">
        <v>107</v>
      </c>
      <c r="I112" s="104" t="str">
        <f t="shared" si="7"/>
        <v/>
      </c>
      <c r="J112" s="103">
        <f t="shared" si="8"/>
        <v>-5</v>
      </c>
      <c r="K112" s="103">
        <f t="shared" si="9"/>
        <v>-50</v>
      </c>
      <c r="L112" s="103"/>
      <c r="M112" s="105">
        <f t="shared" si="10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06">
        <f t="shared" si="6"/>
        <v>0</v>
      </c>
      <c r="B113" s="42" t="str">
        <f t="shared" si="11"/>
        <v/>
      </c>
      <c r="C113" s="43"/>
      <c r="D113" s="43"/>
      <c r="E113" s="43"/>
      <c r="F113" s="43"/>
      <c r="H113" s="107">
        <v>108</v>
      </c>
      <c r="I113" s="108" t="str">
        <f t="shared" si="7"/>
        <v/>
      </c>
      <c r="J113" s="107">
        <f t="shared" si="8"/>
        <v>-5</v>
      </c>
      <c r="K113" s="107">
        <f t="shared" si="9"/>
        <v>-50</v>
      </c>
      <c r="L113" s="107"/>
      <c r="M113" s="109">
        <f t="shared" si="10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02">
        <f t="shared" si="6"/>
        <v>0</v>
      </c>
      <c r="B114" s="36" t="str">
        <f t="shared" si="11"/>
        <v/>
      </c>
      <c r="C114" s="37"/>
      <c r="D114" s="37"/>
      <c r="E114" s="37"/>
      <c r="F114" s="37"/>
      <c r="H114" s="103">
        <v>109</v>
      </c>
      <c r="I114" s="104" t="str">
        <f t="shared" si="7"/>
        <v/>
      </c>
      <c r="J114" s="103">
        <f t="shared" si="8"/>
        <v>-5</v>
      </c>
      <c r="K114" s="103">
        <f t="shared" si="9"/>
        <v>-50</v>
      </c>
      <c r="L114" s="103"/>
      <c r="M114" s="105">
        <f t="shared" si="10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06">
        <f t="shared" si="6"/>
        <v>0</v>
      </c>
      <c r="B115" s="42" t="str">
        <f t="shared" si="11"/>
        <v/>
      </c>
      <c r="C115" s="43"/>
      <c r="D115" s="43"/>
      <c r="E115" s="43"/>
      <c r="F115" s="43"/>
      <c r="H115" s="107">
        <v>110</v>
      </c>
      <c r="I115" s="108" t="str">
        <f t="shared" si="7"/>
        <v/>
      </c>
      <c r="J115" s="107">
        <f t="shared" si="8"/>
        <v>-5</v>
      </c>
      <c r="K115" s="107">
        <f t="shared" si="9"/>
        <v>-50</v>
      </c>
      <c r="L115" s="107"/>
      <c r="M115" s="109">
        <f t="shared" si="10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02">
        <f t="shared" si="6"/>
        <v>0</v>
      </c>
      <c r="B116" s="36" t="str">
        <f t="shared" si="11"/>
        <v/>
      </c>
      <c r="C116" s="37"/>
      <c r="D116" s="37"/>
      <c r="E116" s="37"/>
      <c r="F116" s="37"/>
      <c r="H116" s="103">
        <v>111</v>
      </c>
      <c r="I116" s="104" t="str">
        <f t="shared" si="7"/>
        <v/>
      </c>
      <c r="J116" s="103">
        <f t="shared" si="8"/>
        <v>-5</v>
      </c>
      <c r="K116" s="103">
        <f t="shared" si="9"/>
        <v>-50</v>
      </c>
      <c r="L116" s="103"/>
      <c r="M116" s="105">
        <f t="shared" si="10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06">
        <f t="shared" si="6"/>
        <v>0</v>
      </c>
      <c r="B117" s="42" t="str">
        <f t="shared" si="11"/>
        <v/>
      </c>
      <c r="C117" s="43"/>
      <c r="D117" s="43"/>
      <c r="E117" s="43"/>
      <c r="F117" s="43"/>
      <c r="H117" s="107">
        <v>112</v>
      </c>
      <c r="I117" s="108" t="str">
        <f t="shared" si="7"/>
        <v/>
      </c>
      <c r="J117" s="107">
        <f t="shared" si="8"/>
        <v>-5</v>
      </c>
      <c r="K117" s="107">
        <f t="shared" si="9"/>
        <v>-50</v>
      </c>
      <c r="L117" s="107"/>
      <c r="M117" s="109">
        <f t="shared" si="10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02">
        <f t="shared" si="6"/>
        <v>0</v>
      </c>
      <c r="B118" s="36" t="str">
        <f t="shared" si="11"/>
        <v/>
      </c>
      <c r="C118" s="37"/>
      <c r="D118" s="37"/>
      <c r="E118" s="37"/>
      <c r="F118" s="37"/>
      <c r="H118" s="103">
        <v>113</v>
      </c>
      <c r="I118" s="104" t="str">
        <f t="shared" si="7"/>
        <v/>
      </c>
      <c r="J118" s="103">
        <f t="shared" si="8"/>
        <v>-5</v>
      </c>
      <c r="K118" s="103">
        <f t="shared" si="9"/>
        <v>-50</v>
      </c>
      <c r="L118" s="103"/>
      <c r="M118" s="105">
        <f t="shared" si="10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06">
        <f t="shared" si="6"/>
        <v>0</v>
      </c>
      <c r="B119" s="42" t="str">
        <f t="shared" si="11"/>
        <v/>
      </c>
      <c r="C119" s="43"/>
      <c r="D119" s="43"/>
      <c r="E119" s="43"/>
      <c r="F119" s="43"/>
      <c r="H119" s="107">
        <v>114</v>
      </c>
      <c r="I119" s="108" t="str">
        <f t="shared" si="7"/>
        <v/>
      </c>
      <c r="J119" s="107">
        <f t="shared" si="8"/>
        <v>-5</v>
      </c>
      <c r="K119" s="107">
        <f t="shared" si="9"/>
        <v>-50</v>
      </c>
      <c r="L119" s="107"/>
      <c r="M119" s="109">
        <f t="shared" si="10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02">
        <f t="shared" si="6"/>
        <v>0</v>
      </c>
      <c r="B120" s="36" t="str">
        <f t="shared" si="11"/>
        <v/>
      </c>
      <c r="C120" s="37"/>
      <c r="D120" s="37"/>
      <c r="E120" s="37"/>
      <c r="F120" s="37"/>
      <c r="H120" s="103">
        <v>115</v>
      </c>
      <c r="I120" s="104" t="str">
        <f t="shared" si="7"/>
        <v/>
      </c>
      <c r="J120" s="103">
        <f t="shared" si="8"/>
        <v>-5</v>
      </c>
      <c r="K120" s="103">
        <f t="shared" si="9"/>
        <v>-50</v>
      </c>
      <c r="L120" s="103"/>
      <c r="M120" s="105">
        <f t="shared" si="10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06">
        <f t="shared" si="6"/>
        <v>0</v>
      </c>
      <c r="B121" s="42" t="str">
        <f t="shared" si="11"/>
        <v/>
      </c>
      <c r="C121" s="43"/>
      <c r="D121" s="43"/>
      <c r="E121" s="43"/>
      <c r="F121" s="43"/>
      <c r="H121" s="107">
        <v>116</v>
      </c>
      <c r="I121" s="108" t="str">
        <f t="shared" si="7"/>
        <v/>
      </c>
      <c r="J121" s="107">
        <f t="shared" si="8"/>
        <v>-5</v>
      </c>
      <c r="K121" s="107">
        <f t="shared" si="9"/>
        <v>-50</v>
      </c>
      <c r="L121" s="107"/>
      <c r="M121" s="109">
        <f t="shared" si="10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02">
        <f t="shared" si="6"/>
        <v>0</v>
      </c>
      <c r="B122" s="36" t="str">
        <f t="shared" si="11"/>
        <v/>
      </c>
      <c r="C122" s="37"/>
      <c r="D122" s="37"/>
      <c r="E122" s="37"/>
      <c r="F122" s="37"/>
      <c r="H122" s="103">
        <v>117</v>
      </c>
      <c r="I122" s="104" t="str">
        <f t="shared" si="7"/>
        <v/>
      </c>
      <c r="J122" s="103">
        <f t="shared" si="8"/>
        <v>-5</v>
      </c>
      <c r="K122" s="103">
        <f t="shared" si="9"/>
        <v>-50</v>
      </c>
      <c r="L122" s="103"/>
      <c r="M122" s="105">
        <f t="shared" si="10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06">
        <f t="shared" si="6"/>
        <v>0</v>
      </c>
      <c r="B123" s="42" t="str">
        <f t="shared" si="11"/>
        <v/>
      </c>
      <c r="C123" s="43"/>
      <c r="D123" s="43"/>
      <c r="E123" s="43"/>
      <c r="F123" s="43"/>
      <c r="H123" s="107">
        <v>118</v>
      </c>
      <c r="I123" s="108" t="str">
        <f t="shared" si="7"/>
        <v/>
      </c>
      <c r="J123" s="107">
        <f t="shared" si="8"/>
        <v>-5</v>
      </c>
      <c r="K123" s="107">
        <f t="shared" si="9"/>
        <v>-50</v>
      </c>
      <c r="L123" s="107"/>
      <c r="M123" s="109">
        <f t="shared" si="10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02">
        <f t="shared" si="6"/>
        <v>0</v>
      </c>
      <c r="B124" s="36" t="str">
        <f t="shared" si="11"/>
        <v/>
      </c>
      <c r="C124" s="37"/>
      <c r="D124" s="37"/>
      <c r="E124" s="37"/>
      <c r="F124" s="37"/>
      <c r="H124" s="103">
        <v>119</v>
      </c>
      <c r="I124" s="104" t="str">
        <f t="shared" si="7"/>
        <v/>
      </c>
      <c r="J124" s="103">
        <f t="shared" si="8"/>
        <v>-5</v>
      </c>
      <c r="K124" s="103">
        <f t="shared" si="9"/>
        <v>-50</v>
      </c>
      <c r="L124" s="103"/>
      <c r="M124" s="105">
        <f t="shared" si="10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06">
        <f t="shared" si="6"/>
        <v>0</v>
      </c>
      <c r="B125" s="42" t="str">
        <f t="shared" si="11"/>
        <v/>
      </c>
      <c r="C125" s="43"/>
      <c r="D125" s="43"/>
      <c r="E125" s="43"/>
      <c r="F125" s="43"/>
      <c r="H125" s="107">
        <v>120</v>
      </c>
      <c r="I125" s="108" t="str">
        <f t="shared" si="7"/>
        <v/>
      </c>
      <c r="J125" s="107">
        <f t="shared" si="8"/>
        <v>-5</v>
      </c>
      <c r="K125" s="107">
        <f t="shared" si="9"/>
        <v>-50</v>
      </c>
      <c r="L125" s="107"/>
      <c r="M125" s="109">
        <f t="shared" si="10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02">
        <f t="shared" si="6"/>
        <v>0</v>
      </c>
      <c r="B126" s="36" t="str">
        <f t="shared" si="11"/>
        <v/>
      </c>
      <c r="C126" s="37"/>
      <c r="D126" s="37"/>
      <c r="E126" s="37"/>
      <c r="F126" s="37"/>
      <c r="H126" s="103">
        <v>121</v>
      </c>
      <c r="I126" s="104" t="str">
        <f t="shared" si="7"/>
        <v/>
      </c>
      <c r="J126" s="103">
        <f t="shared" si="8"/>
        <v>-5</v>
      </c>
      <c r="K126" s="103">
        <f t="shared" si="9"/>
        <v>-50</v>
      </c>
      <c r="L126" s="103"/>
      <c r="M126" s="105">
        <f t="shared" si="10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06">
        <f t="shared" si="6"/>
        <v>0</v>
      </c>
      <c r="B127" s="42" t="str">
        <f t="shared" si="11"/>
        <v/>
      </c>
      <c r="C127" s="43"/>
      <c r="D127" s="43"/>
      <c r="E127" s="43"/>
      <c r="F127" s="43"/>
      <c r="H127" s="107">
        <v>122</v>
      </c>
      <c r="I127" s="108" t="str">
        <f t="shared" si="7"/>
        <v/>
      </c>
      <c r="J127" s="107">
        <f t="shared" si="8"/>
        <v>-5</v>
      </c>
      <c r="K127" s="107">
        <f t="shared" si="9"/>
        <v>-50</v>
      </c>
      <c r="L127" s="107"/>
      <c r="M127" s="109">
        <f t="shared" si="10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02">
        <f t="shared" si="6"/>
        <v>0</v>
      </c>
      <c r="B128" s="36" t="str">
        <f t="shared" si="11"/>
        <v/>
      </c>
      <c r="C128" s="37"/>
      <c r="D128" s="37"/>
      <c r="E128" s="37"/>
      <c r="F128" s="37"/>
      <c r="H128" s="103">
        <v>123</v>
      </c>
      <c r="I128" s="104" t="str">
        <f t="shared" si="7"/>
        <v/>
      </c>
      <c r="J128" s="103">
        <f t="shared" si="8"/>
        <v>-5</v>
      </c>
      <c r="K128" s="103">
        <f t="shared" si="9"/>
        <v>-50</v>
      </c>
      <c r="L128" s="103"/>
      <c r="M128" s="105">
        <f t="shared" si="10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06">
        <f t="shared" si="6"/>
        <v>0</v>
      </c>
      <c r="B129" s="42" t="str">
        <f t="shared" si="11"/>
        <v/>
      </c>
      <c r="C129" s="43"/>
      <c r="D129" s="43"/>
      <c r="E129" s="43"/>
      <c r="F129" s="43"/>
      <c r="H129" s="107">
        <v>124</v>
      </c>
      <c r="I129" s="108" t="str">
        <f t="shared" si="7"/>
        <v/>
      </c>
      <c r="J129" s="107">
        <f t="shared" si="8"/>
        <v>-5</v>
      </c>
      <c r="K129" s="107">
        <f t="shared" si="9"/>
        <v>-50</v>
      </c>
      <c r="L129" s="107"/>
      <c r="M129" s="109">
        <f t="shared" si="10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02">
        <f t="shared" si="6"/>
        <v>0</v>
      </c>
      <c r="B130" s="36" t="str">
        <f t="shared" si="11"/>
        <v/>
      </c>
      <c r="C130" s="37"/>
      <c r="D130" s="37"/>
      <c r="E130" s="37"/>
      <c r="F130" s="37"/>
      <c r="H130" s="103">
        <v>125</v>
      </c>
      <c r="I130" s="104" t="str">
        <f t="shared" si="7"/>
        <v/>
      </c>
      <c r="J130" s="103">
        <f t="shared" si="8"/>
        <v>-5</v>
      </c>
      <c r="K130" s="103">
        <f t="shared" si="9"/>
        <v>-50</v>
      </c>
      <c r="L130" s="103"/>
      <c r="M130" s="105">
        <f t="shared" si="10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06">
        <f t="shared" si="6"/>
        <v>0</v>
      </c>
      <c r="B131" s="42" t="str">
        <f t="shared" si="11"/>
        <v/>
      </c>
      <c r="C131" s="43"/>
      <c r="D131" s="43"/>
      <c r="E131" s="43"/>
      <c r="F131" s="43"/>
      <c r="H131" s="107">
        <v>126</v>
      </c>
      <c r="I131" s="108" t="str">
        <f t="shared" si="7"/>
        <v/>
      </c>
      <c r="J131" s="107">
        <f t="shared" si="8"/>
        <v>-5</v>
      </c>
      <c r="K131" s="107">
        <f t="shared" si="9"/>
        <v>-50</v>
      </c>
      <c r="L131" s="107"/>
      <c r="M131" s="109">
        <f t="shared" si="10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02">
        <f t="shared" si="6"/>
        <v>0</v>
      </c>
      <c r="B132" s="36" t="str">
        <f t="shared" si="11"/>
        <v/>
      </c>
      <c r="C132" s="37"/>
      <c r="D132" s="37"/>
      <c r="E132" s="37"/>
      <c r="F132" s="37"/>
      <c r="H132" s="103">
        <v>127</v>
      </c>
      <c r="I132" s="104" t="str">
        <f t="shared" si="7"/>
        <v/>
      </c>
      <c r="J132" s="103">
        <f t="shared" si="8"/>
        <v>-5</v>
      </c>
      <c r="K132" s="103">
        <f t="shared" si="9"/>
        <v>-50</v>
      </c>
      <c r="L132" s="103"/>
      <c r="M132" s="105">
        <f t="shared" si="10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06">
        <f t="shared" si="6"/>
        <v>0</v>
      </c>
      <c r="B133" s="42" t="str">
        <f t="shared" si="11"/>
        <v/>
      </c>
      <c r="C133" s="43"/>
      <c r="D133" s="43"/>
      <c r="E133" s="43"/>
      <c r="F133" s="43"/>
      <c r="H133" s="107">
        <v>128</v>
      </c>
      <c r="I133" s="108" t="str">
        <f t="shared" si="7"/>
        <v/>
      </c>
      <c r="J133" s="107">
        <f t="shared" si="8"/>
        <v>-5</v>
      </c>
      <c r="K133" s="107">
        <f t="shared" si="9"/>
        <v>-50</v>
      </c>
      <c r="L133" s="107"/>
      <c r="M133" s="109">
        <f t="shared" si="10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02">
        <f t="shared" ref="A134:A140" si="12">M134</f>
        <v>0</v>
      </c>
      <c r="B134" s="36" t="str">
        <f t="shared" si="11"/>
        <v/>
      </c>
      <c r="C134" s="37"/>
      <c r="D134" s="37"/>
      <c r="E134" s="37"/>
      <c r="F134" s="37"/>
      <c r="H134" s="103">
        <v>129</v>
      </c>
      <c r="I134" s="104" t="str">
        <f t="shared" ref="I134:I197" si="13">IF(H134&lt;$H$2+1,($I$2-($I$2-1)*(LOG(H134)/LOG($H$2))),"")</f>
        <v/>
      </c>
      <c r="J134" s="103">
        <f t="shared" ref="J134:J197" si="14">INT(LOG($H$2,2))-ROUNDUP(LOG(H134,2),0)+IF(OR($H$2=1,$H$2=2,$H$2=4,$H$2=8,$H$2=16,$H$2=32,$H$2=64,$H$2=128,$H$2=256),0,1)</f>
        <v>-6</v>
      </c>
      <c r="K134" s="103">
        <f t="shared" ref="K134:K197" si="15">J134*$J$2</f>
        <v>-60</v>
      </c>
      <c r="L134" s="103"/>
      <c r="M134" s="105">
        <f t="shared" ref="M134:M197" si="16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06">
        <f t="shared" si="12"/>
        <v>0</v>
      </c>
      <c r="B135" s="42" t="str">
        <f t="shared" si="11"/>
        <v/>
      </c>
      <c r="C135" s="43"/>
      <c r="D135" s="43"/>
      <c r="E135" s="43"/>
      <c r="F135" s="43"/>
      <c r="H135" s="107">
        <v>130</v>
      </c>
      <c r="I135" s="108" t="str">
        <f t="shared" si="13"/>
        <v/>
      </c>
      <c r="J135" s="107">
        <f t="shared" si="14"/>
        <v>-6</v>
      </c>
      <c r="K135" s="107">
        <f t="shared" si="15"/>
        <v>-60</v>
      </c>
      <c r="L135" s="107"/>
      <c r="M135" s="109">
        <f t="shared" si="16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02">
        <f t="shared" si="12"/>
        <v>0</v>
      </c>
      <c r="B136" s="36" t="str">
        <f t="shared" si="11"/>
        <v/>
      </c>
      <c r="C136" s="37"/>
      <c r="D136" s="37"/>
      <c r="E136" s="37"/>
      <c r="F136" s="37"/>
      <c r="H136" s="103">
        <v>131</v>
      </c>
      <c r="I136" s="104" t="str">
        <f t="shared" si="13"/>
        <v/>
      </c>
      <c r="J136" s="103">
        <f t="shared" si="14"/>
        <v>-6</v>
      </c>
      <c r="K136" s="103">
        <f t="shared" si="15"/>
        <v>-60</v>
      </c>
      <c r="L136" s="103"/>
      <c r="M136" s="105">
        <f t="shared" si="16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06">
        <f t="shared" si="12"/>
        <v>0</v>
      </c>
      <c r="B137" s="42" t="str">
        <f t="shared" si="11"/>
        <v/>
      </c>
      <c r="C137" s="43"/>
      <c r="D137" s="43"/>
      <c r="E137" s="43"/>
      <c r="F137" s="43"/>
      <c r="H137" s="107">
        <v>132</v>
      </c>
      <c r="I137" s="108" t="str">
        <f t="shared" si="13"/>
        <v/>
      </c>
      <c r="J137" s="107">
        <f t="shared" si="14"/>
        <v>-6</v>
      </c>
      <c r="K137" s="107">
        <f t="shared" si="15"/>
        <v>-60</v>
      </c>
      <c r="L137" s="107"/>
      <c r="M137" s="109">
        <f t="shared" si="16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02">
        <f t="shared" si="12"/>
        <v>0</v>
      </c>
      <c r="B138" s="36" t="str">
        <f t="shared" ref="B138:B140" si="17">IF(H138&gt;$H$2,"",(ROW()-5))</f>
        <v/>
      </c>
      <c r="C138" s="37"/>
      <c r="D138" s="37"/>
      <c r="E138" s="37"/>
      <c r="F138" s="37"/>
      <c r="H138" s="103">
        <v>133</v>
      </c>
      <c r="I138" s="104" t="str">
        <f t="shared" si="13"/>
        <v/>
      </c>
      <c r="J138" s="103">
        <f t="shared" si="14"/>
        <v>-6</v>
      </c>
      <c r="K138" s="103">
        <f t="shared" si="15"/>
        <v>-60</v>
      </c>
      <c r="L138" s="103"/>
      <c r="M138" s="105">
        <f t="shared" si="16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06">
        <f t="shared" si="12"/>
        <v>0</v>
      </c>
      <c r="B139" s="42" t="str">
        <f t="shared" si="17"/>
        <v/>
      </c>
      <c r="C139" s="43"/>
      <c r="D139" s="43"/>
      <c r="E139" s="43"/>
      <c r="F139" s="43"/>
      <c r="H139" s="107">
        <v>134</v>
      </c>
      <c r="I139" s="108" t="str">
        <f t="shared" si="13"/>
        <v/>
      </c>
      <c r="J139" s="107">
        <f t="shared" si="14"/>
        <v>-6</v>
      </c>
      <c r="K139" s="107">
        <f t="shared" si="15"/>
        <v>-60</v>
      </c>
      <c r="L139" s="107"/>
      <c r="M139" s="109">
        <f t="shared" si="16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02">
        <f t="shared" si="12"/>
        <v>0</v>
      </c>
      <c r="B140" s="36" t="str">
        <f t="shared" si="17"/>
        <v/>
      </c>
      <c r="C140" s="37"/>
      <c r="D140" s="37"/>
      <c r="E140" s="37"/>
      <c r="F140" s="37"/>
      <c r="H140" s="103">
        <v>135</v>
      </c>
      <c r="I140" s="104" t="str">
        <f t="shared" si="13"/>
        <v/>
      </c>
      <c r="J140" s="103">
        <f t="shared" si="14"/>
        <v>-6</v>
      </c>
      <c r="K140" s="103">
        <f t="shared" si="15"/>
        <v>-60</v>
      </c>
      <c r="L140" s="103"/>
      <c r="M140" s="105">
        <f t="shared" si="16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x14ac:dyDescent="0.25">
      <c r="A141" s="124"/>
      <c r="G141" s="88"/>
      <c r="H141" s="107">
        <v>136</v>
      </c>
      <c r="I141" s="104" t="str">
        <f t="shared" si="13"/>
        <v/>
      </c>
      <c r="J141" s="103">
        <f t="shared" si="14"/>
        <v>-6</v>
      </c>
      <c r="K141" s="103">
        <f t="shared" si="15"/>
        <v>-60</v>
      </c>
      <c r="L141" s="103"/>
      <c r="M141" s="105">
        <f t="shared" si="16"/>
        <v>0</v>
      </c>
    </row>
    <row r="142" spans="1:38" x14ac:dyDescent="0.25">
      <c r="A142" s="124"/>
      <c r="G142" s="88"/>
      <c r="H142" s="103">
        <v>137</v>
      </c>
      <c r="I142" s="104" t="str">
        <f t="shared" si="13"/>
        <v/>
      </c>
      <c r="J142" s="103">
        <f t="shared" si="14"/>
        <v>-6</v>
      </c>
      <c r="K142" s="103">
        <f t="shared" si="15"/>
        <v>-60</v>
      </c>
      <c r="L142" s="103"/>
      <c r="M142" s="105">
        <f t="shared" si="16"/>
        <v>0</v>
      </c>
    </row>
    <row r="143" spans="1:38" x14ac:dyDescent="0.25">
      <c r="A143" s="124"/>
      <c r="G143" s="88"/>
      <c r="H143" s="107">
        <v>138</v>
      </c>
      <c r="I143" s="104" t="str">
        <f t="shared" si="13"/>
        <v/>
      </c>
      <c r="J143" s="103">
        <f t="shared" si="14"/>
        <v>-6</v>
      </c>
      <c r="K143" s="103">
        <f t="shared" si="15"/>
        <v>-60</v>
      </c>
      <c r="L143" s="103"/>
      <c r="M143" s="105">
        <f t="shared" si="16"/>
        <v>0</v>
      </c>
    </row>
    <row r="144" spans="1:38" x14ac:dyDescent="0.25">
      <c r="A144" s="124"/>
      <c r="G144" s="88"/>
      <c r="H144" s="103">
        <v>139</v>
      </c>
      <c r="I144" s="104" t="str">
        <f t="shared" si="13"/>
        <v/>
      </c>
      <c r="J144" s="103">
        <f t="shared" si="14"/>
        <v>-6</v>
      </c>
      <c r="K144" s="103">
        <f t="shared" si="15"/>
        <v>-60</v>
      </c>
      <c r="L144" s="103"/>
      <c r="M144" s="105">
        <f t="shared" si="16"/>
        <v>0</v>
      </c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7">
        <v>140</v>
      </c>
      <c r="I145" s="104" t="str">
        <f t="shared" si="13"/>
        <v/>
      </c>
      <c r="J145" s="103">
        <f t="shared" si="14"/>
        <v>-6</v>
      </c>
      <c r="K145" s="103">
        <f t="shared" si="15"/>
        <v>-60</v>
      </c>
      <c r="L145" s="103"/>
      <c r="M145" s="105">
        <f t="shared" si="16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3"/>
        <v/>
      </c>
      <c r="J146" s="103">
        <f t="shared" si="14"/>
        <v>-6</v>
      </c>
      <c r="K146" s="103">
        <f t="shared" si="15"/>
        <v>-60</v>
      </c>
      <c r="L146" s="103"/>
      <c r="M146" s="105">
        <f t="shared" si="16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7">
        <v>142</v>
      </c>
      <c r="I147" s="104" t="str">
        <f t="shared" si="13"/>
        <v/>
      </c>
      <c r="J147" s="103">
        <f t="shared" si="14"/>
        <v>-6</v>
      </c>
      <c r="K147" s="103">
        <f t="shared" si="15"/>
        <v>-60</v>
      </c>
      <c r="L147" s="103"/>
      <c r="M147" s="105">
        <f t="shared" si="16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3"/>
        <v/>
      </c>
      <c r="J148" s="103">
        <f t="shared" si="14"/>
        <v>-6</v>
      </c>
      <c r="K148" s="103">
        <f t="shared" si="15"/>
        <v>-60</v>
      </c>
      <c r="L148" s="103"/>
      <c r="M148" s="105">
        <f t="shared" si="16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7">
        <v>144</v>
      </c>
      <c r="I149" s="104" t="str">
        <f t="shared" si="13"/>
        <v/>
      </c>
      <c r="J149" s="103">
        <f t="shared" si="14"/>
        <v>-6</v>
      </c>
      <c r="K149" s="103">
        <f t="shared" si="15"/>
        <v>-60</v>
      </c>
      <c r="L149" s="103"/>
      <c r="M149" s="105">
        <f t="shared" si="16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3"/>
        <v/>
      </c>
      <c r="J150" s="103">
        <f t="shared" si="14"/>
        <v>-6</v>
      </c>
      <c r="K150" s="103">
        <f t="shared" si="15"/>
        <v>-60</v>
      </c>
      <c r="L150" s="103"/>
      <c r="M150" s="105">
        <f t="shared" si="16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7">
        <v>146</v>
      </c>
      <c r="I151" s="104" t="str">
        <f t="shared" si="13"/>
        <v/>
      </c>
      <c r="J151" s="103">
        <f t="shared" si="14"/>
        <v>-6</v>
      </c>
      <c r="K151" s="103">
        <f t="shared" si="15"/>
        <v>-60</v>
      </c>
      <c r="L151" s="103"/>
      <c r="M151" s="105">
        <f t="shared" si="16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3"/>
        <v/>
      </c>
      <c r="J152" s="103">
        <f t="shared" si="14"/>
        <v>-6</v>
      </c>
      <c r="K152" s="103">
        <f t="shared" si="15"/>
        <v>-60</v>
      </c>
      <c r="L152" s="103"/>
      <c r="M152" s="105">
        <f t="shared" si="16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7">
        <v>148</v>
      </c>
      <c r="I153" s="104" t="str">
        <f t="shared" si="13"/>
        <v/>
      </c>
      <c r="J153" s="103">
        <f t="shared" si="14"/>
        <v>-6</v>
      </c>
      <c r="K153" s="103">
        <f t="shared" si="15"/>
        <v>-60</v>
      </c>
      <c r="L153" s="103"/>
      <c r="M153" s="105">
        <f t="shared" si="16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3"/>
        <v/>
      </c>
      <c r="J154" s="103">
        <f t="shared" si="14"/>
        <v>-6</v>
      </c>
      <c r="K154" s="103">
        <f t="shared" si="15"/>
        <v>-60</v>
      </c>
      <c r="L154" s="103"/>
      <c r="M154" s="105">
        <f t="shared" si="16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7">
        <v>150</v>
      </c>
      <c r="I155" s="104" t="str">
        <f t="shared" si="13"/>
        <v/>
      </c>
      <c r="J155" s="103">
        <f t="shared" si="14"/>
        <v>-6</v>
      </c>
      <c r="K155" s="103">
        <f t="shared" si="15"/>
        <v>-60</v>
      </c>
      <c r="L155" s="103"/>
      <c r="M155" s="105">
        <f t="shared" si="16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3"/>
        <v/>
      </c>
      <c r="J156" s="103">
        <f t="shared" si="14"/>
        <v>-6</v>
      </c>
      <c r="K156" s="103">
        <f t="shared" si="15"/>
        <v>-60</v>
      </c>
      <c r="L156" s="103"/>
      <c r="M156" s="105">
        <f t="shared" si="16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7">
        <v>152</v>
      </c>
      <c r="I157" s="104" t="str">
        <f t="shared" si="13"/>
        <v/>
      </c>
      <c r="J157" s="103">
        <f t="shared" si="14"/>
        <v>-6</v>
      </c>
      <c r="K157" s="103">
        <f t="shared" si="15"/>
        <v>-60</v>
      </c>
      <c r="L157" s="103"/>
      <c r="M157" s="105">
        <f t="shared" si="16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3"/>
        <v/>
      </c>
      <c r="J158" s="103">
        <f t="shared" si="14"/>
        <v>-6</v>
      </c>
      <c r="K158" s="103">
        <f t="shared" si="15"/>
        <v>-60</v>
      </c>
      <c r="L158" s="103"/>
      <c r="M158" s="105">
        <f t="shared" si="16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7">
        <v>154</v>
      </c>
      <c r="I159" s="104" t="str">
        <f t="shared" si="13"/>
        <v/>
      </c>
      <c r="J159" s="103">
        <f t="shared" si="14"/>
        <v>-6</v>
      </c>
      <c r="K159" s="103">
        <f t="shared" si="15"/>
        <v>-60</v>
      </c>
      <c r="L159" s="103"/>
      <c r="M159" s="105">
        <f t="shared" si="16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3"/>
        <v/>
      </c>
      <c r="J160" s="103">
        <f t="shared" si="14"/>
        <v>-6</v>
      </c>
      <c r="K160" s="103">
        <f t="shared" si="15"/>
        <v>-60</v>
      </c>
      <c r="L160" s="103"/>
      <c r="M160" s="105">
        <f t="shared" si="16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7">
        <v>156</v>
      </c>
      <c r="I161" s="104" t="str">
        <f t="shared" si="13"/>
        <v/>
      </c>
      <c r="J161" s="103">
        <f t="shared" si="14"/>
        <v>-6</v>
      </c>
      <c r="K161" s="103">
        <f t="shared" si="15"/>
        <v>-60</v>
      </c>
      <c r="L161" s="103"/>
      <c r="M161" s="105">
        <f t="shared" si="16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3"/>
        <v/>
      </c>
      <c r="J162" s="103">
        <f t="shared" si="14"/>
        <v>-6</v>
      </c>
      <c r="K162" s="103">
        <f t="shared" si="15"/>
        <v>-60</v>
      </c>
      <c r="L162" s="103"/>
      <c r="M162" s="105">
        <f t="shared" si="16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7">
        <v>158</v>
      </c>
      <c r="I163" s="104" t="str">
        <f t="shared" si="13"/>
        <v/>
      </c>
      <c r="J163" s="103">
        <f t="shared" si="14"/>
        <v>-6</v>
      </c>
      <c r="K163" s="103">
        <f t="shared" si="15"/>
        <v>-60</v>
      </c>
      <c r="L163" s="103"/>
      <c r="M163" s="105">
        <f t="shared" si="16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3"/>
        <v/>
      </c>
      <c r="J164" s="103">
        <f t="shared" si="14"/>
        <v>-6</v>
      </c>
      <c r="K164" s="103">
        <f t="shared" si="15"/>
        <v>-60</v>
      </c>
      <c r="L164" s="103"/>
      <c r="M164" s="105">
        <f t="shared" si="16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7">
        <v>160</v>
      </c>
      <c r="I165" s="104" t="str">
        <f t="shared" si="13"/>
        <v/>
      </c>
      <c r="J165" s="103">
        <f t="shared" si="14"/>
        <v>-6</v>
      </c>
      <c r="K165" s="103">
        <f t="shared" si="15"/>
        <v>-60</v>
      </c>
      <c r="L165" s="103"/>
      <c r="M165" s="105">
        <f t="shared" si="16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3"/>
        <v/>
      </c>
      <c r="J166" s="103">
        <f t="shared" si="14"/>
        <v>-6</v>
      </c>
      <c r="K166" s="103">
        <f t="shared" si="15"/>
        <v>-60</v>
      </c>
      <c r="L166" s="103"/>
      <c r="M166" s="105">
        <f t="shared" si="16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7">
        <v>162</v>
      </c>
      <c r="I167" s="104" t="str">
        <f t="shared" si="13"/>
        <v/>
      </c>
      <c r="J167" s="103">
        <f t="shared" si="14"/>
        <v>-6</v>
      </c>
      <c r="K167" s="103">
        <f t="shared" si="15"/>
        <v>-60</v>
      </c>
      <c r="L167" s="103"/>
      <c r="M167" s="105">
        <f t="shared" si="16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3"/>
        <v/>
      </c>
      <c r="J168" s="103">
        <f t="shared" si="14"/>
        <v>-6</v>
      </c>
      <c r="K168" s="103">
        <f t="shared" si="15"/>
        <v>-60</v>
      </c>
      <c r="L168" s="103"/>
      <c r="M168" s="105">
        <f t="shared" si="16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7">
        <v>164</v>
      </c>
      <c r="I169" s="104" t="str">
        <f t="shared" si="13"/>
        <v/>
      </c>
      <c r="J169" s="103">
        <f t="shared" si="14"/>
        <v>-6</v>
      </c>
      <c r="K169" s="103">
        <f t="shared" si="15"/>
        <v>-60</v>
      </c>
      <c r="L169" s="103"/>
      <c r="M169" s="105">
        <f t="shared" si="16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3"/>
        <v/>
      </c>
      <c r="J170" s="103">
        <f t="shared" si="14"/>
        <v>-6</v>
      </c>
      <c r="K170" s="103">
        <f t="shared" si="15"/>
        <v>-60</v>
      </c>
      <c r="L170" s="103"/>
      <c r="M170" s="105">
        <f t="shared" si="16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7">
        <v>166</v>
      </c>
      <c r="I171" s="104" t="str">
        <f t="shared" si="13"/>
        <v/>
      </c>
      <c r="J171" s="103">
        <f t="shared" si="14"/>
        <v>-6</v>
      </c>
      <c r="K171" s="103">
        <f t="shared" si="15"/>
        <v>-60</v>
      </c>
      <c r="L171" s="103"/>
      <c r="M171" s="105">
        <f t="shared" si="16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3"/>
        <v/>
      </c>
      <c r="J172" s="103">
        <f t="shared" si="14"/>
        <v>-6</v>
      </c>
      <c r="K172" s="103">
        <f t="shared" si="15"/>
        <v>-60</v>
      </c>
      <c r="L172" s="103"/>
      <c r="M172" s="105">
        <f t="shared" si="16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7">
        <v>168</v>
      </c>
      <c r="I173" s="104" t="str">
        <f t="shared" si="13"/>
        <v/>
      </c>
      <c r="J173" s="103">
        <f t="shared" si="14"/>
        <v>-6</v>
      </c>
      <c r="K173" s="103">
        <f t="shared" si="15"/>
        <v>-60</v>
      </c>
      <c r="L173" s="103"/>
      <c r="M173" s="105">
        <f t="shared" si="16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3"/>
        <v/>
      </c>
      <c r="J174" s="103">
        <f t="shared" si="14"/>
        <v>-6</v>
      </c>
      <c r="K174" s="103">
        <f t="shared" si="15"/>
        <v>-60</v>
      </c>
      <c r="L174" s="103"/>
      <c r="M174" s="105">
        <f t="shared" si="16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7">
        <v>170</v>
      </c>
      <c r="I175" s="104" t="str">
        <f t="shared" si="13"/>
        <v/>
      </c>
      <c r="J175" s="103">
        <f t="shared" si="14"/>
        <v>-6</v>
      </c>
      <c r="K175" s="103">
        <f t="shared" si="15"/>
        <v>-60</v>
      </c>
      <c r="L175" s="103"/>
      <c r="M175" s="105">
        <f t="shared" si="16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3"/>
        <v/>
      </c>
      <c r="J176" s="103">
        <f t="shared" si="14"/>
        <v>-6</v>
      </c>
      <c r="K176" s="103">
        <f t="shared" si="15"/>
        <v>-60</v>
      </c>
      <c r="L176" s="103"/>
      <c r="M176" s="105">
        <f t="shared" si="16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7">
        <v>172</v>
      </c>
      <c r="I177" s="104" t="str">
        <f t="shared" si="13"/>
        <v/>
      </c>
      <c r="J177" s="103">
        <f t="shared" si="14"/>
        <v>-6</v>
      </c>
      <c r="K177" s="103">
        <f t="shared" si="15"/>
        <v>-60</v>
      </c>
      <c r="L177" s="103"/>
      <c r="M177" s="105">
        <f t="shared" si="16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3"/>
        <v/>
      </c>
      <c r="J178" s="103">
        <f t="shared" si="14"/>
        <v>-6</v>
      </c>
      <c r="K178" s="103">
        <f t="shared" si="15"/>
        <v>-60</v>
      </c>
      <c r="L178" s="103"/>
      <c r="M178" s="105">
        <f t="shared" si="16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7">
        <v>174</v>
      </c>
      <c r="I179" s="104" t="str">
        <f t="shared" si="13"/>
        <v/>
      </c>
      <c r="J179" s="103">
        <f t="shared" si="14"/>
        <v>-6</v>
      </c>
      <c r="K179" s="103">
        <f t="shared" si="15"/>
        <v>-60</v>
      </c>
      <c r="L179" s="103"/>
      <c r="M179" s="105">
        <f t="shared" si="16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3"/>
        <v/>
      </c>
      <c r="J180" s="103">
        <f t="shared" si="14"/>
        <v>-6</v>
      </c>
      <c r="K180" s="103">
        <f t="shared" si="15"/>
        <v>-60</v>
      </c>
      <c r="L180" s="103"/>
      <c r="M180" s="105">
        <f t="shared" si="16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7">
        <v>176</v>
      </c>
      <c r="I181" s="104" t="str">
        <f t="shared" si="13"/>
        <v/>
      </c>
      <c r="J181" s="103">
        <f t="shared" si="14"/>
        <v>-6</v>
      </c>
      <c r="K181" s="103">
        <f t="shared" si="15"/>
        <v>-60</v>
      </c>
      <c r="L181" s="103"/>
      <c r="M181" s="105">
        <f t="shared" si="16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3"/>
        <v/>
      </c>
      <c r="J182" s="103">
        <f t="shared" si="14"/>
        <v>-6</v>
      </c>
      <c r="K182" s="103">
        <f t="shared" si="15"/>
        <v>-60</v>
      </c>
      <c r="L182" s="103"/>
      <c r="M182" s="105">
        <f t="shared" si="16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7">
        <v>178</v>
      </c>
      <c r="I183" s="104" t="str">
        <f t="shared" si="13"/>
        <v/>
      </c>
      <c r="J183" s="103">
        <f t="shared" si="14"/>
        <v>-6</v>
      </c>
      <c r="K183" s="103">
        <f t="shared" si="15"/>
        <v>-60</v>
      </c>
      <c r="L183" s="103"/>
      <c r="M183" s="105">
        <f t="shared" si="16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3"/>
        <v/>
      </c>
      <c r="J184" s="103">
        <f t="shared" si="14"/>
        <v>-6</v>
      </c>
      <c r="K184" s="103">
        <f t="shared" si="15"/>
        <v>-60</v>
      </c>
      <c r="L184" s="103"/>
      <c r="M184" s="105">
        <f t="shared" si="16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7">
        <v>180</v>
      </c>
      <c r="I185" s="104" t="str">
        <f t="shared" si="13"/>
        <v/>
      </c>
      <c r="J185" s="103">
        <f t="shared" si="14"/>
        <v>-6</v>
      </c>
      <c r="K185" s="103">
        <f t="shared" si="15"/>
        <v>-60</v>
      </c>
      <c r="L185" s="103"/>
      <c r="M185" s="105">
        <f t="shared" si="16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3"/>
        <v/>
      </c>
      <c r="J186" s="103">
        <f t="shared" si="14"/>
        <v>-6</v>
      </c>
      <c r="K186" s="103">
        <f t="shared" si="15"/>
        <v>-60</v>
      </c>
      <c r="L186" s="103"/>
      <c r="M186" s="105">
        <f t="shared" si="16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7">
        <v>182</v>
      </c>
      <c r="I187" s="104" t="str">
        <f t="shared" si="13"/>
        <v/>
      </c>
      <c r="J187" s="103">
        <f t="shared" si="14"/>
        <v>-6</v>
      </c>
      <c r="K187" s="103">
        <f t="shared" si="15"/>
        <v>-60</v>
      </c>
      <c r="L187" s="103"/>
      <c r="M187" s="105">
        <f t="shared" si="16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3"/>
        <v/>
      </c>
      <c r="J188" s="103">
        <f t="shared" si="14"/>
        <v>-6</v>
      </c>
      <c r="K188" s="103">
        <f t="shared" si="15"/>
        <v>-60</v>
      </c>
      <c r="L188" s="103"/>
      <c r="M188" s="105">
        <f t="shared" si="16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7">
        <v>184</v>
      </c>
      <c r="I189" s="104" t="str">
        <f t="shared" si="13"/>
        <v/>
      </c>
      <c r="J189" s="103">
        <f t="shared" si="14"/>
        <v>-6</v>
      </c>
      <c r="K189" s="103">
        <f t="shared" si="15"/>
        <v>-60</v>
      </c>
      <c r="L189" s="103"/>
      <c r="M189" s="105">
        <f t="shared" si="16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3"/>
        <v/>
      </c>
      <c r="J190" s="103">
        <f t="shared" si="14"/>
        <v>-6</v>
      </c>
      <c r="K190" s="103">
        <f t="shared" si="15"/>
        <v>-60</v>
      </c>
      <c r="L190" s="103"/>
      <c r="M190" s="105">
        <f t="shared" si="16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7">
        <v>186</v>
      </c>
      <c r="I191" s="104" t="str">
        <f t="shared" si="13"/>
        <v/>
      </c>
      <c r="J191" s="103">
        <f t="shared" si="14"/>
        <v>-6</v>
      </c>
      <c r="K191" s="103">
        <f t="shared" si="15"/>
        <v>-60</v>
      </c>
      <c r="L191" s="103"/>
      <c r="M191" s="105">
        <f t="shared" si="16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3"/>
        <v/>
      </c>
      <c r="J192" s="103">
        <f t="shared" si="14"/>
        <v>-6</v>
      </c>
      <c r="K192" s="103">
        <f t="shared" si="15"/>
        <v>-60</v>
      </c>
      <c r="L192" s="103"/>
      <c r="M192" s="105">
        <f t="shared" si="16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7">
        <v>188</v>
      </c>
      <c r="I193" s="104" t="str">
        <f t="shared" si="13"/>
        <v/>
      </c>
      <c r="J193" s="103">
        <f t="shared" si="14"/>
        <v>-6</v>
      </c>
      <c r="K193" s="103">
        <f t="shared" si="15"/>
        <v>-60</v>
      </c>
      <c r="L193" s="103"/>
      <c r="M193" s="105">
        <f t="shared" si="16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3"/>
        <v/>
      </c>
      <c r="J194" s="103">
        <f t="shared" si="14"/>
        <v>-6</v>
      </c>
      <c r="K194" s="103">
        <f t="shared" si="15"/>
        <v>-60</v>
      </c>
      <c r="L194" s="103"/>
      <c r="M194" s="105">
        <f t="shared" si="16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7">
        <v>190</v>
      </c>
      <c r="I195" s="104" t="str">
        <f t="shared" si="13"/>
        <v/>
      </c>
      <c r="J195" s="103">
        <f t="shared" si="14"/>
        <v>-6</v>
      </c>
      <c r="K195" s="103">
        <f t="shared" si="15"/>
        <v>-60</v>
      </c>
      <c r="L195" s="103"/>
      <c r="M195" s="105">
        <f t="shared" si="16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3"/>
        <v/>
      </c>
      <c r="J196" s="103">
        <f t="shared" si="14"/>
        <v>-6</v>
      </c>
      <c r="K196" s="103">
        <f t="shared" si="15"/>
        <v>-60</v>
      </c>
      <c r="L196" s="103"/>
      <c r="M196" s="105">
        <f t="shared" si="16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7">
        <v>192</v>
      </c>
      <c r="I197" s="104" t="str">
        <f t="shared" si="13"/>
        <v/>
      </c>
      <c r="J197" s="103">
        <f t="shared" si="14"/>
        <v>-6</v>
      </c>
      <c r="K197" s="103">
        <f t="shared" si="15"/>
        <v>-60</v>
      </c>
      <c r="L197" s="103"/>
      <c r="M197" s="105">
        <f t="shared" si="16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8">IF(H198&lt;$H$2+1,($I$2-($I$2-1)*(LOG(H198)/LOG($H$2))),"")</f>
        <v/>
      </c>
      <c r="J198" s="103">
        <f t="shared" ref="J198:J261" si="19">INT(LOG($H$2,2))-ROUNDUP(LOG(H198,2),0)+IF(OR($H$2=1,$H$2=2,$H$2=4,$H$2=8,$H$2=16,$H$2=32,$H$2=64,$H$2=128,$H$2=256),0,1)</f>
        <v>-6</v>
      </c>
      <c r="K198" s="103">
        <f t="shared" ref="K198:K261" si="20">J198*$J$2</f>
        <v>-60</v>
      </c>
      <c r="L198" s="103"/>
      <c r="M198" s="105">
        <f t="shared" ref="M198:M261" si="21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7">
        <v>194</v>
      </c>
      <c r="I199" s="104" t="str">
        <f t="shared" si="18"/>
        <v/>
      </c>
      <c r="J199" s="103">
        <f t="shared" si="19"/>
        <v>-6</v>
      </c>
      <c r="K199" s="103">
        <f t="shared" si="20"/>
        <v>-60</v>
      </c>
      <c r="L199" s="103"/>
      <c r="M199" s="105">
        <f t="shared" si="21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8"/>
        <v/>
      </c>
      <c r="J200" s="103">
        <f t="shared" si="19"/>
        <v>-6</v>
      </c>
      <c r="K200" s="103">
        <f t="shared" si="20"/>
        <v>-60</v>
      </c>
      <c r="L200" s="103"/>
      <c r="M200" s="105">
        <f t="shared" si="21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7">
        <v>196</v>
      </c>
      <c r="I201" s="104" t="str">
        <f t="shared" si="18"/>
        <v/>
      </c>
      <c r="J201" s="103">
        <f t="shared" si="19"/>
        <v>-6</v>
      </c>
      <c r="K201" s="103">
        <f t="shared" si="20"/>
        <v>-60</v>
      </c>
      <c r="L201" s="103"/>
      <c r="M201" s="105">
        <f t="shared" si="21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8"/>
        <v/>
      </c>
      <c r="J202" s="103">
        <f t="shared" si="19"/>
        <v>-6</v>
      </c>
      <c r="K202" s="103">
        <f t="shared" si="20"/>
        <v>-60</v>
      </c>
      <c r="L202" s="103"/>
      <c r="M202" s="105">
        <f t="shared" si="21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7">
        <v>198</v>
      </c>
      <c r="I203" s="104" t="str">
        <f t="shared" si="18"/>
        <v/>
      </c>
      <c r="J203" s="103">
        <f t="shared" si="19"/>
        <v>-6</v>
      </c>
      <c r="K203" s="103">
        <f t="shared" si="20"/>
        <v>-60</v>
      </c>
      <c r="L203" s="103"/>
      <c r="M203" s="105">
        <f t="shared" si="21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8"/>
        <v/>
      </c>
      <c r="J204" s="103">
        <f t="shared" si="19"/>
        <v>-6</v>
      </c>
      <c r="K204" s="103">
        <f t="shared" si="20"/>
        <v>-60</v>
      </c>
      <c r="L204" s="103"/>
      <c r="M204" s="105">
        <f t="shared" si="21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7">
        <v>200</v>
      </c>
      <c r="I205" s="104" t="str">
        <f t="shared" si="18"/>
        <v/>
      </c>
      <c r="J205" s="103">
        <f t="shared" si="19"/>
        <v>-6</v>
      </c>
      <c r="K205" s="103">
        <f t="shared" si="20"/>
        <v>-60</v>
      </c>
      <c r="L205" s="103"/>
      <c r="M205" s="105">
        <f t="shared" si="21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8"/>
        <v/>
      </c>
      <c r="J206" s="103">
        <f t="shared" si="19"/>
        <v>-6</v>
      </c>
      <c r="K206" s="103">
        <f t="shared" si="20"/>
        <v>-60</v>
      </c>
      <c r="L206" s="103"/>
      <c r="M206" s="105">
        <f t="shared" si="21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7">
        <v>202</v>
      </c>
      <c r="I207" s="104" t="str">
        <f t="shared" si="18"/>
        <v/>
      </c>
      <c r="J207" s="103">
        <f t="shared" si="19"/>
        <v>-6</v>
      </c>
      <c r="K207" s="103">
        <f t="shared" si="20"/>
        <v>-60</v>
      </c>
      <c r="L207" s="103"/>
      <c r="M207" s="105">
        <f t="shared" si="21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8"/>
        <v/>
      </c>
      <c r="J208" s="103">
        <f t="shared" si="19"/>
        <v>-6</v>
      </c>
      <c r="K208" s="103">
        <f t="shared" si="20"/>
        <v>-60</v>
      </c>
      <c r="L208" s="103"/>
      <c r="M208" s="105">
        <f t="shared" si="21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7">
        <v>204</v>
      </c>
      <c r="I209" s="104" t="str">
        <f t="shared" si="18"/>
        <v/>
      </c>
      <c r="J209" s="103">
        <f t="shared" si="19"/>
        <v>-6</v>
      </c>
      <c r="K209" s="103">
        <f t="shared" si="20"/>
        <v>-60</v>
      </c>
      <c r="L209" s="103"/>
      <c r="M209" s="105">
        <f t="shared" si="21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8"/>
        <v/>
      </c>
      <c r="J210" s="103">
        <f t="shared" si="19"/>
        <v>-6</v>
      </c>
      <c r="K210" s="103">
        <f t="shared" si="20"/>
        <v>-60</v>
      </c>
      <c r="L210" s="103"/>
      <c r="M210" s="105">
        <f t="shared" si="21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7">
        <v>206</v>
      </c>
      <c r="I211" s="104" t="str">
        <f t="shared" si="18"/>
        <v/>
      </c>
      <c r="J211" s="103">
        <f t="shared" si="19"/>
        <v>-6</v>
      </c>
      <c r="K211" s="103">
        <f t="shared" si="20"/>
        <v>-60</v>
      </c>
      <c r="L211" s="103"/>
      <c r="M211" s="105">
        <f t="shared" si="21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8"/>
        <v/>
      </c>
      <c r="J212" s="103">
        <f t="shared" si="19"/>
        <v>-6</v>
      </c>
      <c r="K212" s="103">
        <f t="shared" si="20"/>
        <v>-60</v>
      </c>
      <c r="L212" s="103"/>
      <c r="M212" s="105">
        <f t="shared" si="21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7">
        <v>208</v>
      </c>
      <c r="I213" s="104" t="str">
        <f t="shared" si="18"/>
        <v/>
      </c>
      <c r="J213" s="103">
        <f t="shared" si="19"/>
        <v>-6</v>
      </c>
      <c r="K213" s="103">
        <f t="shared" si="20"/>
        <v>-60</v>
      </c>
      <c r="L213" s="103"/>
      <c r="M213" s="105">
        <f t="shared" si="21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8"/>
        <v/>
      </c>
      <c r="J214" s="103">
        <f t="shared" si="19"/>
        <v>-6</v>
      </c>
      <c r="K214" s="103">
        <f t="shared" si="20"/>
        <v>-60</v>
      </c>
      <c r="L214" s="103"/>
      <c r="M214" s="105">
        <f t="shared" si="21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7">
        <v>210</v>
      </c>
      <c r="I215" s="104" t="str">
        <f t="shared" si="18"/>
        <v/>
      </c>
      <c r="J215" s="103">
        <f t="shared" si="19"/>
        <v>-6</v>
      </c>
      <c r="K215" s="103">
        <f t="shared" si="20"/>
        <v>-60</v>
      </c>
      <c r="L215" s="103"/>
      <c r="M215" s="105">
        <f t="shared" si="21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8"/>
        <v/>
      </c>
      <c r="J216" s="103">
        <f t="shared" si="19"/>
        <v>-6</v>
      </c>
      <c r="K216" s="103">
        <f t="shared" si="20"/>
        <v>-60</v>
      </c>
      <c r="L216" s="103"/>
      <c r="M216" s="105">
        <f t="shared" si="21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7">
        <v>212</v>
      </c>
      <c r="I217" s="104" t="str">
        <f t="shared" si="18"/>
        <v/>
      </c>
      <c r="J217" s="103">
        <f t="shared" si="19"/>
        <v>-6</v>
      </c>
      <c r="K217" s="103">
        <f t="shared" si="20"/>
        <v>-60</v>
      </c>
      <c r="L217" s="103"/>
      <c r="M217" s="105">
        <f t="shared" si="21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8"/>
        <v/>
      </c>
      <c r="J218" s="103">
        <f t="shared" si="19"/>
        <v>-6</v>
      </c>
      <c r="K218" s="103">
        <f t="shared" si="20"/>
        <v>-60</v>
      </c>
      <c r="L218" s="103"/>
      <c r="M218" s="105">
        <f t="shared" si="21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7">
        <v>214</v>
      </c>
      <c r="I219" s="104" t="str">
        <f t="shared" si="18"/>
        <v/>
      </c>
      <c r="J219" s="103">
        <f t="shared" si="19"/>
        <v>-6</v>
      </c>
      <c r="K219" s="103">
        <f t="shared" si="20"/>
        <v>-60</v>
      </c>
      <c r="L219" s="103"/>
      <c r="M219" s="105">
        <f t="shared" si="21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8"/>
        <v/>
      </c>
      <c r="J220" s="103">
        <f t="shared" si="19"/>
        <v>-6</v>
      </c>
      <c r="K220" s="103">
        <f t="shared" si="20"/>
        <v>-60</v>
      </c>
      <c r="L220" s="103"/>
      <c r="M220" s="105">
        <f t="shared" si="21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7">
        <v>216</v>
      </c>
      <c r="I221" s="104" t="str">
        <f t="shared" si="18"/>
        <v/>
      </c>
      <c r="J221" s="103">
        <f t="shared" si="19"/>
        <v>-6</v>
      </c>
      <c r="K221" s="103">
        <f t="shared" si="20"/>
        <v>-60</v>
      </c>
      <c r="L221" s="103"/>
      <c r="M221" s="105">
        <f t="shared" si="21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8"/>
        <v/>
      </c>
      <c r="J222" s="103">
        <f t="shared" si="19"/>
        <v>-6</v>
      </c>
      <c r="K222" s="103">
        <f t="shared" si="20"/>
        <v>-60</v>
      </c>
      <c r="L222" s="103"/>
      <c r="M222" s="105">
        <f t="shared" si="21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7">
        <v>218</v>
      </c>
      <c r="I223" s="104" t="str">
        <f t="shared" si="18"/>
        <v/>
      </c>
      <c r="J223" s="103">
        <f t="shared" si="19"/>
        <v>-6</v>
      </c>
      <c r="K223" s="103">
        <f t="shared" si="20"/>
        <v>-60</v>
      </c>
      <c r="L223" s="103"/>
      <c r="M223" s="105">
        <f t="shared" si="21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8"/>
        <v/>
      </c>
      <c r="J224" s="103">
        <f t="shared" si="19"/>
        <v>-6</v>
      </c>
      <c r="K224" s="103">
        <f t="shared" si="20"/>
        <v>-60</v>
      </c>
      <c r="L224" s="103"/>
      <c r="M224" s="105">
        <f t="shared" si="21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7">
        <v>220</v>
      </c>
      <c r="I225" s="104" t="str">
        <f t="shared" si="18"/>
        <v/>
      </c>
      <c r="J225" s="103">
        <f t="shared" si="19"/>
        <v>-6</v>
      </c>
      <c r="K225" s="103">
        <f t="shared" si="20"/>
        <v>-60</v>
      </c>
      <c r="L225" s="103"/>
      <c r="M225" s="105">
        <f t="shared" si="21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8"/>
        <v/>
      </c>
      <c r="J226" s="103">
        <f t="shared" si="19"/>
        <v>-6</v>
      </c>
      <c r="K226" s="103">
        <f t="shared" si="20"/>
        <v>-60</v>
      </c>
      <c r="L226" s="103"/>
      <c r="M226" s="105">
        <f t="shared" si="21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7">
        <v>222</v>
      </c>
      <c r="I227" s="104" t="str">
        <f t="shared" si="18"/>
        <v/>
      </c>
      <c r="J227" s="103">
        <f t="shared" si="19"/>
        <v>-6</v>
      </c>
      <c r="K227" s="103">
        <f t="shared" si="20"/>
        <v>-60</v>
      </c>
      <c r="L227" s="103"/>
      <c r="M227" s="105">
        <f t="shared" si="21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8"/>
        <v/>
      </c>
      <c r="J228" s="103">
        <f t="shared" si="19"/>
        <v>-6</v>
      </c>
      <c r="K228" s="103">
        <f t="shared" si="20"/>
        <v>-60</v>
      </c>
      <c r="L228" s="103"/>
      <c r="M228" s="105">
        <f t="shared" si="21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7">
        <v>224</v>
      </c>
      <c r="I229" s="104" t="str">
        <f t="shared" si="18"/>
        <v/>
      </c>
      <c r="J229" s="103">
        <f t="shared" si="19"/>
        <v>-6</v>
      </c>
      <c r="K229" s="103">
        <f t="shared" si="20"/>
        <v>-60</v>
      </c>
      <c r="L229" s="103"/>
      <c r="M229" s="105">
        <f t="shared" si="21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8"/>
        <v/>
      </c>
      <c r="J230" s="103">
        <f t="shared" si="19"/>
        <v>-6</v>
      </c>
      <c r="K230" s="103">
        <f t="shared" si="20"/>
        <v>-60</v>
      </c>
      <c r="L230" s="103"/>
      <c r="M230" s="105">
        <f t="shared" si="21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7">
        <v>226</v>
      </c>
      <c r="I231" s="104" t="str">
        <f t="shared" si="18"/>
        <v/>
      </c>
      <c r="J231" s="103">
        <f t="shared" si="19"/>
        <v>-6</v>
      </c>
      <c r="K231" s="103">
        <f t="shared" si="20"/>
        <v>-60</v>
      </c>
      <c r="L231" s="103"/>
      <c r="M231" s="105">
        <f t="shared" si="21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8"/>
        <v/>
      </c>
      <c r="J232" s="103">
        <f t="shared" si="19"/>
        <v>-6</v>
      </c>
      <c r="K232" s="103">
        <f t="shared" si="20"/>
        <v>-60</v>
      </c>
      <c r="L232" s="103"/>
      <c r="M232" s="105">
        <f t="shared" si="21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7">
        <v>228</v>
      </c>
      <c r="I233" s="104" t="str">
        <f t="shared" si="18"/>
        <v/>
      </c>
      <c r="J233" s="103">
        <f t="shared" si="19"/>
        <v>-6</v>
      </c>
      <c r="K233" s="103">
        <f t="shared" si="20"/>
        <v>-60</v>
      </c>
      <c r="L233" s="103"/>
      <c r="M233" s="105">
        <f t="shared" si="21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8"/>
        <v/>
      </c>
      <c r="J234" s="103">
        <f t="shared" si="19"/>
        <v>-6</v>
      </c>
      <c r="K234" s="103">
        <f t="shared" si="20"/>
        <v>-60</v>
      </c>
      <c r="L234" s="103"/>
      <c r="M234" s="105">
        <f t="shared" si="21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7">
        <v>230</v>
      </c>
      <c r="I235" s="104" t="str">
        <f t="shared" si="18"/>
        <v/>
      </c>
      <c r="J235" s="103">
        <f t="shared" si="19"/>
        <v>-6</v>
      </c>
      <c r="K235" s="103">
        <f t="shared" si="20"/>
        <v>-60</v>
      </c>
      <c r="L235" s="103"/>
      <c r="M235" s="105">
        <f t="shared" si="21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8"/>
        <v/>
      </c>
      <c r="J236" s="103">
        <f t="shared" si="19"/>
        <v>-6</v>
      </c>
      <c r="K236" s="103">
        <f t="shared" si="20"/>
        <v>-60</v>
      </c>
      <c r="L236" s="103"/>
      <c r="M236" s="105">
        <f t="shared" si="21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7">
        <v>232</v>
      </c>
      <c r="I237" s="104" t="str">
        <f t="shared" si="18"/>
        <v/>
      </c>
      <c r="J237" s="103">
        <f t="shared" si="19"/>
        <v>-6</v>
      </c>
      <c r="K237" s="103">
        <f t="shared" si="20"/>
        <v>-60</v>
      </c>
      <c r="L237" s="103"/>
      <c r="M237" s="105">
        <f t="shared" si="21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8"/>
        <v/>
      </c>
      <c r="J238" s="103">
        <f t="shared" si="19"/>
        <v>-6</v>
      </c>
      <c r="K238" s="103">
        <f t="shared" si="20"/>
        <v>-60</v>
      </c>
      <c r="L238" s="103"/>
      <c r="M238" s="105">
        <f t="shared" si="21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7">
        <v>234</v>
      </c>
      <c r="I239" s="104" t="str">
        <f t="shared" si="18"/>
        <v/>
      </c>
      <c r="J239" s="103">
        <f t="shared" si="19"/>
        <v>-6</v>
      </c>
      <c r="K239" s="103">
        <f t="shared" si="20"/>
        <v>-60</v>
      </c>
      <c r="L239" s="103"/>
      <c r="M239" s="105">
        <f t="shared" si="21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8"/>
        <v/>
      </c>
      <c r="J240" s="103">
        <f t="shared" si="19"/>
        <v>-6</v>
      </c>
      <c r="K240" s="103">
        <f t="shared" si="20"/>
        <v>-60</v>
      </c>
      <c r="L240" s="103"/>
      <c r="M240" s="105">
        <f t="shared" si="21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7">
        <v>236</v>
      </c>
      <c r="I241" s="104" t="str">
        <f t="shared" si="18"/>
        <v/>
      </c>
      <c r="J241" s="103">
        <f t="shared" si="19"/>
        <v>-6</v>
      </c>
      <c r="K241" s="103">
        <f t="shared" si="20"/>
        <v>-60</v>
      </c>
      <c r="L241" s="103"/>
      <c r="M241" s="105">
        <f t="shared" si="21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8"/>
        <v/>
      </c>
      <c r="J242" s="103">
        <f t="shared" si="19"/>
        <v>-6</v>
      </c>
      <c r="K242" s="103">
        <f t="shared" si="20"/>
        <v>-60</v>
      </c>
      <c r="L242" s="103"/>
      <c r="M242" s="105">
        <f t="shared" si="21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7">
        <v>238</v>
      </c>
      <c r="I243" s="104" t="str">
        <f t="shared" si="18"/>
        <v/>
      </c>
      <c r="J243" s="103">
        <f t="shared" si="19"/>
        <v>-6</v>
      </c>
      <c r="K243" s="103">
        <f t="shared" si="20"/>
        <v>-60</v>
      </c>
      <c r="L243" s="103"/>
      <c r="M243" s="105">
        <f t="shared" si="21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8"/>
        <v/>
      </c>
      <c r="J244" s="103">
        <f t="shared" si="19"/>
        <v>-6</v>
      </c>
      <c r="K244" s="103">
        <f t="shared" si="20"/>
        <v>-60</v>
      </c>
      <c r="L244" s="103"/>
      <c r="M244" s="105">
        <f t="shared" si="21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7">
        <v>240</v>
      </c>
      <c r="I245" s="104" t="str">
        <f t="shared" si="18"/>
        <v/>
      </c>
      <c r="J245" s="103">
        <f t="shared" si="19"/>
        <v>-6</v>
      </c>
      <c r="K245" s="103">
        <f t="shared" si="20"/>
        <v>-60</v>
      </c>
      <c r="L245" s="103"/>
      <c r="M245" s="105">
        <f t="shared" si="21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8"/>
        <v/>
      </c>
      <c r="J246" s="103">
        <f t="shared" si="19"/>
        <v>-6</v>
      </c>
      <c r="K246" s="103">
        <f t="shared" si="20"/>
        <v>-60</v>
      </c>
      <c r="L246" s="103"/>
      <c r="M246" s="105">
        <f t="shared" si="21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7">
        <v>242</v>
      </c>
      <c r="I247" s="104" t="str">
        <f t="shared" si="18"/>
        <v/>
      </c>
      <c r="J247" s="103">
        <f t="shared" si="19"/>
        <v>-6</v>
      </c>
      <c r="K247" s="103">
        <f t="shared" si="20"/>
        <v>-60</v>
      </c>
      <c r="L247" s="103"/>
      <c r="M247" s="105">
        <f t="shared" si="21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8"/>
        <v/>
      </c>
      <c r="J248" s="103">
        <f t="shared" si="19"/>
        <v>-6</v>
      </c>
      <c r="K248" s="103">
        <f t="shared" si="20"/>
        <v>-60</v>
      </c>
      <c r="L248" s="103"/>
      <c r="M248" s="105">
        <f t="shared" si="21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7">
        <v>244</v>
      </c>
      <c r="I249" s="104" t="str">
        <f t="shared" si="18"/>
        <v/>
      </c>
      <c r="J249" s="103">
        <f t="shared" si="19"/>
        <v>-6</v>
      </c>
      <c r="K249" s="103">
        <f t="shared" si="20"/>
        <v>-60</v>
      </c>
      <c r="L249" s="103"/>
      <c r="M249" s="105">
        <f t="shared" si="21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8"/>
        <v/>
      </c>
      <c r="J250" s="103">
        <f t="shared" si="19"/>
        <v>-6</v>
      </c>
      <c r="K250" s="103">
        <f t="shared" si="20"/>
        <v>-60</v>
      </c>
      <c r="L250" s="103"/>
      <c r="M250" s="105">
        <f t="shared" si="21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7">
        <v>246</v>
      </c>
      <c r="I251" s="104" t="str">
        <f t="shared" si="18"/>
        <v/>
      </c>
      <c r="J251" s="103">
        <f t="shared" si="19"/>
        <v>-6</v>
      </c>
      <c r="K251" s="103">
        <f t="shared" si="20"/>
        <v>-60</v>
      </c>
      <c r="L251" s="103"/>
      <c r="M251" s="105">
        <f t="shared" si="21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8"/>
        <v/>
      </c>
      <c r="J252" s="103">
        <f t="shared" si="19"/>
        <v>-6</v>
      </c>
      <c r="K252" s="103">
        <f t="shared" si="20"/>
        <v>-60</v>
      </c>
      <c r="L252" s="103"/>
      <c r="M252" s="105">
        <f t="shared" si="21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7">
        <v>248</v>
      </c>
      <c r="I253" s="104" t="str">
        <f t="shared" si="18"/>
        <v/>
      </c>
      <c r="J253" s="103">
        <f t="shared" si="19"/>
        <v>-6</v>
      </c>
      <c r="K253" s="103">
        <f t="shared" si="20"/>
        <v>-60</v>
      </c>
      <c r="L253" s="103"/>
      <c r="M253" s="105">
        <f t="shared" si="21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8"/>
        <v/>
      </c>
      <c r="J254" s="103">
        <f t="shared" si="19"/>
        <v>-6</v>
      </c>
      <c r="K254" s="103">
        <f t="shared" si="20"/>
        <v>-60</v>
      </c>
      <c r="L254" s="103"/>
      <c r="M254" s="105">
        <f t="shared" si="21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7">
        <v>250</v>
      </c>
      <c r="I255" s="104" t="str">
        <f t="shared" si="18"/>
        <v/>
      </c>
      <c r="J255" s="103">
        <f t="shared" si="19"/>
        <v>-6</v>
      </c>
      <c r="K255" s="103">
        <f t="shared" si="20"/>
        <v>-60</v>
      </c>
      <c r="L255" s="103"/>
      <c r="M255" s="105">
        <f t="shared" si="21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8"/>
        <v/>
      </c>
      <c r="J256" s="103">
        <f t="shared" si="19"/>
        <v>-6</v>
      </c>
      <c r="K256" s="103">
        <f t="shared" si="20"/>
        <v>-60</v>
      </c>
      <c r="L256" s="103"/>
      <c r="M256" s="105">
        <f t="shared" si="21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7">
        <v>252</v>
      </c>
      <c r="I257" s="104" t="str">
        <f t="shared" si="18"/>
        <v/>
      </c>
      <c r="J257" s="103">
        <f t="shared" si="19"/>
        <v>-6</v>
      </c>
      <c r="K257" s="103">
        <f t="shared" si="20"/>
        <v>-60</v>
      </c>
      <c r="L257" s="103"/>
      <c r="M257" s="105">
        <f t="shared" si="21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8"/>
        <v/>
      </c>
      <c r="J258" s="103">
        <f t="shared" si="19"/>
        <v>-6</v>
      </c>
      <c r="K258" s="103">
        <f t="shared" si="20"/>
        <v>-60</v>
      </c>
      <c r="L258" s="103"/>
      <c r="M258" s="105">
        <f t="shared" si="21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7">
        <v>254</v>
      </c>
      <c r="I259" s="104" t="str">
        <f t="shared" si="18"/>
        <v/>
      </c>
      <c r="J259" s="103">
        <f t="shared" si="19"/>
        <v>-6</v>
      </c>
      <c r="K259" s="103">
        <f t="shared" si="20"/>
        <v>-60</v>
      </c>
      <c r="L259" s="103"/>
      <c r="M259" s="105">
        <f t="shared" si="21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8"/>
        <v/>
      </c>
      <c r="J260" s="103">
        <f t="shared" si="19"/>
        <v>-6</v>
      </c>
      <c r="K260" s="103">
        <f t="shared" si="20"/>
        <v>-60</v>
      </c>
      <c r="L260" s="103"/>
      <c r="M260" s="105">
        <f t="shared" si="21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7">
        <v>256</v>
      </c>
      <c r="I261" s="104" t="str">
        <f t="shared" si="18"/>
        <v/>
      </c>
      <c r="J261" s="103">
        <f t="shared" si="19"/>
        <v>-6</v>
      </c>
      <c r="K261" s="103">
        <f t="shared" si="20"/>
        <v>-60</v>
      </c>
      <c r="L261" s="103"/>
      <c r="M261" s="105">
        <f t="shared" si="21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22">IF(H262&lt;$H$2+1,($I$2-($I$2-1)*(LOG(H262)/LOG($H$2))),"")</f>
        <v/>
      </c>
      <c r="J262" s="103">
        <f t="shared" ref="J262:J305" si="23">INT(LOG($H$2,2))-ROUNDUP(LOG(H262,2),0)+IF(OR($H$2=1,$H$2=2,$H$2=4,$H$2=8,$H$2=16,$H$2=32,$H$2=64,$H$2=128,$H$2=256),0,1)</f>
        <v>-7</v>
      </c>
      <c r="K262" s="103">
        <f t="shared" ref="K262:K305" si="24">J262*$J$2</f>
        <v>-70</v>
      </c>
      <c r="L262" s="103"/>
      <c r="M262" s="105">
        <f t="shared" ref="M262:M305" si="25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7">
        <v>258</v>
      </c>
      <c r="I263" s="104" t="str">
        <f t="shared" si="22"/>
        <v/>
      </c>
      <c r="J263" s="103">
        <f t="shared" si="23"/>
        <v>-7</v>
      </c>
      <c r="K263" s="103">
        <f t="shared" si="24"/>
        <v>-70</v>
      </c>
      <c r="L263" s="103"/>
      <c r="M263" s="105">
        <f t="shared" si="25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22"/>
        <v/>
      </c>
      <c r="J264" s="103">
        <f t="shared" si="23"/>
        <v>-7</v>
      </c>
      <c r="K264" s="103">
        <f t="shared" si="24"/>
        <v>-70</v>
      </c>
      <c r="L264" s="103"/>
      <c r="M264" s="105">
        <f t="shared" si="25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7">
        <v>260</v>
      </c>
      <c r="I265" s="104" t="str">
        <f t="shared" si="22"/>
        <v/>
      </c>
      <c r="J265" s="103">
        <f t="shared" si="23"/>
        <v>-7</v>
      </c>
      <c r="K265" s="103">
        <f t="shared" si="24"/>
        <v>-70</v>
      </c>
      <c r="L265" s="103"/>
      <c r="M265" s="105">
        <f t="shared" si="25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22"/>
        <v/>
      </c>
      <c r="J266" s="103">
        <f t="shared" si="23"/>
        <v>-7</v>
      </c>
      <c r="K266" s="103">
        <f t="shared" si="24"/>
        <v>-70</v>
      </c>
      <c r="L266" s="103"/>
      <c r="M266" s="105">
        <f t="shared" si="25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7">
        <v>262</v>
      </c>
      <c r="I267" s="104" t="str">
        <f t="shared" si="22"/>
        <v/>
      </c>
      <c r="J267" s="103">
        <f t="shared" si="23"/>
        <v>-7</v>
      </c>
      <c r="K267" s="103">
        <f t="shared" si="24"/>
        <v>-70</v>
      </c>
      <c r="L267" s="103"/>
      <c r="M267" s="105">
        <f t="shared" si="25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22"/>
        <v/>
      </c>
      <c r="J268" s="103">
        <f t="shared" si="23"/>
        <v>-7</v>
      </c>
      <c r="K268" s="103">
        <f t="shared" si="24"/>
        <v>-70</v>
      </c>
      <c r="L268" s="103"/>
      <c r="M268" s="105">
        <f t="shared" si="25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7">
        <v>264</v>
      </c>
      <c r="I269" s="104" t="str">
        <f t="shared" si="22"/>
        <v/>
      </c>
      <c r="J269" s="103">
        <f t="shared" si="23"/>
        <v>-7</v>
      </c>
      <c r="K269" s="103">
        <f t="shared" si="24"/>
        <v>-70</v>
      </c>
      <c r="L269" s="103"/>
      <c r="M269" s="105">
        <f t="shared" si="25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22"/>
        <v/>
      </c>
      <c r="J270" s="103">
        <f t="shared" si="23"/>
        <v>-7</v>
      </c>
      <c r="K270" s="103">
        <f t="shared" si="24"/>
        <v>-70</v>
      </c>
      <c r="L270" s="103"/>
      <c r="M270" s="105">
        <f t="shared" si="25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7">
        <v>266</v>
      </c>
      <c r="I271" s="104" t="str">
        <f t="shared" si="22"/>
        <v/>
      </c>
      <c r="J271" s="103">
        <f t="shared" si="23"/>
        <v>-7</v>
      </c>
      <c r="K271" s="103">
        <f t="shared" si="24"/>
        <v>-70</v>
      </c>
      <c r="L271" s="103"/>
      <c r="M271" s="105">
        <f t="shared" si="25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22"/>
        <v/>
      </c>
      <c r="J272" s="103">
        <f t="shared" si="23"/>
        <v>-7</v>
      </c>
      <c r="K272" s="103">
        <f t="shared" si="24"/>
        <v>-70</v>
      </c>
      <c r="L272" s="103"/>
      <c r="M272" s="105">
        <f t="shared" si="25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7">
        <v>268</v>
      </c>
      <c r="I273" s="104" t="str">
        <f t="shared" si="22"/>
        <v/>
      </c>
      <c r="J273" s="103">
        <f t="shared" si="23"/>
        <v>-7</v>
      </c>
      <c r="K273" s="103">
        <f t="shared" si="24"/>
        <v>-70</v>
      </c>
      <c r="L273" s="103"/>
      <c r="M273" s="105">
        <f t="shared" si="25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22"/>
        <v/>
      </c>
      <c r="J274" s="103">
        <f t="shared" si="23"/>
        <v>-7</v>
      </c>
      <c r="K274" s="103">
        <f t="shared" si="24"/>
        <v>-70</v>
      </c>
      <c r="L274" s="103"/>
      <c r="M274" s="105">
        <f t="shared" si="25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7">
        <v>270</v>
      </c>
      <c r="I275" s="104" t="str">
        <f t="shared" si="22"/>
        <v/>
      </c>
      <c r="J275" s="103">
        <f t="shared" si="23"/>
        <v>-7</v>
      </c>
      <c r="K275" s="103">
        <f t="shared" si="24"/>
        <v>-70</v>
      </c>
      <c r="L275" s="103"/>
      <c r="M275" s="105">
        <f t="shared" si="25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22"/>
        <v/>
      </c>
      <c r="J276" s="103">
        <f t="shared" si="23"/>
        <v>-7</v>
      </c>
      <c r="K276" s="103">
        <f t="shared" si="24"/>
        <v>-70</v>
      </c>
      <c r="L276" s="103"/>
      <c r="M276" s="105">
        <f t="shared" si="25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7">
        <v>272</v>
      </c>
      <c r="I277" s="104" t="str">
        <f t="shared" si="22"/>
        <v/>
      </c>
      <c r="J277" s="103">
        <f t="shared" si="23"/>
        <v>-7</v>
      </c>
      <c r="K277" s="103">
        <f t="shared" si="24"/>
        <v>-70</v>
      </c>
      <c r="L277" s="103"/>
      <c r="M277" s="105">
        <f t="shared" si="25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22"/>
        <v/>
      </c>
      <c r="J278" s="103">
        <f t="shared" si="23"/>
        <v>-7</v>
      </c>
      <c r="K278" s="103">
        <f t="shared" si="24"/>
        <v>-70</v>
      </c>
      <c r="L278" s="103"/>
      <c r="M278" s="105">
        <f t="shared" si="25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7">
        <v>274</v>
      </c>
      <c r="I279" s="104" t="str">
        <f t="shared" si="22"/>
        <v/>
      </c>
      <c r="J279" s="103">
        <f t="shared" si="23"/>
        <v>-7</v>
      </c>
      <c r="K279" s="103">
        <f t="shared" si="24"/>
        <v>-70</v>
      </c>
      <c r="L279" s="103"/>
      <c r="M279" s="105">
        <f t="shared" si="25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22"/>
        <v/>
      </c>
      <c r="J280" s="103">
        <f t="shared" si="23"/>
        <v>-7</v>
      </c>
      <c r="K280" s="103">
        <f t="shared" si="24"/>
        <v>-70</v>
      </c>
      <c r="L280" s="103"/>
      <c r="M280" s="105">
        <f t="shared" si="25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7">
        <v>276</v>
      </c>
      <c r="I281" s="104" t="str">
        <f t="shared" si="22"/>
        <v/>
      </c>
      <c r="J281" s="103">
        <f t="shared" si="23"/>
        <v>-7</v>
      </c>
      <c r="K281" s="103">
        <f t="shared" si="24"/>
        <v>-70</v>
      </c>
      <c r="L281" s="103"/>
      <c r="M281" s="105">
        <f t="shared" si="25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22"/>
        <v/>
      </c>
      <c r="J282" s="103">
        <f t="shared" si="23"/>
        <v>-7</v>
      </c>
      <c r="K282" s="103">
        <f t="shared" si="24"/>
        <v>-70</v>
      </c>
      <c r="L282" s="103"/>
      <c r="M282" s="105">
        <f t="shared" si="25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7">
        <v>278</v>
      </c>
      <c r="I283" s="104" t="str">
        <f t="shared" si="22"/>
        <v/>
      </c>
      <c r="J283" s="103">
        <f t="shared" si="23"/>
        <v>-7</v>
      </c>
      <c r="K283" s="103">
        <f t="shared" si="24"/>
        <v>-70</v>
      </c>
      <c r="L283" s="103"/>
      <c r="M283" s="105">
        <f t="shared" si="25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22"/>
        <v/>
      </c>
      <c r="J284" s="103">
        <f t="shared" si="23"/>
        <v>-7</v>
      </c>
      <c r="K284" s="103">
        <f t="shared" si="24"/>
        <v>-70</v>
      </c>
      <c r="L284" s="103"/>
      <c r="M284" s="105">
        <f t="shared" si="25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7">
        <v>280</v>
      </c>
      <c r="I285" s="104" t="str">
        <f t="shared" si="22"/>
        <v/>
      </c>
      <c r="J285" s="103">
        <f t="shared" si="23"/>
        <v>-7</v>
      </c>
      <c r="K285" s="103">
        <f t="shared" si="24"/>
        <v>-70</v>
      </c>
      <c r="L285" s="103"/>
      <c r="M285" s="105">
        <f t="shared" si="25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22"/>
        <v/>
      </c>
      <c r="J286" s="103">
        <f t="shared" si="23"/>
        <v>-7</v>
      </c>
      <c r="K286" s="103">
        <f t="shared" si="24"/>
        <v>-70</v>
      </c>
      <c r="L286" s="103"/>
      <c r="M286" s="105">
        <f t="shared" si="25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7">
        <v>282</v>
      </c>
      <c r="I287" s="104" t="str">
        <f t="shared" si="22"/>
        <v/>
      </c>
      <c r="J287" s="103">
        <f t="shared" si="23"/>
        <v>-7</v>
      </c>
      <c r="K287" s="103">
        <f t="shared" si="24"/>
        <v>-70</v>
      </c>
      <c r="L287" s="103"/>
      <c r="M287" s="105">
        <f t="shared" si="25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22"/>
        <v/>
      </c>
      <c r="J288" s="103">
        <f t="shared" si="23"/>
        <v>-7</v>
      </c>
      <c r="K288" s="103">
        <f t="shared" si="24"/>
        <v>-70</v>
      </c>
      <c r="L288" s="103"/>
      <c r="M288" s="105">
        <f t="shared" si="25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7">
        <v>284</v>
      </c>
      <c r="I289" s="104" t="str">
        <f t="shared" si="22"/>
        <v/>
      </c>
      <c r="J289" s="103">
        <f t="shared" si="23"/>
        <v>-7</v>
      </c>
      <c r="K289" s="103">
        <f t="shared" si="24"/>
        <v>-70</v>
      </c>
      <c r="L289" s="103"/>
      <c r="M289" s="105">
        <f t="shared" si="25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22"/>
        <v/>
      </c>
      <c r="J290" s="103">
        <f t="shared" si="23"/>
        <v>-7</v>
      </c>
      <c r="K290" s="103">
        <f t="shared" si="24"/>
        <v>-70</v>
      </c>
      <c r="L290" s="103"/>
      <c r="M290" s="105">
        <f t="shared" si="25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7">
        <v>286</v>
      </c>
      <c r="I291" s="104" t="str">
        <f t="shared" si="22"/>
        <v/>
      </c>
      <c r="J291" s="103">
        <f t="shared" si="23"/>
        <v>-7</v>
      </c>
      <c r="K291" s="103">
        <f t="shared" si="24"/>
        <v>-70</v>
      </c>
      <c r="L291" s="103"/>
      <c r="M291" s="105">
        <f t="shared" si="25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22"/>
        <v/>
      </c>
      <c r="J292" s="103">
        <f t="shared" si="23"/>
        <v>-7</v>
      </c>
      <c r="K292" s="103">
        <f t="shared" si="24"/>
        <v>-70</v>
      </c>
      <c r="L292" s="103"/>
      <c r="M292" s="105">
        <f t="shared" si="25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22"/>
        <v/>
      </c>
      <c r="J293" s="103">
        <f t="shared" si="23"/>
        <v>-7</v>
      </c>
      <c r="K293" s="103">
        <f t="shared" si="24"/>
        <v>-70</v>
      </c>
      <c r="L293" s="103"/>
      <c r="M293" s="105">
        <f t="shared" si="25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22"/>
        <v/>
      </c>
      <c r="J294" s="103">
        <f t="shared" si="23"/>
        <v>-7</v>
      </c>
      <c r="K294" s="103">
        <f t="shared" si="24"/>
        <v>-70</v>
      </c>
      <c r="L294" s="103"/>
      <c r="M294" s="105">
        <f t="shared" si="25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22"/>
        <v/>
      </c>
      <c r="J295" s="103">
        <f t="shared" si="23"/>
        <v>-7</v>
      </c>
      <c r="K295" s="103">
        <f t="shared" si="24"/>
        <v>-70</v>
      </c>
      <c r="L295" s="103"/>
      <c r="M295" s="105">
        <f t="shared" si="25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22"/>
        <v/>
      </c>
      <c r="J296" s="103">
        <f t="shared" si="23"/>
        <v>-7</v>
      </c>
      <c r="K296" s="103">
        <f t="shared" si="24"/>
        <v>-70</v>
      </c>
      <c r="L296" s="103"/>
      <c r="M296" s="105">
        <f t="shared" si="25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22"/>
        <v/>
      </c>
      <c r="J297" s="103">
        <f t="shared" si="23"/>
        <v>-7</v>
      </c>
      <c r="K297" s="103">
        <f t="shared" si="24"/>
        <v>-70</v>
      </c>
      <c r="L297" s="103"/>
      <c r="M297" s="105">
        <f t="shared" si="25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22"/>
        <v/>
      </c>
      <c r="J298" s="103">
        <f t="shared" si="23"/>
        <v>-7</v>
      </c>
      <c r="K298" s="103">
        <f t="shared" si="24"/>
        <v>-70</v>
      </c>
      <c r="L298" s="103"/>
      <c r="M298" s="105">
        <f t="shared" si="25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22"/>
        <v/>
      </c>
      <c r="J299" s="103">
        <f t="shared" si="23"/>
        <v>-7</v>
      </c>
      <c r="K299" s="103">
        <f t="shared" si="24"/>
        <v>-70</v>
      </c>
      <c r="L299" s="103"/>
      <c r="M299" s="105">
        <f t="shared" si="25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22"/>
        <v/>
      </c>
      <c r="J300" s="103">
        <f t="shared" si="23"/>
        <v>-7</v>
      </c>
      <c r="K300" s="103">
        <f t="shared" si="24"/>
        <v>-70</v>
      </c>
      <c r="L300" s="103"/>
      <c r="M300" s="105">
        <f t="shared" si="25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22"/>
        <v/>
      </c>
      <c r="J301" s="103">
        <f t="shared" si="23"/>
        <v>-7</v>
      </c>
      <c r="K301" s="103">
        <f t="shared" si="24"/>
        <v>-70</v>
      </c>
      <c r="L301" s="103"/>
      <c r="M301" s="105">
        <f t="shared" si="25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22"/>
        <v/>
      </c>
      <c r="J302" s="103">
        <f t="shared" si="23"/>
        <v>-7</v>
      </c>
      <c r="K302" s="103">
        <f t="shared" si="24"/>
        <v>-70</v>
      </c>
      <c r="L302" s="103"/>
      <c r="M302" s="105">
        <f t="shared" si="25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22"/>
        <v/>
      </c>
      <c r="J303" s="103">
        <f t="shared" si="23"/>
        <v>-7</v>
      </c>
      <c r="K303" s="103">
        <f t="shared" si="24"/>
        <v>-70</v>
      </c>
      <c r="L303" s="103"/>
      <c r="M303" s="105">
        <f t="shared" si="25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22"/>
        <v/>
      </c>
      <c r="J304" s="103">
        <f t="shared" si="23"/>
        <v>-7</v>
      </c>
      <c r="K304" s="103">
        <f t="shared" si="24"/>
        <v>-70</v>
      </c>
      <c r="L304" s="103"/>
      <c r="M304" s="105">
        <f t="shared" si="25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22"/>
        <v/>
      </c>
      <c r="J305" s="103">
        <f t="shared" si="23"/>
        <v>-7</v>
      </c>
      <c r="K305" s="103">
        <f t="shared" si="24"/>
        <v>-70</v>
      </c>
      <c r="L305" s="103"/>
      <c r="M305" s="105">
        <f t="shared" si="25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30BF-5673-4105-9994-9A3E2B1513B8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ht="14.45" customHeight="1" x14ac:dyDescent="0.25">
      <c r="A2" s="88"/>
      <c r="B2" s="22" t="s">
        <v>30</v>
      </c>
      <c r="C2" s="176" t="s">
        <v>134</v>
      </c>
      <c r="D2" s="75"/>
      <c r="E2" s="23"/>
      <c r="F2" s="23"/>
      <c r="G2" s="23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 x14ac:dyDescent="0.25">
      <c r="A3" s="88"/>
      <c r="B3" s="97" t="s">
        <v>32</v>
      </c>
      <c r="C3" s="139" t="s">
        <v>135</v>
      </c>
      <c r="D3" s="76"/>
      <c r="E3" s="28"/>
      <c r="F3" s="28"/>
      <c r="G3" s="28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60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0</v>
      </c>
      <c r="B10" s="36" t="str">
        <f t="shared" ref="B10:B65" si="5">IF(H10&gt;$H$2,"",(ROW()-5))</f>
        <v/>
      </c>
      <c r="C10" s="37"/>
      <c r="D10" s="37"/>
      <c r="E10" s="37"/>
      <c r="F10" s="37"/>
      <c r="G10" s="30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 x14ac:dyDescent="0.25">
      <c r="A38" s="106">
        <f t="shared" si="0"/>
        <v>0</v>
      </c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 x14ac:dyDescent="0.25">
      <c r="A39" s="106">
        <f t="shared" si="0"/>
        <v>0</v>
      </c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 x14ac:dyDescent="0.25">
      <c r="A40" s="106">
        <f t="shared" si="0"/>
        <v>0</v>
      </c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 x14ac:dyDescent="0.25">
      <c r="A41" s="106">
        <f t="shared" si="0"/>
        <v>0</v>
      </c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6">
        <f t="shared" si="0"/>
        <v>0</v>
      </c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 x14ac:dyDescent="0.25">
      <c r="A43" s="106">
        <f t="shared" si="0"/>
        <v>0</v>
      </c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 x14ac:dyDescent="0.25">
      <c r="A44" s="106">
        <f t="shared" si="0"/>
        <v>0</v>
      </c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 x14ac:dyDescent="0.25">
      <c r="A45" s="106">
        <f t="shared" si="0"/>
        <v>0</v>
      </c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 x14ac:dyDescent="0.25">
      <c r="A46" s="106">
        <f t="shared" si="0"/>
        <v>0</v>
      </c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 x14ac:dyDescent="0.25">
      <c r="A47" s="106">
        <f t="shared" si="0"/>
        <v>0</v>
      </c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 x14ac:dyDescent="0.25">
      <c r="A48" s="106">
        <f t="shared" si="0"/>
        <v>0</v>
      </c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6">
        <f t="shared" si="0"/>
        <v>0</v>
      </c>
      <c r="B49" s="42" t="str">
        <f t="shared" si="5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6">
        <f t="shared" si="0"/>
        <v>0</v>
      </c>
      <c r="B50" s="36" t="str">
        <f t="shared" si="5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>
        <f t="shared" si="0"/>
        <v>0</v>
      </c>
      <c r="B51" s="42" t="str">
        <f t="shared" si="5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06">
        <f t="shared" si="0"/>
        <v>0</v>
      </c>
      <c r="B52" s="36" t="str">
        <f t="shared" si="5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06">
        <f t="shared" si="0"/>
        <v>0</v>
      </c>
      <c r="B53" s="42" t="str">
        <f t="shared" si="5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06">
        <f t="shared" si="0"/>
        <v>0</v>
      </c>
      <c r="B54" s="36" t="str">
        <f t="shared" si="5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06">
        <f t="shared" si="0"/>
        <v>0</v>
      </c>
      <c r="B55" s="42" t="str">
        <f t="shared" si="5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06">
        <f t="shared" si="0"/>
        <v>0</v>
      </c>
      <c r="B56" s="36" t="str">
        <f t="shared" si="5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06">
        <f t="shared" si="0"/>
        <v>0</v>
      </c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6">
        <f t="shared" si="0"/>
        <v>0</v>
      </c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>
        <f t="shared" si="0"/>
        <v>0</v>
      </c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6">
        <f t="shared" si="0"/>
        <v>0</v>
      </c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/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/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/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/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/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02"/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06"/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02"/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06"/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0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7098B1C1-576F-4357-9CDE-53F08B851256}">
      <formula1>#REF!</formula1>
    </dataValidation>
  </dataValidations>
  <hyperlinks>
    <hyperlink ref="C2" r:id="rId1" display="https://engarde-service.com/?fbclid=IwAR1q8b20973WNdhLRYbl3vdP-rPK0cilvuHZi37KFNf-Dodoicffb3YOQeM" xr:uid="{68D856E8-87AE-4934-B9CD-D1CD790C47F0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ED63-37F2-4728-AC1A-92E968202798}">
  <sheetPr>
    <tabColor rgb="FF92D050"/>
  </sheetPr>
  <dimension ref="A1:AL317"/>
  <sheetViews>
    <sheetView workbookViewId="0">
      <selection activeCell="M28" sqref="M28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313" t="s">
        <v>136</v>
      </c>
      <c r="D2" s="313"/>
      <c r="E2" s="23"/>
      <c r="F2" s="23"/>
      <c r="G2" s="23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 x14ac:dyDescent="0.25">
      <c r="A3" s="88"/>
      <c r="B3" s="97" t="s">
        <v>32</v>
      </c>
      <c r="C3" s="290" t="s">
        <v>137</v>
      </c>
      <c r="D3" s="290"/>
      <c r="E3" s="28"/>
      <c r="F3" s="28"/>
      <c r="G3" s="28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0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103">
        <v>1</v>
      </c>
      <c r="I6" s="104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107">
        <v>2</v>
      </c>
      <c r="I7" s="108" t="str">
        <f t="shared" si="1"/>
        <v/>
      </c>
      <c r="J7" s="108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103">
        <v>3</v>
      </c>
      <c r="I8" s="104" t="str">
        <f t="shared" si="1"/>
        <v/>
      </c>
      <c r="J8" s="104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0</v>
      </c>
      <c r="B10" s="36" t="str">
        <f t="shared" ref="B10:B65" si="5">IF(H10&gt;$H$2,"",(ROW()-5))</f>
        <v/>
      </c>
      <c r="C10" s="37"/>
      <c r="D10" s="37"/>
      <c r="E10" s="37"/>
      <c r="F10" s="37"/>
      <c r="G10" s="30"/>
      <c r="H10" s="103">
        <v>5</v>
      </c>
      <c r="I10" s="104" t="str">
        <f t="shared" si="1"/>
        <v/>
      </c>
      <c r="J10" s="104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107">
        <v>6</v>
      </c>
      <c r="I11" s="108" t="str">
        <f t="shared" si="1"/>
        <v/>
      </c>
      <c r="J11" s="108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103">
        <v>7</v>
      </c>
      <c r="I12" s="104" t="str">
        <f t="shared" si="1"/>
        <v/>
      </c>
      <c r="J12" s="104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8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4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8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4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8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4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8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4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8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4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8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4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8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4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8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4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8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4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8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4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8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4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8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4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8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 x14ac:dyDescent="0.25">
      <c r="A38" s="102"/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4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 x14ac:dyDescent="0.25">
      <c r="A39" s="106"/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8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 x14ac:dyDescent="0.25">
      <c r="A40" s="102"/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4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 x14ac:dyDescent="0.25">
      <c r="A41" s="106"/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8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2"/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4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 x14ac:dyDescent="0.25">
      <c r="A43" s="106"/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8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 x14ac:dyDescent="0.25">
      <c r="A44" s="102"/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4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 x14ac:dyDescent="0.25">
      <c r="A45" s="106"/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8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 x14ac:dyDescent="0.25">
      <c r="A46" s="102"/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4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 x14ac:dyDescent="0.25">
      <c r="A47" s="106"/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8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 x14ac:dyDescent="0.25">
      <c r="A48" s="102"/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4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6"/>
      <c r="B49" s="42" t="str">
        <f t="shared" si="5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8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2"/>
      <c r="B50" s="36" t="str">
        <f t="shared" si="5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4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/>
      <c r="B51" s="42" t="str">
        <f t="shared" si="5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8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02"/>
      <c r="B52" s="36" t="str">
        <f t="shared" si="5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4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06"/>
      <c r="B53" s="42" t="str">
        <f t="shared" si="5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8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02"/>
      <c r="B54" s="36" t="str">
        <f t="shared" si="5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4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06"/>
      <c r="B55" s="42" t="str">
        <f t="shared" si="5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8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02"/>
      <c r="B56" s="36" t="str">
        <f t="shared" si="5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4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06"/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8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2"/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4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/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8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2"/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4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/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8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2"/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4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/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8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2"/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4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/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8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24"/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24"/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24"/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24"/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4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4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4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4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4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4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4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4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4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4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4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4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4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4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4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4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4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4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4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4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4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4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4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4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4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4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4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4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4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4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4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4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4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4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4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4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4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4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4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4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4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4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4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4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4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4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4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4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4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4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4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4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4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4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4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4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4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4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4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4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4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4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4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4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4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4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4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4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4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4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4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4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4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4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4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4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4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4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4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4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4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4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4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4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4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4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4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4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4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4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4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4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4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4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4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4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4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4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4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0"/>
        <v/>
      </c>
      <c r="J169" s="104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4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4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4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4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4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4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4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4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4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4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4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4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4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4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4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4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4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4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4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4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4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4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4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4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4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4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4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4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4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4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4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4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4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4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4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4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4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4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4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4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4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4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4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4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4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4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4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4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4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4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4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4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4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4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4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4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4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4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4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4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4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4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4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4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4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4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4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4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4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4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4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4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4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4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4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4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4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4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4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4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4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4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4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4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4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4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4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4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4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4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4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4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4" t="e">
        <f t="shared" ref="J262:J30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4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4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4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4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4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4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4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4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4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4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4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4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4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4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4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4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4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4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4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4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4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4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4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4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4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4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4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4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4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4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4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4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4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4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4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4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4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4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4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4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4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4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4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4DC38312-572E-48EF-82C2-CDC2F8E24130}">
      <formula1>#REF!</formula1>
    </dataValidation>
  </dataValidations>
  <hyperlinks>
    <hyperlink ref="C2:D2" r:id="rId1" display="Madrid" xr:uid="{0B32C298-4C0A-4565-9764-6E01662C777C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1B0-0209-492D-BE25-96BFEB1219A2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124</v>
      </c>
      <c r="L1" s="92"/>
      <c r="M1" s="92"/>
      <c r="N1" s="88"/>
      <c r="O1" s="88"/>
      <c r="P1" s="88"/>
      <c r="Q1" s="88"/>
      <c r="R1" s="88"/>
    </row>
    <row r="2" spans="1:36" s="93" customFormat="1" x14ac:dyDescent="0.25">
      <c r="A2" s="88"/>
      <c r="B2" s="22" t="s">
        <v>30</v>
      </c>
      <c r="C2" s="313" t="s">
        <v>138</v>
      </c>
      <c r="D2" s="313"/>
      <c r="E2" s="23"/>
      <c r="F2" s="23"/>
      <c r="G2" s="23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 x14ac:dyDescent="0.25">
      <c r="A3" s="88"/>
      <c r="B3" s="97" t="s">
        <v>32</v>
      </c>
      <c r="C3" s="290">
        <v>45270</v>
      </c>
      <c r="D3" s="290"/>
      <c r="E3" s="28"/>
      <c r="F3" s="28"/>
      <c r="G3" s="28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0" t="s">
        <v>42</v>
      </c>
      <c r="K5" s="100" t="s">
        <v>43</v>
      </c>
      <c r="L5" s="100" t="s">
        <v>44</v>
      </c>
      <c r="M5" s="99" t="s">
        <v>45</v>
      </c>
      <c r="N5" s="88"/>
      <c r="O5" s="88"/>
      <c r="P5" s="88"/>
      <c r="Q5" s="88"/>
      <c r="R5" s="88"/>
    </row>
    <row r="6" spans="1:36" s="93" customFormat="1" ht="14.45" customHeight="1" x14ac:dyDescent="0.25">
      <c r="A6" s="102">
        <f t="shared" ref="A6:A69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103">
        <v>1</v>
      </c>
      <c r="I6" s="104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 x14ac:dyDescent="0.25">
      <c r="A7" s="106">
        <f t="shared" si="0"/>
        <v>0</v>
      </c>
      <c r="B7" s="42" t="str">
        <f>IF(H7&gt;$H$2,"",(ROW()-5))</f>
        <v/>
      </c>
      <c r="C7" s="43"/>
      <c r="D7" s="43"/>
      <c r="E7" s="43"/>
      <c r="F7" s="43"/>
      <c r="G7" s="30"/>
      <c r="H7" s="107">
        <v>2</v>
      </c>
      <c r="I7" s="108" t="str">
        <f t="shared" si="1"/>
        <v/>
      </c>
      <c r="J7" s="108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 x14ac:dyDescent="0.25">
      <c r="A8" s="102">
        <f t="shared" si="0"/>
        <v>0</v>
      </c>
      <c r="B8" s="36" t="str">
        <f>IF(H8&gt;$H$2,"",(ROW()-5))</f>
        <v/>
      </c>
      <c r="C8" s="37"/>
      <c r="D8" s="37"/>
      <c r="E8" s="37"/>
      <c r="F8" s="37"/>
      <c r="G8" s="30"/>
      <c r="H8" s="103">
        <v>3</v>
      </c>
      <c r="I8" s="104" t="str">
        <f t="shared" si="1"/>
        <v/>
      </c>
      <c r="J8" s="104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 x14ac:dyDescent="0.25">
      <c r="A9" s="106">
        <f t="shared" si="0"/>
        <v>0</v>
      </c>
      <c r="B9" s="42" t="str">
        <f>IF(H9&gt;$H$2,"",3)</f>
        <v/>
      </c>
      <c r="C9" s="43"/>
      <c r="D9" s="43"/>
      <c r="E9" s="43"/>
      <c r="F9" s="43"/>
      <c r="G9" s="30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53</v>
      </c>
      <c r="AI9" s="93">
        <v>23</v>
      </c>
    </row>
    <row r="10" spans="1:36" s="93" customFormat="1" ht="14.45" customHeight="1" x14ac:dyDescent="0.25">
      <c r="A10" s="102">
        <f t="shared" si="0"/>
        <v>0</v>
      </c>
      <c r="B10" s="36" t="str">
        <f t="shared" ref="B10:B65" si="5">IF(H10&gt;$H$2,"",(ROW()-5))</f>
        <v/>
      </c>
      <c r="C10" s="37"/>
      <c r="D10" s="37"/>
      <c r="E10" s="37"/>
      <c r="F10" s="37"/>
      <c r="G10" s="30"/>
      <c r="H10" s="103">
        <v>5</v>
      </c>
      <c r="I10" s="104" t="str">
        <f t="shared" si="1"/>
        <v/>
      </c>
      <c r="J10" s="104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55</v>
      </c>
      <c r="AI10" s="93">
        <v>45</v>
      </c>
    </row>
    <row r="11" spans="1:36" s="93" customFormat="1" ht="14.45" customHeight="1" x14ac:dyDescent="0.25">
      <c r="A11" s="106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107">
        <v>6</v>
      </c>
      <c r="I11" s="108" t="str">
        <f t="shared" si="1"/>
        <v/>
      </c>
      <c r="J11" s="108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57</v>
      </c>
      <c r="AI11" s="93">
        <v>50</v>
      </c>
    </row>
    <row r="12" spans="1:36" s="93" customFormat="1" ht="14.45" customHeight="1" x14ac:dyDescent="0.25">
      <c r="A12" s="102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103">
        <v>7</v>
      </c>
      <c r="I12" s="104" t="str">
        <f t="shared" si="1"/>
        <v/>
      </c>
      <c r="J12" s="104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58</v>
      </c>
      <c r="AI12" s="93">
        <f>AI11-1</f>
        <v>49</v>
      </c>
    </row>
    <row r="13" spans="1:36" s="93" customFormat="1" ht="14.45" customHeight="1" x14ac:dyDescent="0.25">
      <c r="A13" s="106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107">
        <v>8</v>
      </c>
      <c r="I13" s="108" t="str">
        <f t="shared" si="1"/>
        <v/>
      </c>
      <c r="J13" s="108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59</v>
      </c>
      <c r="AI13" s="93">
        <f>LOG(AI9)</f>
        <v>1.3617278360175928</v>
      </c>
    </row>
    <row r="14" spans="1:36" s="93" customFormat="1" x14ac:dyDescent="0.25">
      <c r="A14" s="10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103">
        <v>9</v>
      </c>
      <c r="I14" s="104" t="str">
        <f t="shared" si="1"/>
        <v/>
      </c>
      <c r="J14" s="104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65</v>
      </c>
      <c r="AI14" s="93">
        <f>LOG(AI10)</f>
        <v>1.6532125137753437</v>
      </c>
    </row>
    <row r="15" spans="1:36" s="93" customFormat="1" x14ac:dyDescent="0.25">
      <c r="A15" s="106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107">
        <v>10</v>
      </c>
      <c r="I15" s="108" t="str">
        <f t="shared" si="1"/>
        <v/>
      </c>
      <c r="J15" s="108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 x14ac:dyDescent="0.25">
      <c r="A16" s="10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103">
        <v>11</v>
      </c>
      <c r="I16" s="104" t="str">
        <f t="shared" si="1"/>
        <v/>
      </c>
      <c r="J16" s="104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61</v>
      </c>
      <c r="AI16" s="93">
        <f>AI11-AI12*AI13/AI14</f>
        <v>9.6393909380186855</v>
      </c>
      <c r="AJ16" s="93" t="s">
        <v>62</v>
      </c>
    </row>
    <row r="17" spans="1:19" s="93" customFormat="1" x14ac:dyDescent="0.25">
      <c r="A17" s="106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107">
        <v>12</v>
      </c>
      <c r="I17" s="108" t="str">
        <f t="shared" si="1"/>
        <v/>
      </c>
      <c r="J17" s="108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 x14ac:dyDescent="0.25">
      <c r="A18" s="10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103">
        <v>13</v>
      </c>
      <c r="I18" s="104" t="str">
        <f t="shared" si="1"/>
        <v/>
      </c>
      <c r="J18" s="104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 x14ac:dyDescent="0.25">
      <c r="A19" s="106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107">
        <v>14</v>
      </c>
      <c r="I19" s="108" t="str">
        <f t="shared" si="1"/>
        <v/>
      </c>
      <c r="J19" s="108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 x14ac:dyDescent="0.25">
      <c r="A20" s="10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103">
        <v>15</v>
      </c>
      <c r="I20" s="104" t="str">
        <f t="shared" si="1"/>
        <v/>
      </c>
      <c r="J20" s="104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 x14ac:dyDescent="0.25">
      <c r="A21" s="106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107">
        <v>16</v>
      </c>
      <c r="I21" s="108" t="str">
        <f t="shared" si="1"/>
        <v/>
      </c>
      <c r="J21" s="108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 x14ac:dyDescent="0.25">
      <c r="A22" s="10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103">
        <v>17</v>
      </c>
      <c r="I22" s="104" t="str">
        <f t="shared" si="1"/>
        <v/>
      </c>
      <c r="J22" s="104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 x14ac:dyDescent="0.25">
      <c r="A23" s="106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107">
        <v>18</v>
      </c>
      <c r="I23" s="108" t="str">
        <f t="shared" si="1"/>
        <v/>
      </c>
      <c r="J23" s="108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 x14ac:dyDescent="0.25">
      <c r="A24" s="10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103">
        <v>19</v>
      </c>
      <c r="I24" s="104" t="str">
        <f t="shared" si="1"/>
        <v/>
      </c>
      <c r="J24" s="104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 x14ac:dyDescent="0.25">
      <c r="A25" s="106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107">
        <v>20</v>
      </c>
      <c r="I25" s="108" t="str">
        <f t="shared" si="1"/>
        <v/>
      </c>
      <c r="J25" s="108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 x14ac:dyDescent="0.25">
      <c r="A26" s="10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103">
        <v>21</v>
      </c>
      <c r="I26" s="104" t="str">
        <f t="shared" si="1"/>
        <v/>
      </c>
      <c r="J26" s="104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 x14ac:dyDescent="0.25">
      <c r="A27" s="106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107">
        <v>22</v>
      </c>
      <c r="I27" s="108" t="str">
        <f t="shared" si="1"/>
        <v/>
      </c>
      <c r="J27" s="108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 x14ac:dyDescent="0.25">
      <c r="A28" s="10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103">
        <v>23</v>
      </c>
      <c r="I28" s="104" t="str">
        <f t="shared" si="1"/>
        <v/>
      </c>
      <c r="J28" s="104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 x14ac:dyDescent="0.25">
      <c r="A29" s="106">
        <f t="shared" si="0"/>
        <v>0</v>
      </c>
      <c r="B29" s="42" t="str">
        <f t="shared" si="5"/>
        <v/>
      </c>
      <c r="C29" s="43"/>
      <c r="D29" s="43"/>
      <c r="E29" s="43"/>
      <c r="F29" s="43"/>
      <c r="G29" s="88"/>
      <c r="H29" s="107">
        <v>24</v>
      </c>
      <c r="I29" s="108" t="str">
        <f t="shared" si="1"/>
        <v/>
      </c>
      <c r="J29" s="108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 x14ac:dyDescent="0.25">
      <c r="A30" s="102">
        <f t="shared" si="0"/>
        <v>0</v>
      </c>
      <c r="B30" s="36" t="str">
        <f t="shared" si="5"/>
        <v/>
      </c>
      <c r="C30" s="37"/>
      <c r="D30" s="37"/>
      <c r="E30" s="37"/>
      <c r="F30" s="37"/>
      <c r="G30" s="88"/>
      <c r="H30" s="103">
        <v>25</v>
      </c>
      <c r="I30" s="104" t="str">
        <f t="shared" si="1"/>
        <v/>
      </c>
      <c r="J30" s="104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 x14ac:dyDescent="0.25">
      <c r="A31" s="106">
        <f t="shared" si="0"/>
        <v>0</v>
      </c>
      <c r="B31" s="42" t="str">
        <f t="shared" si="5"/>
        <v/>
      </c>
      <c r="C31" s="43"/>
      <c r="D31" s="43"/>
      <c r="E31" s="43"/>
      <c r="F31" s="43"/>
      <c r="G31" s="88"/>
      <c r="H31" s="107">
        <v>26</v>
      </c>
      <c r="I31" s="108" t="str">
        <f t="shared" si="1"/>
        <v/>
      </c>
      <c r="J31" s="108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 x14ac:dyDescent="0.25">
      <c r="A32" s="102">
        <f t="shared" si="0"/>
        <v>0</v>
      </c>
      <c r="B32" s="36" t="str">
        <f t="shared" si="5"/>
        <v/>
      </c>
      <c r="C32" s="37"/>
      <c r="D32" s="37"/>
      <c r="E32" s="37"/>
      <c r="F32" s="37"/>
      <c r="G32" s="88"/>
      <c r="H32" s="103">
        <v>27</v>
      </c>
      <c r="I32" s="104" t="str">
        <f t="shared" si="1"/>
        <v/>
      </c>
      <c r="J32" s="104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 x14ac:dyDescent="0.25">
      <c r="A33" s="106">
        <f t="shared" si="0"/>
        <v>0</v>
      </c>
      <c r="B33" s="42" t="str">
        <f t="shared" si="5"/>
        <v/>
      </c>
      <c r="C33" s="43"/>
      <c r="D33" s="43"/>
      <c r="E33" s="43"/>
      <c r="F33" s="43"/>
      <c r="G33" s="88"/>
      <c r="H33" s="107">
        <v>28</v>
      </c>
      <c r="I33" s="108" t="str">
        <f t="shared" si="1"/>
        <v/>
      </c>
      <c r="J33" s="108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 x14ac:dyDescent="0.25">
      <c r="A34" s="102">
        <f t="shared" si="0"/>
        <v>0</v>
      </c>
      <c r="B34" s="36" t="str">
        <f t="shared" si="5"/>
        <v/>
      </c>
      <c r="C34" s="37"/>
      <c r="D34" s="37"/>
      <c r="E34" s="37"/>
      <c r="F34" s="37"/>
      <c r="G34" s="88"/>
      <c r="H34" s="103">
        <v>29</v>
      </c>
      <c r="I34" s="104" t="str">
        <f t="shared" si="1"/>
        <v/>
      </c>
      <c r="J34" s="104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 x14ac:dyDescent="0.25">
      <c r="A35" s="106">
        <f t="shared" si="0"/>
        <v>0</v>
      </c>
      <c r="B35" s="42" t="str">
        <f t="shared" si="5"/>
        <v/>
      </c>
      <c r="C35" s="43"/>
      <c r="D35" s="43"/>
      <c r="E35" s="43"/>
      <c r="F35" s="43"/>
      <c r="G35" s="88"/>
      <c r="H35" s="107">
        <v>30</v>
      </c>
      <c r="I35" s="108" t="str">
        <f t="shared" si="1"/>
        <v/>
      </c>
      <c r="J35" s="108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 x14ac:dyDescent="0.25">
      <c r="A36" s="102">
        <f t="shared" si="0"/>
        <v>0</v>
      </c>
      <c r="B36" s="36" t="str">
        <f t="shared" si="5"/>
        <v/>
      </c>
      <c r="C36" s="37"/>
      <c r="D36" s="37"/>
      <c r="E36" s="37"/>
      <c r="F36" s="37"/>
      <c r="G36" s="88"/>
      <c r="H36" s="103">
        <v>31</v>
      </c>
      <c r="I36" s="104" t="str">
        <f t="shared" si="1"/>
        <v/>
      </c>
      <c r="J36" s="104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 x14ac:dyDescent="0.25">
      <c r="A37" s="106">
        <f t="shared" si="0"/>
        <v>0</v>
      </c>
      <c r="B37" s="42" t="str">
        <f t="shared" si="5"/>
        <v/>
      </c>
      <c r="C37" s="43"/>
      <c r="D37" s="43"/>
      <c r="E37" s="43"/>
      <c r="F37" s="43"/>
      <c r="G37" s="88"/>
      <c r="H37" s="107">
        <v>32</v>
      </c>
      <c r="I37" s="108" t="str">
        <f t="shared" si="1"/>
        <v/>
      </c>
      <c r="J37" s="108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 x14ac:dyDescent="0.25">
      <c r="A38" s="106">
        <f t="shared" si="0"/>
        <v>0</v>
      </c>
      <c r="B38" s="36" t="str">
        <f t="shared" si="5"/>
        <v/>
      </c>
      <c r="C38" s="37"/>
      <c r="D38" s="37"/>
      <c r="E38" s="37"/>
      <c r="F38" s="37"/>
      <c r="G38" s="88"/>
      <c r="H38" s="103">
        <v>33</v>
      </c>
      <c r="I38" s="104" t="str">
        <f t="shared" si="1"/>
        <v/>
      </c>
      <c r="J38" s="104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 x14ac:dyDescent="0.25">
      <c r="A39" s="106">
        <f t="shared" si="0"/>
        <v>0</v>
      </c>
      <c r="B39" s="42" t="str">
        <f t="shared" si="5"/>
        <v/>
      </c>
      <c r="C39" s="43"/>
      <c r="D39" s="43"/>
      <c r="E39" s="43"/>
      <c r="F39" s="43"/>
      <c r="G39" s="88"/>
      <c r="H39" s="107">
        <v>34</v>
      </c>
      <c r="I39" s="108" t="str">
        <f t="shared" si="1"/>
        <v/>
      </c>
      <c r="J39" s="108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 x14ac:dyDescent="0.25">
      <c r="A40" s="106">
        <f t="shared" si="0"/>
        <v>0</v>
      </c>
      <c r="B40" s="36" t="str">
        <f t="shared" si="5"/>
        <v/>
      </c>
      <c r="C40" s="37"/>
      <c r="D40" s="37"/>
      <c r="E40" s="37"/>
      <c r="F40" s="37"/>
      <c r="G40" s="88"/>
      <c r="H40" s="103">
        <v>35</v>
      </c>
      <c r="I40" s="104" t="str">
        <f t="shared" si="1"/>
        <v/>
      </c>
      <c r="J40" s="104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 x14ac:dyDescent="0.25">
      <c r="A41" s="106">
        <f t="shared" si="0"/>
        <v>0</v>
      </c>
      <c r="B41" s="42" t="str">
        <f t="shared" si="5"/>
        <v/>
      </c>
      <c r="C41" s="43"/>
      <c r="D41" s="43"/>
      <c r="E41" s="43"/>
      <c r="F41" s="43"/>
      <c r="G41" s="88"/>
      <c r="H41" s="107">
        <v>36</v>
      </c>
      <c r="I41" s="108" t="str">
        <f t="shared" si="1"/>
        <v/>
      </c>
      <c r="J41" s="108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 x14ac:dyDescent="0.25">
      <c r="A42" s="106">
        <f t="shared" si="0"/>
        <v>0</v>
      </c>
      <c r="B42" s="36" t="str">
        <f t="shared" si="5"/>
        <v/>
      </c>
      <c r="C42" s="37"/>
      <c r="D42" s="37"/>
      <c r="E42" s="37"/>
      <c r="F42" s="37"/>
      <c r="G42" s="88"/>
      <c r="H42" s="103">
        <v>37</v>
      </c>
      <c r="I42" s="104" t="str">
        <f t="shared" si="1"/>
        <v/>
      </c>
      <c r="J42" s="104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 x14ac:dyDescent="0.25">
      <c r="A43" s="106">
        <f t="shared" si="0"/>
        <v>0</v>
      </c>
      <c r="B43" s="42" t="str">
        <f t="shared" si="5"/>
        <v/>
      </c>
      <c r="C43" s="43"/>
      <c r="D43" s="43"/>
      <c r="E43" s="43"/>
      <c r="F43" s="43"/>
      <c r="G43" s="88"/>
      <c r="H43" s="107">
        <v>38</v>
      </c>
      <c r="I43" s="108" t="str">
        <f t="shared" si="1"/>
        <v/>
      </c>
      <c r="J43" s="108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 x14ac:dyDescent="0.25">
      <c r="A44" s="106">
        <f t="shared" si="0"/>
        <v>0</v>
      </c>
      <c r="B44" s="36" t="str">
        <f t="shared" si="5"/>
        <v/>
      </c>
      <c r="C44" s="37"/>
      <c r="D44" s="37"/>
      <c r="E44" s="37"/>
      <c r="F44" s="37"/>
      <c r="G44" s="88"/>
      <c r="H44" s="103">
        <v>39</v>
      </c>
      <c r="I44" s="104" t="str">
        <f t="shared" si="1"/>
        <v/>
      </c>
      <c r="J44" s="104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 x14ac:dyDescent="0.25">
      <c r="A45" s="106">
        <f t="shared" si="0"/>
        <v>0</v>
      </c>
      <c r="B45" s="42" t="str">
        <f t="shared" si="5"/>
        <v/>
      </c>
      <c r="C45" s="43"/>
      <c r="D45" s="43"/>
      <c r="E45" s="43"/>
      <c r="F45" s="43"/>
      <c r="G45" s="88"/>
      <c r="H45" s="107">
        <v>40</v>
      </c>
      <c r="I45" s="108" t="str">
        <f t="shared" si="1"/>
        <v/>
      </c>
      <c r="J45" s="108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 x14ac:dyDescent="0.25">
      <c r="A46" s="106">
        <f t="shared" si="0"/>
        <v>0</v>
      </c>
      <c r="B46" s="36" t="str">
        <f t="shared" si="5"/>
        <v/>
      </c>
      <c r="C46" s="37"/>
      <c r="D46" s="37"/>
      <c r="E46" s="37"/>
      <c r="F46" s="37"/>
      <c r="G46" s="88"/>
      <c r="H46" s="103">
        <v>41</v>
      </c>
      <c r="I46" s="104" t="str">
        <f t="shared" si="1"/>
        <v/>
      </c>
      <c r="J46" s="104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 x14ac:dyDescent="0.25">
      <c r="A47" s="106">
        <f t="shared" si="0"/>
        <v>0</v>
      </c>
      <c r="B47" s="42" t="str">
        <f t="shared" si="5"/>
        <v/>
      </c>
      <c r="C47" s="43"/>
      <c r="D47" s="43"/>
      <c r="E47" s="43"/>
      <c r="F47" s="43"/>
      <c r="G47" s="88"/>
      <c r="H47" s="107">
        <v>42</v>
      </c>
      <c r="I47" s="108" t="str">
        <f t="shared" si="1"/>
        <v/>
      </c>
      <c r="J47" s="108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 x14ac:dyDescent="0.25">
      <c r="A48" s="106">
        <f t="shared" si="0"/>
        <v>0</v>
      </c>
      <c r="B48" s="36" t="str">
        <f t="shared" si="5"/>
        <v/>
      </c>
      <c r="C48" s="37"/>
      <c r="D48" s="37"/>
      <c r="E48" s="37"/>
      <c r="F48" s="37"/>
      <c r="G48" s="88"/>
      <c r="H48" s="103">
        <v>43</v>
      </c>
      <c r="I48" s="104" t="str">
        <f t="shared" si="1"/>
        <v/>
      </c>
      <c r="J48" s="104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6">
        <f t="shared" si="0"/>
        <v>0</v>
      </c>
      <c r="B49" s="42" t="str">
        <f t="shared" si="5"/>
        <v/>
      </c>
      <c r="C49" s="43"/>
      <c r="D49" s="43"/>
      <c r="E49" s="43"/>
      <c r="F49" s="43"/>
      <c r="H49" s="107">
        <v>44</v>
      </c>
      <c r="I49" s="108" t="str">
        <f t="shared" si="1"/>
        <v/>
      </c>
      <c r="J49" s="108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 x14ac:dyDescent="0.25">
      <c r="A50" s="106">
        <f t="shared" si="0"/>
        <v>0</v>
      </c>
      <c r="B50" s="36" t="str">
        <f t="shared" si="5"/>
        <v/>
      </c>
      <c r="C50" s="37"/>
      <c r="D50" s="37"/>
      <c r="E50" s="37"/>
      <c r="F50" s="37"/>
      <c r="H50" s="103">
        <v>45</v>
      </c>
      <c r="I50" s="104" t="str">
        <f t="shared" si="1"/>
        <v/>
      </c>
      <c r="J50" s="104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 x14ac:dyDescent="0.25">
      <c r="A51" s="106">
        <f t="shared" si="0"/>
        <v>0</v>
      </c>
      <c r="B51" s="42" t="str">
        <f t="shared" si="5"/>
        <v/>
      </c>
      <c r="C51" s="43"/>
      <c r="D51" s="43"/>
      <c r="E51" s="43"/>
      <c r="F51" s="43"/>
      <c r="H51" s="107">
        <v>46</v>
      </c>
      <c r="I51" s="108" t="str">
        <f t="shared" si="1"/>
        <v/>
      </c>
      <c r="J51" s="108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 x14ac:dyDescent="0.25">
      <c r="A52" s="106">
        <f t="shared" si="0"/>
        <v>0</v>
      </c>
      <c r="B52" s="36" t="str">
        <f t="shared" si="5"/>
        <v/>
      </c>
      <c r="C52" s="37"/>
      <c r="D52" s="37"/>
      <c r="E52" s="37"/>
      <c r="F52" s="37"/>
      <c r="H52" s="103">
        <v>47</v>
      </c>
      <c r="I52" s="104" t="str">
        <f t="shared" si="1"/>
        <v/>
      </c>
      <c r="J52" s="104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 x14ac:dyDescent="0.25">
      <c r="A53" s="106">
        <f t="shared" si="0"/>
        <v>0</v>
      </c>
      <c r="B53" s="42" t="str">
        <f t="shared" si="5"/>
        <v/>
      </c>
      <c r="C53" s="43"/>
      <c r="D53" s="43"/>
      <c r="E53" s="43"/>
      <c r="F53" s="43"/>
      <c r="H53" s="107">
        <v>48</v>
      </c>
      <c r="I53" s="108" t="str">
        <f t="shared" si="1"/>
        <v/>
      </c>
      <c r="J53" s="108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 x14ac:dyDescent="0.25">
      <c r="A54" s="106">
        <f t="shared" si="0"/>
        <v>0</v>
      </c>
      <c r="B54" s="36" t="str">
        <f t="shared" si="5"/>
        <v/>
      </c>
      <c r="C54" s="37"/>
      <c r="D54" s="37"/>
      <c r="E54" s="37"/>
      <c r="F54" s="37"/>
      <c r="H54" s="103">
        <v>49</v>
      </c>
      <c r="I54" s="104" t="str">
        <f t="shared" si="1"/>
        <v/>
      </c>
      <c r="J54" s="104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 x14ac:dyDescent="0.25">
      <c r="A55" s="106">
        <f t="shared" si="0"/>
        <v>0</v>
      </c>
      <c r="B55" s="42" t="str">
        <f t="shared" si="5"/>
        <v/>
      </c>
      <c r="C55" s="43"/>
      <c r="D55" s="43"/>
      <c r="E55" s="43"/>
      <c r="F55" s="43"/>
      <c r="H55" s="107">
        <v>50</v>
      </c>
      <c r="I55" s="108" t="str">
        <f t="shared" si="1"/>
        <v/>
      </c>
      <c r="J55" s="108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 x14ac:dyDescent="0.25">
      <c r="A56" s="106">
        <f t="shared" si="0"/>
        <v>0</v>
      </c>
      <c r="B56" s="36" t="str">
        <f t="shared" si="5"/>
        <v/>
      </c>
      <c r="C56" s="37"/>
      <c r="D56" s="37"/>
      <c r="E56" s="37"/>
      <c r="F56" s="37"/>
      <c r="H56" s="103">
        <v>51</v>
      </c>
      <c r="I56" s="104" t="str">
        <f t="shared" si="1"/>
        <v/>
      </c>
      <c r="J56" s="104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 x14ac:dyDescent="0.25">
      <c r="A57" s="106">
        <f t="shared" si="0"/>
        <v>0</v>
      </c>
      <c r="B57" s="42" t="str">
        <f t="shared" si="5"/>
        <v/>
      </c>
      <c r="C57" s="43"/>
      <c r="D57" s="43"/>
      <c r="E57" s="43"/>
      <c r="F57" s="43"/>
      <c r="H57" s="107">
        <v>52</v>
      </c>
      <c r="I57" s="108" t="str">
        <f t="shared" si="1"/>
        <v/>
      </c>
      <c r="J57" s="108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 x14ac:dyDescent="0.25">
      <c r="A58" s="106">
        <f t="shared" si="0"/>
        <v>0</v>
      </c>
      <c r="B58" s="36" t="str">
        <f t="shared" si="5"/>
        <v/>
      </c>
      <c r="C58" s="37"/>
      <c r="D58" s="37"/>
      <c r="E58" s="37"/>
      <c r="F58" s="37"/>
      <c r="H58" s="103">
        <v>53</v>
      </c>
      <c r="I58" s="104" t="str">
        <f t="shared" si="1"/>
        <v/>
      </c>
      <c r="J58" s="104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 x14ac:dyDescent="0.25">
      <c r="A59" s="106">
        <f t="shared" si="0"/>
        <v>0</v>
      </c>
      <c r="B59" s="42" t="str">
        <f t="shared" si="5"/>
        <v/>
      </c>
      <c r="C59" s="43"/>
      <c r="D59" s="43"/>
      <c r="E59" s="43"/>
      <c r="F59" s="43"/>
      <c r="H59" s="107">
        <v>54</v>
      </c>
      <c r="I59" s="108" t="str">
        <f t="shared" si="1"/>
        <v/>
      </c>
      <c r="J59" s="108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 x14ac:dyDescent="0.25">
      <c r="A60" s="106">
        <f t="shared" si="0"/>
        <v>0</v>
      </c>
      <c r="B60" s="36" t="str">
        <f t="shared" si="5"/>
        <v/>
      </c>
      <c r="C60" s="37"/>
      <c r="D60" s="37"/>
      <c r="E60" s="37"/>
      <c r="F60" s="37"/>
      <c r="H60" s="103">
        <v>55</v>
      </c>
      <c r="I60" s="104" t="str">
        <f t="shared" si="1"/>
        <v/>
      </c>
      <c r="J60" s="104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 x14ac:dyDescent="0.25">
      <c r="A61" s="106">
        <f t="shared" si="0"/>
        <v>0</v>
      </c>
      <c r="B61" s="42" t="str">
        <f t="shared" si="5"/>
        <v/>
      </c>
      <c r="C61" s="43"/>
      <c r="D61" s="43"/>
      <c r="E61" s="43"/>
      <c r="F61" s="43"/>
      <c r="H61" s="107">
        <v>56</v>
      </c>
      <c r="I61" s="108" t="str">
        <f t="shared" si="1"/>
        <v/>
      </c>
      <c r="J61" s="108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 x14ac:dyDescent="0.25">
      <c r="A62" s="106">
        <f t="shared" si="0"/>
        <v>0</v>
      </c>
      <c r="B62" s="36" t="str">
        <f t="shared" si="5"/>
        <v/>
      </c>
      <c r="C62" s="37"/>
      <c r="D62" s="37"/>
      <c r="E62" s="37"/>
      <c r="F62" s="37"/>
      <c r="H62" s="103">
        <v>57</v>
      </c>
      <c r="I62" s="104" t="str">
        <f t="shared" si="1"/>
        <v/>
      </c>
      <c r="J62" s="104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 x14ac:dyDescent="0.25">
      <c r="A63" s="106">
        <f t="shared" si="0"/>
        <v>0</v>
      </c>
      <c r="B63" s="42" t="str">
        <f t="shared" si="5"/>
        <v/>
      </c>
      <c r="C63" s="43"/>
      <c r="D63" s="43"/>
      <c r="E63" s="43"/>
      <c r="F63" s="43"/>
      <c r="H63" s="107">
        <v>58</v>
      </c>
      <c r="I63" s="108" t="str">
        <f t="shared" si="1"/>
        <v/>
      </c>
      <c r="J63" s="108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 x14ac:dyDescent="0.25">
      <c r="A64" s="106">
        <f t="shared" si="0"/>
        <v>0</v>
      </c>
      <c r="B64" s="36" t="str">
        <f t="shared" si="5"/>
        <v/>
      </c>
      <c r="C64" s="37"/>
      <c r="D64" s="37"/>
      <c r="E64" s="37"/>
      <c r="F64" s="37"/>
      <c r="H64" s="103">
        <v>59</v>
      </c>
      <c r="I64" s="104" t="str">
        <f t="shared" si="1"/>
        <v/>
      </c>
      <c r="J64" s="104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 x14ac:dyDescent="0.25">
      <c r="A65" s="106">
        <f t="shared" si="0"/>
        <v>0</v>
      </c>
      <c r="B65" s="42" t="str">
        <f t="shared" si="5"/>
        <v/>
      </c>
      <c r="C65" s="43"/>
      <c r="D65" s="43"/>
      <c r="E65" s="43"/>
      <c r="F65" s="43"/>
      <c r="H65" s="107">
        <v>60</v>
      </c>
      <c r="I65" s="108" t="str">
        <f t="shared" si="1"/>
        <v/>
      </c>
      <c r="J65" s="108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 x14ac:dyDescent="0.25">
      <c r="A66" s="106">
        <f t="shared" si="0"/>
        <v>0</v>
      </c>
      <c r="B66" s="36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 x14ac:dyDescent="0.25">
      <c r="A67" s="106">
        <f t="shared" si="0"/>
        <v>0</v>
      </c>
      <c r="B67" s="42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 x14ac:dyDescent="0.25">
      <c r="A68" s="106">
        <f t="shared" si="0"/>
        <v>0</v>
      </c>
      <c r="B68" s="36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 x14ac:dyDescent="0.25">
      <c r="A69" s="106">
        <f t="shared" si="0"/>
        <v>0</v>
      </c>
      <c r="B69" s="42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 x14ac:dyDescent="0.25">
      <c r="A70" s="106">
        <f t="shared" ref="A70:A79" si="6">M70</f>
        <v>0</v>
      </c>
      <c r="B70" s="123"/>
      <c r="C70" s="123"/>
      <c r="D70" s="123"/>
      <c r="E70" s="123"/>
      <c r="F70" s="123"/>
      <c r="H70" s="103">
        <v>65</v>
      </c>
      <c r="I70" s="104" t="str">
        <f t="shared" ref="I70:I133" si="7">IF(H70&lt;$H$2+1,($I$2-($I$2-1)*(LOG(H70)/LOG($H$2))),"")</f>
        <v/>
      </c>
      <c r="J70" s="104" t="e">
        <f t="shared" ref="J70:J133" si="8">INT(LOG($H$2,2))-ROUNDUP(LOG(H70,2),0)+IF(OR($H$2=1,$H$2=2,$H$2=4,$H$2=8,$H$2=16,$H$2=32,$H$2=64,$H$2=128,$H$2=256),0,1)</f>
        <v>#NUM!</v>
      </c>
      <c r="K70" s="103" t="e">
        <f t="shared" ref="K70:K133" si="9">J70*$J$2</f>
        <v>#NUM!</v>
      </c>
      <c r="L70" s="103"/>
      <c r="M70" s="105">
        <f t="shared" ref="M70:M133" si="10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 x14ac:dyDescent="0.25">
      <c r="A71" s="106">
        <f t="shared" si="6"/>
        <v>0</v>
      </c>
      <c r="B71" s="123"/>
      <c r="C71" s="123"/>
      <c r="D71" s="123"/>
      <c r="E71" s="123"/>
      <c r="F71" s="123"/>
      <c r="H71" s="103">
        <v>66</v>
      </c>
      <c r="I71" s="104" t="str">
        <f t="shared" si="7"/>
        <v/>
      </c>
      <c r="J71" s="104" t="e">
        <f t="shared" si="8"/>
        <v>#NUM!</v>
      </c>
      <c r="K71" s="103" t="e">
        <f t="shared" si="9"/>
        <v>#NUM!</v>
      </c>
      <c r="L71" s="103"/>
      <c r="M71" s="105">
        <f t="shared" si="10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 x14ac:dyDescent="0.25">
      <c r="A72" s="106">
        <f t="shared" si="6"/>
        <v>0</v>
      </c>
      <c r="B72" s="123"/>
      <c r="C72" s="123"/>
      <c r="D72" s="123"/>
      <c r="E72" s="123"/>
      <c r="F72" s="123"/>
      <c r="H72" s="103">
        <v>67</v>
      </c>
      <c r="I72" s="104" t="str">
        <f t="shared" si="7"/>
        <v/>
      </c>
      <c r="J72" s="104" t="e">
        <f t="shared" si="8"/>
        <v>#NUM!</v>
      </c>
      <c r="K72" s="103" t="e">
        <f t="shared" si="9"/>
        <v>#NUM!</v>
      </c>
      <c r="L72" s="103"/>
      <c r="M72" s="105">
        <f t="shared" si="10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 x14ac:dyDescent="0.25">
      <c r="A73" s="106">
        <f t="shared" si="6"/>
        <v>0</v>
      </c>
      <c r="B73" s="123"/>
      <c r="C73" s="123"/>
      <c r="D73" s="123"/>
      <c r="E73" s="123"/>
      <c r="F73" s="123"/>
      <c r="H73" s="103">
        <v>68</v>
      </c>
      <c r="I73" s="104" t="str">
        <f t="shared" si="7"/>
        <v/>
      </c>
      <c r="J73" s="104" t="e">
        <f t="shared" si="8"/>
        <v>#NUM!</v>
      </c>
      <c r="K73" s="103" t="e">
        <f t="shared" si="9"/>
        <v>#NUM!</v>
      </c>
      <c r="L73" s="103"/>
      <c r="M73" s="105">
        <f t="shared" si="10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 x14ac:dyDescent="0.25">
      <c r="A74" s="106">
        <f t="shared" si="6"/>
        <v>0</v>
      </c>
      <c r="B74" s="123"/>
      <c r="C74" s="123"/>
      <c r="D74" s="123"/>
      <c r="E74" s="123"/>
      <c r="F74" s="123"/>
      <c r="H74" s="103">
        <v>69</v>
      </c>
      <c r="I74" s="104" t="str">
        <f t="shared" si="7"/>
        <v/>
      </c>
      <c r="J74" s="104" t="e">
        <f t="shared" si="8"/>
        <v>#NUM!</v>
      </c>
      <c r="K74" s="103" t="e">
        <f t="shared" si="9"/>
        <v>#NUM!</v>
      </c>
      <c r="L74" s="103"/>
      <c r="M74" s="105">
        <f t="shared" si="10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 x14ac:dyDescent="0.25">
      <c r="A75" s="106">
        <f t="shared" si="6"/>
        <v>0</v>
      </c>
      <c r="B75" s="123"/>
      <c r="C75" s="123"/>
      <c r="D75" s="123"/>
      <c r="E75" s="123"/>
      <c r="F75" s="123"/>
      <c r="H75" s="103">
        <v>70</v>
      </c>
      <c r="I75" s="104" t="str">
        <f t="shared" si="7"/>
        <v/>
      </c>
      <c r="J75" s="104" t="e">
        <f t="shared" si="8"/>
        <v>#NUM!</v>
      </c>
      <c r="K75" s="103" t="e">
        <f t="shared" si="9"/>
        <v>#NUM!</v>
      </c>
      <c r="L75" s="103"/>
      <c r="M75" s="105">
        <f t="shared" si="10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 x14ac:dyDescent="0.25">
      <c r="A76" s="106">
        <f t="shared" si="6"/>
        <v>0</v>
      </c>
      <c r="B76" s="123"/>
      <c r="C76" s="123"/>
      <c r="D76" s="123"/>
      <c r="E76" s="123"/>
      <c r="F76" s="123"/>
      <c r="H76" s="103">
        <v>71</v>
      </c>
      <c r="I76" s="104" t="str">
        <f t="shared" si="7"/>
        <v/>
      </c>
      <c r="J76" s="104" t="e">
        <f t="shared" si="8"/>
        <v>#NUM!</v>
      </c>
      <c r="K76" s="103" t="e">
        <f t="shared" si="9"/>
        <v>#NUM!</v>
      </c>
      <c r="L76" s="103"/>
      <c r="M76" s="105">
        <f t="shared" si="10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 x14ac:dyDescent="0.25">
      <c r="A77" s="106">
        <f t="shared" si="6"/>
        <v>0</v>
      </c>
      <c r="B77" s="123"/>
      <c r="C77" s="123"/>
      <c r="D77" s="123"/>
      <c r="E77" s="123"/>
      <c r="F77" s="123"/>
      <c r="H77" s="103">
        <v>72</v>
      </c>
      <c r="I77" s="104" t="str">
        <f t="shared" si="7"/>
        <v/>
      </c>
      <c r="J77" s="104" t="e">
        <f t="shared" si="8"/>
        <v>#NUM!</v>
      </c>
      <c r="K77" s="103" t="e">
        <f t="shared" si="9"/>
        <v>#NUM!</v>
      </c>
      <c r="L77" s="103"/>
      <c r="M77" s="105">
        <f t="shared" si="10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 x14ac:dyDescent="0.25">
      <c r="A78" s="106">
        <f t="shared" si="6"/>
        <v>0</v>
      </c>
      <c r="B78" s="123"/>
      <c r="C78" s="123"/>
      <c r="D78" s="123"/>
      <c r="E78" s="123"/>
      <c r="F78" s="123"/>
      <c r="H78" s="103">
        <v>73</v>
      </c>
      <c r="I78" s="104" t="str">
        <f t="shared" si="7"/>
        <v/>
      </c>
      <c r="J78" s="104" t="e">
        <f t="shared" si="8"/>
        <v>#NUM!</v>
      </c>
      <c r="K78" s="103" t="e">
        <f t="shared" si="9"/>
        <v>#NUM!</v>
      </c>
      <c r="L78" s="103"/>
      <c r="M78" s="105">
        <f t="shared" si="10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 x14ac:dyDescent="0.25">
      <c r="A79" s="106">
        <f t="shared" si="6"/>
        <v>0</v>
      </c>
      <c r="B79" s="123"/>
      <c r="C79" s="123"/>
      <c r="D79" s="123"/>
      <c r="E79" s="123"/>
      <c r="F79" s="123"/>
      <c r="H79" s="103">
        <v>74</v>
      </c>
      <c r="I79" s="104" t="str">
        <f t="shared" si="7"/>
        <v/>
      </c>
      <c r="J79" s="104" t="e">
        <f t="shared" si="8"/>
        <v>#NUM!</v>
      </c>
      <c r="K79" s="103" t="e">
        <f t="shared" si="9"/>
        <v>#NUM!</v>
      </c>
      <c r="L79" s="103"/>
      <c r="M79" s="105">
        <f t="shared" si="10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 x14ac:dyDescent="0.25">
      <c r="A80" s="102"/>
      <c r="B80" s="123"/>
      <c r="C80" s="123"/>
      <c r="D80" s="123"/>
      <c r="E80" s="123"/>
      <c r="F80" s="123"/>
      <c r="H80" s="103">
        <v>75</v>
      </c>
      <c r="I80" s="104" t="str">
        <f t="shared" si="7"/>
        <v/>
      </c>
      <c r="J80" s="104" t="e">
        <f t="shared" si="8"/>
        <v>#NUM!</v>
      </c>
      <c r="K80" s="103" t="e">
        <f t="shared" si="9"/>
        <v>#NUM!</v>
      </c>
      <c r="L80" s="103"/>
      <c r="M80" s="105">
        <f t="shared" si="10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 x14ac:dyDescent="0.25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7"/>
        <v/>
      </c>
      <c r="J81" s="104" t="e">
        <f t="shared" si="8"/>
        <v>#NUM!</v>
      </c>
      <c r="K81" s="103" t="e">
        <f t="shared" si="9"/>
        <v>#NUM!</v>
      </c>
      <c r="L81" s="103"/>
      <c r="M81" s="105">
        <f t="shared" si="10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 x14ac:dyDescent="0.25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7"/>
        <v/>
      </c>
      <c r="J82" s="104" t="e">
        <f t="shared" si="8"/>
        <v>#NUM!</v>
      </c>
      <c r="K82" s="103" t="e">
        <f t="shared" si="9"/>
        <v>#NUM!</v>
      </c>
      <c r="L82" s="103"/>
      <c r="M82" s="105">
        <f t="shared" si="10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 x14ac:dyDescent="0.25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7"/>
        <v/>
      </c>
      <c r="J83" s="104" t="e">
        <f t="shared" si="8"/>
        <v>#NUM!</v>
      </c>
      <c r="K83" s="103" t="e">
        <f t="shared" si="9"/>
        <v>#NUM!</v>
      </c>
      <c r="L83" s="103"/>
      <c r="M83" s="105">
        <f t="shared" si="10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 x14ac:dyDescent="0.25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7"/>
        <v/>
      </c>
      <c r="J84" s="104" t="e">
        <f t="shared" si="8"/>
        <v>#NUM!</v>
      </c>
      <c r="K84" s="103" t="e">
        <f t="shared" si="9"/>
        <v>#NUM!</v>
      </c>
      <c r="L84" s="103"/>
      <c r="M84" s="105">
        <f t="shared" si="10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 x14ac:dyDescent="0.25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7"/>
        <v/>
      </c>
      <c r="J85" s="104" t="e">
        <f t="shared" si="8"/>
        <v>#NUM!</v>
      </c>
      <c r="K85" s="103" t="e">
        <f t="shared" si="9"/>
        <v>#NUM!</v>
      </c>
      <c r="L85" s="103"/>
      <c r="M85" s="105">
        <f t="shared" si="10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 x14ac:dyDescent="0.25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7"/>
        <v/>
      </c>
      <c r="J86" s="104" t="e">
        <f t="shared" si="8"/>
        <v>#NUM!</v>
      </c>
      <c r="K86" s="103" t="e">
        <f t="shared" si="9"/>
        <v>#NUM!</v>
      </c>
      <c r="L86" s="103"/>
      <c r="M86" s="105">
        <f t="shared" si="10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 x14ac:dyDescent="0.25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7"/>
        <v/>
      </c>
      <c r="J87" s="104" t="e">
        <f t="shared" si="8"/>
        <v>#NUM!</v>
      </c>
      <c r="K87" s="103" t="e">
        <f t="shared" si="9"/>
        <v>#NUM!</v>
      </c>
      <c r="L87" s="103"/>
      <c r="M87" s="105">
        <f t="shared" si="10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 x14ac:dyDescent="0.25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7"/>
        <v/>
      </c>
      <c r="J88" s="104" t="e">
        <f t="shared" si="8"/>
        <v>#NUM!</v>
      </c>
      <c r="K88" s="103" t="e">
        <f t="shared" si="9"/>
        <v>#NUM!</v>
      </c>
      <c r="L88" s="103"/>
      <c r="M88" s="105">
        <f t="shared" si="10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 x14ac:dyDescent="0.25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7"/>
        <v/>
      </c>
      <c r="J89" s="104" t="e">
        <f t="shared" si="8"/>
        <v>#NUM!</v>
      </c>
      <c r="K89" s="103" t="e">
        <f t="shared" si="9"/>
        <v>#NUM!</v>
      </c>
      <c r="L89" s="103"/>
      <c r="M89" s="105">
        <f t="shared" si="10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 x14ac:dyDescent="0.25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7"/>
        <v/>
      </c>
      <c r="J90" s="104" t="e">
        <f t="shared" si="8"/>
        <v>#NUM!</v>
      </c>
      <c r="K90" s="103" t="e">
        <f t="shared" si="9"/>
        <v>#NUM!</v>
      </c>
      <c r="L90" s="103"/>
      <c r="M90" s="105">
        <f t="shared" si="10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 x14ac:dyDescent="0.25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7"/>
        <v/>
      </c>
      <c r="J91" s="104" t="e">
        <f t="shared" si="8"/>
        <v>#NUM!</v>
      </c>
      <c r="K91" s="103" t="e">
        <f t="shared" si="9"/>
        <v>#NUM!</v>
      </c>
      <c r="L91" s="103"/>
      <c r="M91" s="105">
        <f t="shared" si="10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 x14ac:dyDescent="0.25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7"/>
        <v/>
      </c>
      <c r="J92" s="104" t="e">
        <f t="shared" si="8"/>
        <v>#NUM!</v>
      </c>
      <c r="K92" s="103" t="e">
        <f t="shared" si="9"/>
        <v>#NUM!</v>
      </c>
      <c r="L92" s="103"/>
      <c r="M92" s="105">
        <f t="shared" si="10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 x14ac:dyDescent="0.25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7"/>
        <v/>
      </c>
      <c r="J93" s="104" t="e">
        <f t="shared" si="8"/>
        <v>#NUM!</v>
      </c>
      <c r="K93" s="103" t="e">
        <f t="shared" si="9"/>
        <v>#NUM!</v>
      </c>
      <c r="L93" s="103"/>
      <c r="M93" s="105">
        <f t="shared" si="10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 x14ac:dyDescent="0.25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7"/>
        <v/>
      </c>
      <c r="J94" s="104" t="e">
        <f t="shared" si="8"/>
        <v>#NUM!</v>
      </c>
      <c r="K94" s="103" t="e">
        <f t="shared" si="9"/>
        <v>#NUM!</v>
      </c>
      <c r="L94" s="103"/>
      <c r="M94" s="105">
        <f t="shared" si="10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 x14ac:dyDescent="0.25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7"/>
        <v/>
      </c>
      <c r="J95" s="104" t="e">
        <f t="shared" si="8"/>
        <v>#NUM!</v>
      </c>
      <c r="K95" s="103" t="e">
        <f t="shared" si="9"/>
        <v>#NUM!</v>
      </c>
      <c r="L95" s="103"/>
      <c r="M95" s="105">
        <f t="shared" si="10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 x14ac:dyDescent="0.25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7"/>
        <v/>
      </c>
      <c r="J96" s="104" t="e">
        <f t="shared" si="8"/>
        <v>#NUM!</v>
      </c>
      <c r="K96" s="103" t="e">
        <f t="shared" si="9"/>
        <v>#NUM!</v>
      </c>
      <c r="L96" s="103"/>
      <c r="M96" s="105">
        <f t="shared" si="10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 x14ac:dyDescent="0.25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7"/>
        <v/>
      </c>
      <c r="J97" s="104" t="e">
        <f t="shared" si="8"/>
        <v>#NUM!</v>
      </c>
      <c r="K97" s="103" t="e">
        <f t="shared" si="9"/>
        <v>#NUM!</v>
      </c>
      <c r="L97" s="103"/>
      <c r="M97" s="105">
        <f t="shared" si="10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 x14ac:dyDescent="0.25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7"/>
        <v/>
      </c>
      <c r="J98" s="104" t="e">
        <f t="shared" si="8"/>
        <v>#NUM!</v>
      </c>
      <c r="K98" s="103" t="e">
        <f t="shared" si="9"/>
        <v>#NUM!</v>
      </c>
      <c r="L98" s="103"/>
      <c r="M98" s="105">
        <f t="shared" si="10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 x14ac:dyDescent="0.25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7"/>
        <v/>
      </c>
      <c r="J99" s="104" t="e">
        <f t="shared" si="8"/>
        <v>#NUM!</v>
      </c>
      <c r="K99" s="103" t="e">
        <f t="shared" si="9"/>
        <v>#NUM!</v>
      </c>
      <c r="L99" s="103"/>
      <c r="M99" s="105">
        <f t="shared" si="10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 x14ac:dyDescent="0.25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7"/>
        <v/>
      </c>
      <c r="J100" s="104" t="e">
        <f t="shared" si="8"/>
        <v>#NUM!</v>
      </c>
      <c r="K100" s="103" t="e">
        <f t="shared" si="9"/>
        <v>#NUM!</v>
      </c>
      <c r="L100" s="103"/>
      <c r="M100" s="105">
        <f t="shared" si="10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 x14ac:dyDescent="0.25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7"/>
        <v/>
      </c>
      <c r="J101" s="104" t="e">
        <f t="shared" si="8"/>
        <v>#NUM!</v>
      </c>
      <c r="K101" s="103" t="e">
        <f t="shared" si="9"/>
        <v>#NUM!</v>
      </c>
      <c r="L101" s="103"/>
      <c r="M101" s="105">
        <f t="shared" si="10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 x14ac:dyDescent="0.25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7"/>
        <v/>
      </c>
      <c r="J102" s="104" t="e">
        <f t="shared" si="8"/>
        <v>#NUM!</v>
      </c>
      <c r="K102" s="103" t="e">
        <f t="shared" si="9"/>
        <v>#NUM!</v>
      </c>
      <c r="L102" s="103"/>
      <c r="M102" s="105">
        <f t="shared" si="10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 x14ac:dyDescent="0.25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7"/>
        <v/>
      </c>
      <c r="J103" s="104" t="e">
        <f t="shared" si="8"/>
        <v>#NUM!</v>
      </c>
      <c r="K103" s="103" t="e">
        <f t="shared" si="9"/>
        <v>#NUM!</v>
      </c>
      <c r="L103" s="103"/>
      <c r="M103" s="105">
        <f t="shared" si="10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 x14ac:dyDescent="0.25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7"/>
        <v/>
      </c>
      <c r="J104" s="104" t="e">
        <f t="shared" si="8"/>
        <v>#NUM!</v>
      </c>
      <c r="K104" s="103" t="e">
        <f t="shared" si="9"/>
        <v>#NUM!</v>
      </c>
      <c r="L104" s="103"/>
      <c r="M104" s="105">
        <f t="shared" si="10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 x14ac:dyDescent="0.25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7"/>
        <v/>
      </c>
      <c r="J105" s="104" t="e">
        <f t="shared" si="8"/>
        <v>#NUM!</v>
      </c>
      <c r="K105" s="103" t="e">
        <f t="shared" si="9"/>
        <v>#NUM!</v>
      </c>
      <c r="L105" s="103"/>
      <c r="M105" s="105">
        <f t="shared" si="10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 x14ac:dyDescent="0.25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7"/>
        <v/>
      </c>
      <c r="J106" s="104" t="e">
        <f t="shared" si="8"/>
        <v>#NUM!</v>
      </c>
      <c r="K106" s="103" t="e">
        <f t="shared" si="9"/>
        <v>#NUM!</v>
      </c>
      <c r="L106" s="103"/>
      <c r="M106" s="105">
        <f t="shared" si="10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 x14ac:dyDescent="0.25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7"/>
        <v/>
      </c>
      <c r="J107" s="104" t="e">
        <f t="shared" si="8"/>
        <v>#NUM!</v>
      </c>
      <c r="K107" s="103" t="e">
        <f t="shared" si="9"/>
        <v>#NUM!</v>
      </c>
      <c r="L107" s="103"/>
      <c r="M107" s="105">
        <f t="shared" si="10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 x14ac:dyDescent="0.25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7"/>
        <v/>
      </c>
      <c r="J108" s="104" t="e">
        <f t="shared" si="8"/>
        <v>#NUM!</v>
      </c>
      <c r="K108" s="103" t="e">
        <f t="shared" si="9"/>
        <v>#NUM!</v>
      </c>
      <c r="L108" s="103"/>
      <c r="M108" s="105">
        <f t="shared" si="10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 x14ac:dyDescent="0.25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7"/>
        <v/>
      </c>
      <c r="J109" s="104" t="e">
        <f t="shared" si="8"/>
        <v>#NUM!</v>
      </c>
      <c r="K109" s="103" t="e">
        <f t="shared" si="9"/>
        <v>#NUM!</v>
      </c>
      <c r="L109" s="103"/>
      <c r="M109" s="105">
        <f t="shared" si="10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 x14ac:dyDescent="0.25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7"/>
        <v/>
      </c>
      <c r="J110" s="104" t="e">
        <f t="shared" si="8"/>
        <v>#NUM!</v>
      </c>
      <c r="K110" s="103" t="e">
        <f t="shared" si="9"/>
        <v>#NUM!</v>
      </c>
      <c r="L110" s="103"/>
      <c r="M110" s="105">
        <f t="shared" si="10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 x14ac:dyDescent="0.25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7"/>
        <v/>
      </c>
      <c r="J111" s="104" t="e">
        <f t="shared" si="8"/>
        <v>#NUM!</v>
      </c>
      <c r="K111" s="103" t="e">
        <f t="shared" si="9"/>
        <v>#NUM!</v>
      </c>
      <c r="L111" s="103"/>
      <c r="M111" s="105">
        <f t="shared" si="10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 x14ac:dyDescent="0.25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7"/>
        <v/>
      </c>
      <c r="J112" s="104" t="e">
        <f t="shared" si="8"/>
        <v>#NUM!</v>
      </c>
      <c r="K112" s="103" t="e">
        <f t="shared" si="9"/>
        <v>#NUM!</v>
      </c>
      <c r="L112" s="103"/>
      <c r="M112" s="105">
        <f t="shared" si="10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 x14ac:dyDescent="0.25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7"/>
        <v/>
      </c>
      <c r="J113" s="104" t="e">
        <f t="shared" si="8"/>
        <v>#NUM!</v>
      </c>
      <c r="K113" s="103" t="e">
        <f t="shared" si="9"/>
        <v>#NUM!</v>
      </c>
      <c r="L113" s="103"/>
      <c r="M113" s="105">
        <f t="shared" si="10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 x14ac:dyDescent="0.25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7"/>
        <v/>
      </c>
      <c r="J114" s="104" t="e">
        <f t="shared" si="8"/>
        <v>#NUM!</v>
      </c>
      <c r="K114" s="103" t="e">
        <f t="shared" si="9"/>
        <v>#NUM!</v>
      </c>
      <c r="L114" s="103"/>
      <c r="M114" s="105">
        <f t="shared" si="10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 x14ac:dyDescent="0.25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7"/>
        <v/>
      </c>
      <c r="J115" s="104" t="e">
        <f t="shared" si="8"/>
        <v>#NUM!</v>
      </c>
      <c r="K115" s="103" t="e">
        <f t="shared" si="9"/>
        <v>#NUM!</v>
      </c>
      <c r="L115" s="103"/>
      <c r="M115" s="105">
        <f t="shared" si="10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 x14ac:dyDescent="0.25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7"/>
        <v/>
      </c>
      <c r="J116" s="104" t="e">
        <f t="shared" si="8"/>
        <v>#NUM!</v>
      </c>
      <c r="K116" s="103" t="e">
        <f t="shared" si="9"/>
        <v>#NUM!</v>
      </c>
      <c r="L116" s="103"/>
      <c r="M116" s="105">
        <f t="shared" si="10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 x14ac:dyDescent="0.25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7"/>
        <v/>
      </c>
      <c r="J117" s="104" t="e">
        <f t="shared" si="8"/>
        <v>#NUM!</v>
      </c>
      <c r="K117" s="103" t="e">
        <f t="shared" si="9"/>
        <v>#NUM!</v>
      </c>
      <c r="L117" s="103"/>
      <c r="M117" s="105">
        <f t="shared" si="10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 x14ac:dyDescent="0.25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7"/>
        <v/>
      </c>
      <c r="J118" s="104" t="e">
        <f t="shared" si="8"/>
        <v>#NUM!</v>
      </c>
      <c r="K118" s="103" t="e">
        <f t="shared" si="9"/>
        <v>#NUM!</v>
      </c>
      <c r="L118" s="103"/>
      <c r="M118" s="105">
        <f t="shared" si="10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 x14ac:dyDescent="0.25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7"/>
        <v/>
      </c>
      <c r="J119" s="104" t="e">
        <f t="shared" si="8"/>
        <v>#NUM!</v>
      </c>
      <c r="K119" s="103" t="e">
        <f t="shared" si="9"/>
        <v>#NUM!</v>
      </c>
      <c r="L119" s="103"/>
      <c r="M119" s="105">
        <f t="shared" si="10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 x14ac:dyDescent="0.25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7"/>
        <v/>
      </c>
      <c r="J120" s="104" t="e">
        <f t="shared" si="8"/>
        <v>#NUM!</v>
      </c>
      <c r="K120" s="103" t="e">
        <f t="shared" si="9"/>
        <v>#NUM!</v>
      </c>
      <c r="L120" s="103"/>
      <c r="M120" s="105">
        <f t="shared" si="10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 x14ac:dyDescent="0.25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7"/>
        <v/>
      </c>
      <c r="J121" s="104" t="e">
        <f t="shared" si="8"/>
        <v>#NUM!</v>
      </c>
      <c r="K121" s="103" t="e">
        <f t="shared" si="9"/>
        <v>#NUM!</v>
      </c>
      <c r="L121" s="103"/>
      <c r="M121" s="105">
        <f t="shared" si="10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 x14ac:dyDescent="0.25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7"/>
        <v/>
      </c>
      <c r="J122" s="104" t="e">
        <f t="shared" si="8"/>
        <v>#NUM!</v>
      </c>
      <c r="K122" s="103" t="e">
        <f t="shared" si="9"/>
        <v>#NUM!</v>
      </c>
      <c r="L122" s="103"/>
      <c r="M122" s="105">
        <f t="shared" si="10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 x14ac:dyDescent="0.25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7"/>
        <v/>
      </c>
      <c r="J123" s="104" t="e">
        <f t="shared" si="8"/>
        <v>#NUM!</v>
      </c>
      <c r="K123" s="103" t="e">
        <f t="shared" si="9"/>
        <v>#NUM!</v>
      </c>
      <c r="L123" s="103"/>
      <c r="M123" s="105">
        <f t="shared" si="10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 x14ac:dyDescent="0.25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7"/>
        <v/>
      </c>
      <c r="J124" s="104" t="e">
        <f t="shared" si="8"/>
        <v>#NUM!</v>
      </c>
      <c r="K124" s="103" t="e">
        <f t="shared" si="9"/>
        <v>#NUM!</v>
      </c>
      <c r="L124" s="103"/>
      <c r="M124" s="105">
        <f t="shared" si="10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 x14ac:dyDescent="0.25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7"/>
        <v/>
      </c>
      <c r="J125" s="104" t="e">
        <f t="shared" si="8"/>
        <v>#NUM!</v>
      </c>
      <c r="K125" s="103" t="e">
        <f t="shared" si="9"/>
        <v>#NUM!</v>
      </c>
      <c r="L125" s="103"/>
      <c r="M125" s="105">
        <f t="shared" si="10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 x14ac:dyDescent="0.25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7"/>
        <v/>
      </c>
      <c r="J126" s="104" t="e">
        <f t="shared" si="8"/>
        <v>#NUM!</v>
      </c>
      <c r="K126" s="103" t="e">
        <f t="shared" si="9"/>
        <v>#NUM!</v>
      </c>
      <c r="L126" s="103"/>
      <c r="M126" s="105">
        <f t="shared" si="10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 x14ac:dyDescent="0.25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7"/>
        <v/>
      </c>
      <c r="J127" s="104" t="e">
        <f t="shared" si="8"/>
        <v>#NUM!</v>
      </c>
      <c r="K127" s="103" t="e">
        <f t="shared" si="9"/>
        <v>#NUM!</v>
      </c>
      <c r="L127" s="103"/>
      <c r="M127" s="105">
        <f t="shared" si="10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 x14ac:dyDescent="0.25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7"/>
        <v/>
      </c>
      <c r="J128" s="104" t="e">
        <f t="shared" si="8"/>
        <v>#NUM!</v>
      </c>
      <c r="K128" s="103" t="e">
        <f t="shared" si="9"/>
        <v>#NUM!</v>
      </c>
      <c r="L128" s="103"/>
      <c r="M128" s="105">
        <f t="shared" si="10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 x14ac:dyDescent="0.25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7"/>
        <v/>
      </c>
      <c r="J129" s="104" t="e">
        <f t="shared" si="8"/>
        <v>#NUM!</v>
      </c>
      <c r="K129" s="103" t="e">
        <f t="shared" si="9"/>
        <v>#NUM!</v>
      </c>
      <c r="L129" s="103"/>
      <c r="M129" s="105">
        <f t="shared" si="10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 x14ac:dyDescent="0.25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7"/>
        <v/>
      </c>
      <c r="J130" s="104" t="e">
        <f t="shared" si="8"/>
        <v>#NUM!</v>
      </c>
      <c r="K130" s="103" t="e">
        <f t="shared" si="9"/>
        <v>#NUM!</v>
      </c>
      <c r="L130" s="103"/>
      <c r="M130" s="105">
        <f t="shared" si="10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 x14ac:dyDescent="0.25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7"/>
        <v/>
      </c>
      <c r="J131" s="104" t="e">
        <f t="shared" si="8"/>
        <v>#NUM!</v>
      </c>
      <c r="K131" s="103" t="e">
        <f t="shared" si="9"/>
        <v>#NUM!</v>
      </c>
      <c r="L131" s="103"/>
      <c r="M131" s="105">
        <f t="shared" si="10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 x14ac:dyDescent="0.25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7"/>
        <v/>
      </c>
      <c r="J132" s="104" t="e">
        <f t="shared" si="8"/>
        <v>#NUM!</v>
      </c>
      <c r="K132" s="103" t="e">
        <f t="shared" si="9"/>
        <v>#NUM!</v>
      </c>
      <c r="L132" s="103"/>
      <c r="M132" s="105">
        <f t="shared" si="10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 x14ac:dyDescent="0.25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7"/>
        <v/>
      </c>
      <c r="J133" s="104" t="e">
        <f t="shared" si="8"/>
        <v>#NUM!</v>
      </c>
      <c r="K133" s="103" t="e">
        <f t="shared" si="9"/>
        <v>#NUM!</v>
      </c>
      <c r="L133" s="103"/>
      <c r="M133" s="105">
        <f t="shared" si="10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 x14ac:dyDescent="0.25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1">IF(H134&lt;$H$2+1,($I$2-($I$2-1)*(LOG(H134)/LOG($H$2))),"")</f>
        <v/>
      </c>
      <c r="J134" s="104" t="e">
        <f t="shared" ref="J134:J197" si="12">INT(LOG($H$2,2))-ROUNDUP(LOG(H134,2),0)+IF(OR($H$2=1,$H$2=2,$H$2=4,$H$2=8,$H$2=16,$H$2=32,$H$2=64,$H$2=128,$H$2=256),0,1)</f>
        <v>#NUM!</v>
      </c>
      <c r="K134" s="103" t="e">
        <f t="shared" ref="K134:K197" si="13">J134*$J$2</f>
        <v>#NUM!</v>
      </c>
      <c r="L134" s="103"/>
      <c r="M134" s="105">
        <f t="shared" ref="M134:M197" si="14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 x14ac:dyDescent="0.25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1"/>
        <v/>
      </c>
      <c r="J135" s="104" t="e">
        <f t="shared" si="12"/>
        <v>#NUM!</v>
      </c>
      <c r="K135" s="103" t="e">
        <f t="shared" si="13"/>
        <v>#NUM!</v>
      </c>
      <c r="L135" s="103"/>
      <c r="M135" s="105">
        <f t="shared" si="14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 x14ac:dyDescent="0.25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1"/>
        <v/>
      </c>
      <c r="J136" s="104" t="e">
        <f t="shared" si="12"/>
        <v>#NUM!</v>
      </c>
      <c r="K136" s="103" t="e">
        <f t="shared" si="13"/>
        <v>#NUM!</v>
      </c>
      <c r="L136" s="103"/>
      <c r="M136" s="105">
        <f t="shared" si="14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 x14ac:dyDescent="0.25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1"/>
        <v/>
      </c>
      <c r="J137" s="104" t="e">
        <f t="shared" si="12"/>
        <v>#NUM!</v>
      </c>
      <c r="K137" s="103" t="e">
        <f t="shared" si="13"/>
        <v>#NUM!</v>
      </c>
      <c r="L137" s="103"/>
      <c r="M137" s="105">
        <f t="shared" si="14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 x14ac:dyDescent="0.25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1"/>
        <v/>
      </c>
      <c r="J138" s="104" t="e">
        <f t="shared" si="12"/>
        <v>#NUM!</v>
      </c>
      <c r="K138" s="103" t="e">
        <f t="shared" si="13"/>
        <v>#NUM!</v>
      </c>
      <c r="L138" s="103"/>
      <c r="M138" s="105">
        <f t="shared" si="14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 x14ac:dyDescent="0.25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1"/>
        <v/>
      </c>
      <c r="J139" s="104" t="e">
        <f t="shared" si="12"/>
        <v>#NUM!</v>
      </c>
      <c r="K139" s="103" t="e">
        <f t="shared" si="13"/>
        <v>#NUM!</v>
      </c>
      <c r="L139" s="103"/>
      <c r="M139" s="105">
        <f t="shared" si="14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 x14ac:dyDescent="0.25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1"/>
        <v/>
      </c>
      <c r="J140" s="104" t="e">
        <f t="shared" si="12"/>
        <v>#NUM!</v>
      </c>
      <c r="K140" s="103" t="e">
        <f t="shared" si="13"/>
        <v>#NUM!</v>
      </c>
      <c r="L140" s="103"/>
      <c r="M140" s="105">
        <f t="shared" si="14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 x14ac:dyDescent="0.25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1"/>
        <v/>
      </c>
      <c r="J141" s="104" t="e">
        <f t="shared" si="12"/>
        <v>#NUM!</v>
      </c>
      <c r="K141" s="103" t="e">
        <f t="shared" si="13"/>
        <v>#NUM!</v>
      </c>
      <c r="L141" s="103"/>
      <c r="M141" s="105">
        <f t="shared" si="14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 x14ac:dyDescent="0.25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1"/>
        <v/>
      </c>
      <c r="J142" s="104" t="e">
        <f t="shared" si="12"/>
        <v>#NUM!</v>
      </c>
      <c r="K142" s="103" t="e">
        <f t="shared" si="13"/>
        <v>#NUM!</v>
      </c>
      <c r="L142" s="103"/>
      <c r="M142" s="105">
        <f t="shared" si="14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 x14ac:dyDescent="0.25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1"/>
        <v/>
      </c>
      <c r="J143" s="104" t="e">
        <f t="shared" si="12"/>
        <v>#NUM!</v>
      </c>
      <c r="K143" s="103" t="e">
        <f t="shared" si="13"/>
        <v>#NUM!</v>
      </c>
      <c r="L143" s="103"/>
      <c r="M143" s="105">
        <f t="shared" si="14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 x14ac:dyDescent="0.25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1"/>
        <v/>
      </c>
      <c r="J144" s="104" t="e">
        <f t="shared" si="12"/>
        <v>#NUM!</v>
      </c>
      <c r="K144" s="103" t="e">
        <f t="shared" si="13"/>
        <v>#NUM!</v>
      </c>
      <c r="L144" s="103"/>
      <c r="M144" s="105">
        <f t="shared" si="14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 x14ac:dyDescent="0.25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1"/>
        <v/>
      </c>
      <c r="J145" s="104" t="e">
        <f t="shared" si="12"/>
        <v>#NUM!</v>
      </c>
      <c r="K145" s="103" t="e">
        <f t="shared" si="13"/>
        <v>#NUM!</v>
      </c>
      <c r="L145" s="103"/>
      <c r="M145" s="105">
        <f t="shared" si="14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 x14ac:dyDescent="0.25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1"/>
        <v/>
      </c>
      <c r="J146" s="104" t="e">
        <f t="shared" si="12"/>
        <v>#NUM!</v>
      </c>
      <c r="K146" s="103" t="e">
        <f t="shared" si="13"/>
        <v>#NUM!</v>
      </c>
      <c r="L146" s="103"/>
      <c r="M146" s="105">
        <f t="shared" si="14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 x14ac:dyDescent="0.25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1"/>
        <v/>
      </c>
      <c r="J147" s="104" t="e">
        <f t="shared" si="12"/>
        <v>#NUM!</v>
      </c>
      <c r="K147" s="103" t="e">
        <f t="shared" si="13"/>
        <v>#NUM!</v>
      </c>
      <c r="L147" s="103"/>
      <c r="M147" s="105">
        <f t="shared" si="14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 x14ac:dyDescent="0.25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1"/>
        <v/>
      </c>
      <c r="J148" s="104" t="e">
        <f t="shared" si="12"/>
        <v>#NUM!</v>
      </c>
      <c r="K148" s="103" t="e">
        <f t="shared" si="13"/>
        <v>#NUM!</v>
      </c>
      <c r="L148" s="103"/>
      <c r="M148" s="105">
        <f t="shared" si="14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 x14ac:dyDescent="0.25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1"/>
        <v/>
      </c>
      <c r="J149" s="104" t="e">
        <f t="shared" si="12"/>
        <v>#NUM!</v>
      </c>
      <c r="K149" s="103" t="e">
        <f t="shared" si="13"/>
        <v>#NUM!</v>
      </c>
      <c r="L149" s="103"/>
      <c r="M149" s="105">
        <f t="shared" si="14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 x14ac:dyDescent="0.25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1"/>
        <v/>
      </c>
      <c r="J150" s="104" t="e">
        <f t="shared" si="12"/>
        <v>#NUM!</v>
      </c>
      <c r="K150" s="103" t="e">
        <f t="shared" si="13"/>
        <v>#NUM!</v>
      </c>
      <c r="L150" s="103"/>
      <c r="M150" s="105">
        <f t="shared" si="14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 x14ac:dyDescent="0.25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1"/>
        <v/>
      </c>
      <c r="J151" s="104" t="e">
        <f t="shared" si="12"/>
        <v>#NUM!</v>
      </c>
      <c r="K151" s="103" t="e">
        <f t="shared" si="13"/>
        <v>#NUM!</v>
      </c>
      <c r="L151" s="103"/>
      <c r="M151" s="105">
        <f t="shared" si="14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 x14ac:dyDescent="0.25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1"/>
        <v/>
      </c>
      <c r="J152" s="104" t="e">
        <f t="shared" si="12"/>
        <v>#NUM!</v>
      </c>
      <c r="K152" s="103" t="e">
        <f t="shared" si="13"/>
        <v>#NUM!</v>
      </c>
      <c r="L152" s="103"/>
      <c r="M152" s="105">
        <f t="shared" si="14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 x14ac:dyDescent="0.25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1"/>
        <v/>
      </c>
      <c r="J153" s="104" t="e">
        <f t="shared" si="12"/>
        <v>#NUM!</v>
      </c>
      <c r="K153" s="103" t="e">
        <f t="shared" si="13"/>
        <v>#NUM!</v>
      </c>
      <c r="L153" s="103"/>
      <c r="M153" s="105">
        <f t="shared" si="14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 x14ac:dyDescent="0.25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1"/>
        <v/>
      </c>
      <c r="J154" s="104" t="e">
        <f t="shared" si="12"/>
        <v>#NUM!</v>
      </c>
      <c r="K154" s="103" t="e">
        <f t="shared" si="13"/>
        <v>#NUM!</v>
      </c>
      <c r="L154" s="103"/>
      <c r="M154" s="105">
        <f t="shared" si="14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 x14ac:dyDescent="0.25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1"/>
        <v/>
      </c>
      <c r="J155" s="104" t="e">
        <f t="shared" si="12"/>
        <v>#NUM!</v>
      </c>
      <c r="K155" s="103" t="e">
        <f t="shared" si="13"/>
        <v>#NUM!</v>
      </c>
      <c r="L155" s="103"/>
      <c r="M155" s="105">
        <f t="shared" si="14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 x14ac:dyDescent="0.25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1"/>
        <v/>
      </c>
      <c r="J156" s="104" t="e">
        <f t="shared" si="12"/>
        <v>#NUM!</v>
      </c>
      <c r="K156" s="103" t="e">
        <f t="shared" si="13"/>
        <v>#NUM!</v>
      </c>
      <c r="L156" s="103"/>
      <c r="M156" s="105">
        <f t="shared" si="14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 x14ac:dyDescent="0.25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1"/>
        <v/>
      </c>
      <c r="J157" s="104" t="e">
        <f t="shared" si="12"/>
        <v>#NUM!</v>
      </c>
      <c r="K157" s="103" t="e">
        <f t="shared" si="13"/>
        <v>#NUM!</v>
      </c>
      <c r="L157" s="103"/>
      <c r="M157" s="105">
        <f t="shared" si="14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 x14ac:dyDescent="0.25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1"/>
        <v/>
      </c>
      <c r="J158" s="104" t="e">
        <f t="shared" si="12"/>
        <v>#NUM!</v>
      </c>
      <c r="K158" s="103" t="e">
        <f t="shared" si="13"/>
        <v>#NUM!</v>
      </c>
      <c r="L158" s="103"/>
      <c r="M158" s="105">
        <f t="shared" si="14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 x14ac:dyDescent="0.25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1"/>
        <v/>
      </c>
      <c r="J159" s="104" t="e">
        <f t="shared" si="12"/>
        <v>#NUM!</v>
      </c>
      <c r="K159" s="103" t="e">
        <f t="shared" si="13"/>
        <v>#NUM!</v>
      </c>
      <c r="L159" s="103"/>
      <c r="M159" s="105">
        <f t="shared" si="14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 x14ac:dyDescent="0.25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1"/>
        <v/>
      </c>
      <c r="J160" s="104" t="e">
        <f t="shared" si="12"/>
        <v>#NUM!</v>
      </c>
      <c r="K160" s="103" t="e">
        <f t="shared" si="13"/>
        <v>#NUM!</v>
      </c>
      <c r="L160" s="103"/>
      <c r="M160" s="105">
        <f t="shared" si="14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 x14ac:dyDescent="0.25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1"/>
        <v/>
      </c>
      <c r="J161" s="104" t="e">
        <f t="shared" si="12"/>
        <v>#NUM!</v>
      </c>
      <c r="K161" s="103" t="e">
        <f t="shared" si="13"/>
        <v>#NUM!</v>
      </c>
      <c r="L161" s="103"/>
      <c r="M161" s="105">
        <f t="shared" si="14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 x14ac:dyDescent="0.25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1"/>
        <v/>
      </c>
      <c r="J162" s="104" t="e">
        <f t="shared" si="12"/>
        <v>#NUM!</v>
      </c>
      <c r="K162" s="103" t="e">
        <f t="shared" si="13"/>
        <v>#NUM!</v>
      </c>
      <c r="L162" s="103"/>
      <c r="M162" s="105">
        <f t="shared" si="14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 x14ac:dyDescent="0.25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1"/>
        <v/>
      </c>
      <c r="J163" s="104" t="e">
        <f t="shared" si="12"/>
        <v>#NUM!</v>
      </c>
      <c r="K163" s="103" t="e">
        <f t="shared" si="13"/>
        <v>#NUM!</v>
      </c>
      <c r="L163" s="103"/>
      <c r="M163" s="105">
        <f t="shared" si="14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 x14ac:dyDescent="0.25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1"/>
        <v/>
      </c>
      <c r="J164" s="104" t="e">
        <f t="shared" si="12"/>
        <v>#NUM!</v>
      </c>
      <c r="K164" s="103" t="e">
        <f t="shared" si="13"/>
        <v>#NUM!</v>
      </c>
      <c r="L164" s="103"/>
      <c r="M164" s="105">
        <f t="shared" si="14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 x14ac:dyDescent="0.25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1"/>
        <v/>
      </c>
      <c r="J165" s="104" t="e">
        <f t="shared" si="12"/>
        <v>#NUM!</v>
      </c>
      <c r="K165" s="103" t="e">
        <f t="shared" si="13"/>
        <v>#NUM!</v>
      </c>
      <c r="L165" s="103"/>
      <c r="M165" s="105">
        <f t="shared" si="14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 x14ac:dyDescent="0.25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1"/>
        <v/>
      </c>
      <c r="J166" s="104" t="e">
        <f t="shared" si="12"/>
        <v>#NUM!</v>
      </c>
      <c r="K166" s="103" t="e">
        <f t="shared" si="13"/>
        <v>#NUM!</v>
      </c>
      <c r="L166" s="103"/>
      <c r="M166" s="105">
        <f t="shared" si="14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 x14ac:dyDescent="0.25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1"/>
        <v/>
      </c>
      <c r="J167" s="104" t="e">
        <f t="shared" si="12"/>
        <v>#NUM!</v>
      </c>
      <c r="K167" s="103" t="e">
        <f t="shared" si="13"/>
        <v>#NUM!</v>
      </c>
      <c r="L167" s="103"/>
      <c r="M167" s="105">
        <f t="shared" si="14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 x14ac:dyDescent="0.25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1"/>
        <v/>
      </c>
      <c r="J168" s="104" t="e">
        <f t="shared" si="12"/>
        <v>#NUM!</v>
      </c>
      <c r="K168" s="103" t="e">
        <f t="shared" si="13"/>
        <v>#NUM!</v>
      </c>
      <c r="L168" s="103"/>
      <c r="M168" s="105">
        <f t="shared" si="14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 x14ac:dyDescent="0.25">
      <c r="A169" s="124"/>
      <c r="B169" s="123"/>
      <c r="C169" s="123" t="s">
        <v>53</v>
      </c>
      <c r="D169" s="123"/>
      <c r="E169" s="123"/>
      <c r="F169" s="123"/>
      <c r="H169" s="103">
        <v>164</v>
      </c>
      <c r="I169" s="104" t="str">
        <f t="shared" si="11"/>
        <v/>
      </c>
      <c r="J169" s="104" t="e">
        <f t="shared" si="12"/>
        <v>#NUM!</v>
      </c>
      <c r="K169" s="103" t="e">
        <f t="shared" si="13"/>
        <v>#NUM!</v>
      </c>
      <c r="L169" s="103"/>
      <c r="M169" s="105">
        <f t="shared" si="14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 x14ac:dyDescent="0.25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1"/>
        <v/>
      </c>
      <c r="J170" s="104" t="e">
        <f t="shared" si="12"/>
        <v>#NUM!</v>
      </c>
      <c r="K170" s="103" t="e">
        <f t="shared" si="13"/>
        <v>#NUM!</v>
      </c>
      <c r="L170" s="103"/>
      <c r="M170" s="105">
        <f t="shared" si="14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 x14ac:dyDescent="0.25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1"/>
        <v/>
      </c>
      <c r="J171" s="104" t="e">
        <f t="shared" si="12"/>
        <v>#NUM!</v>
      </c>
      <c r="K171" s="103" t="e">
        <f t="shared" si="13"/>
        <v>#NUM!</v>
      </c>
      <c r="L171" s="103"/>
      <c r="M171" s="105">
        <f t="shared" si="14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 x14ac:dyDescent="0.25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1"/>
        <v/>
      </c>
      <c r="J172" s="104" t="e">
        <f t="shared" si="12"/>
        <v>#NUM!</v>
      </c>
      <c r="K172" s="103" t="e">
        <f t="shared" si="13"/>
        <v>#NUM!</v>
      </c>
      <c r="L172" s="103"/>
      <c r="M172" s="105">
        <f t="shared" si="14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 x14ac:dyDescent="0.25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1"/>
        <v/>
      </c>
      <c r="J173" s="104" t="e">
        <f t="shared" si="12"/>
        <v>#NUM!</v>
      </c>
      <c r="K173" s="103" t="e">
        <f t="shared" si="13"/>
        <v>#NUM!</v>
      </c>
      <c r="L173" s="103"/>
      <c r="M173" s="105">
        <f t="shared" si="14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 x14ac:dyDescent="0.25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1"/>
        <v/>
      </c>
      <c r="J174" s="104" t="e">
        <f t="shared" si="12"/>
        <v>#NUM!</v>
      </c>
      <c r="K174" s="103" t="e">
        <f t="shared" si="13"/>
        <v>#NUM!</v>
      </c>
      <c r="L174" s="103"/>
      <c r="M174" s="105">
        <f t="shared" si="14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 x14ac:dyDescent="0.25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1"/>
        <v/>
      </c>
      <c r="J175" s="104" t="e">
        <f t="shared" si="12"/>
        <v>#NUM!</v>
      </c>
      <c r="K175" s="103" t="e">
        <f t="shared" si="13"/>
        <v>#NUM!</v>
      </c>
      <c r="L175" s="103"/>
      <c r="M175" s="105">
        <f t="shared" si="14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 x14ac:dyDescent="0.25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1"/>
        <v/>
      </c>
      <c r="J176" s="104" t="e">
        <f t="shared" si="12"/>
        <v>#NUM!</v>
      </c>
      <c r="K176" s="103" t="e">
        <f t="shared" si="13"/>
        <v>#NUM!</v>
      </c>
      <c r="L176" s="103"/>
      <c r="M176" s="105">
        <f t="shared" si="14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 x14ac:dyDescent="0.25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1"/>
        <v/>
      </c>
      <c r="J177" s="104" t="e">
        <f t="shared" si="12"/>
        <v>#NUM!</v>
      </c>
      <c r="K177" s="103" t="e">
        <f t="shared" si="13"/>
        <v>#NUM!</v>
      </c>
      <c r="L177" s="103"/>
      <c r="M177" s="105">
        <f t="shared" si="14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 x14ac:dyDescent="0.25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1"/>
        <v/>
      </c>
      <c r="J178" s="104" t="e">
        <f t="shared" si="12"/>
        <v>#NUM!</v>
      </c>
      <c r="K178" s="103" t="e">
        <f t="shared" si="13"/>
        <v>#NUM!</v>
      </c>
      <c r="L178" s="103"/>
      <c r="M178" s="105">
        <f t="shared" si="14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 x14ac:dyDescent="0.25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1"/>
        <v/>
      </c>
      <c r="J179" s="104" t="e">
        <f t="shared" si="12"/>
        <v>#NUM!</v>
      </c>
      <c r="K179" s="103" t="e">
        <f t="shared" si="13"/>
        <v>#NUM!</v>
      </c>
      <c r="L179" s="103"/>
      <c r="M179" s="105">
        <f t="shared" si="14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 x14ac:dyDescent="0.25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1"/>
        <v/>
      </c>
      <c r="J180" s="104" t="e">
        <f t="shared" si="12"/>
        <v>#NUM!</v>
      </c>
      <c r="K180" s="103" t="e">
        <f t="shared" si="13"/>
        <v>#NUM!</v>
      </c>
      <c r="L180" s="103"/>
      <c r="M180" s="105">
        <f t="shared" si="14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 x14ac:dyDescent="0.25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1"/>
        <v/>
      </c>
      <c r="J181" s="104" t="e">
        <f t="shared" si="12"/>
        <v>#NUM!</v>
      </c>
      <c r="K181" s="103" t="e">
        <f t="shared" si="13"/>
        <v>#NUM!</v>
      </c>
      <c r="L181" s="103"/>
      <c r="M181" s="105">
        <f t="shared" si="14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 x14ac:dyDescent="0.25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1"/>
        <v/>
      </c>
      <c r="J182" s="104" t="e">
        <f t="shared" si="12"/>
        <v>#NUM!</v>
      </c>
      <c r="K182" s="103" t="e">
        <f t="shared" si="13"/>
        <v>#NUM!</v>
      </c>
      <c r="L182" s="103"/>
      <c r="M182" s="105">
        <f t="shared" si="14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 x14ac:dyDescent="0.25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1"/>
        <v/>
      </c>
      <c r="J183" s="104" t="e">
        <f t="shared" si="12"/>
        <v>#NUM!</v>
      </c>
      <c r="K183" s="103" t="e">
        <f t="shared" si="13"/>
        <v>#NUM!</v>
      </c>
      <c r="L183" s="103"/>
      <c r="M183" s="105">
        <f t="shared" si="14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 x14ac:dyDescent="0.25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1"/>
        <v/>
      </c>
      <c r="J184" s="104" t="e">
        <f t="shared" si="12"/>
        <v>#NUM!</v>
      </c>
      <c r="K184" s="103" t="e">
        <f t="shared" si="13"/>
        <v>#NUM!</v>
      </c>
      <c r="L184" s="103"/>
      <c r="M184" s="105">
        <f t="shared" si="14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 x14ac:dyDescent="0.25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1"/>
        <v/>
      </c>
      <c r="J185" s="104" t="e">
        <f t="shared" si="12"/>
        <v>#NUM!</v>
      </c>
      <c r="K185" s="103" t="e">
        <f t="shared" si="13"/>
        <v>#NUM!</v>
      </c>
      <c r="L185" s="103"/>
      <c r="M185" s="105">
        <f t="shared" si="14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 x14ac:dyDescent="0.25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1"/>
        <v/>
      </c>
      <c r="J186" s="104" t="e">
        <f t="shared" si="12"/>
        <v>#NUM!</v>
      </c>
      <c r="K186" s="103" t="e">
        <f t="shared" si="13"/>
        <v>#NUM!</v>
      </c>
      <c r="L186" s="103"/>
      <c r="M186" s="105">
        <f t="shared" si="14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 x14ac:dyDescent="0.25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1"/>
        <v/>
      </c>
      <c r="J187" s="104" t="e">
        <f t="shared" si="12"/>
        <v>#NUM!</v>
      </c>
      <c r="K187" s="103" t="e">
        <f t="shared" si="13"/>
        <v>#NUM!</v>
      </c>
      <c r="L187" s="103"/>
      <c r="M187" s="105">
        <f t="shared" si="14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 x14ac:dyDescent="0.25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1"/>
        <v/>
      </c>
      <c r="J188" s="104" t="e">
        <f t="shared" si="12"/>
        <v>#NUM!</v>
      </c>
      <c r="K188" s="103" t="e">
        <f t="shared" si="13"/>
        <v>#NUM!</v>
      </c>
      <c r="L188" s="103"/>
      <c r="M188" s="105">
        <f t="shared" si="14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 x14ac:dyDescent="0.25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1"/>
        <v/>
      </c>
      <c r="J189" s="104" t="e">
        <f t="shared" si="12"/>
        <v>#NUM!</v>
      </c>
      <c r="K189" s="103" t="e">
        <f t="shared" si="13"/>
        <v>#NUM!</v>
      </c>
      <c r="L189" s="103"/>
      <c r="M189" s="105">
        <f t="shared" si="14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 x14ac:dyDescent="0.25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1"/>
        <v/>
      </c>
      <c r="J190" s="104" t="e">
        <f t="shared" si="12"/>
        <v>#NUM!</v>
      </c>
      <c r="K190" s="103" t="e">
        <f t="shared" si="13"/>
        <v>#NUM!</v>
      </c>
      <c r="L190" s="103"/>
      <c r="M190" s="105">
        <f t="shared" si="14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 x14ac:dyDescent="0.25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1"/>
        <v/>
      </c>
      <c r="J191" s="104" t="e">
        <f t="shared" si="12"/>
        <v>#NUM!</v>
      </c>
      <c r="K191" s="103" t="e">
        <f t="shared" si="13"/>
        <v>#NUM!</v>
      </c>
      <c r="L191" s="103"/>
      <c r="M191" s="105">
        <f t="shared" si="14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 x14ac:dyDescent="0.25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1"/>
        <v/>
      </c>
      <c r="J192" s="104" t="e">
        <f t="shared" si="12"/>
        <v>#NUM!</v>
      </c>
      <c r="K192" s="103" t="e">
        <f t="shared" si="13"/>
        <v>#NUM!</v>
      </c>
      <c r="L192" s="103"/>
      <c r="M192" s="105">
        <f t="shared" si="14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 x14ac:dyDescent="0.25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1"/>
        <v/>
      </c>
      <c r="J193" s="104" t="e">
        <f t="shared" si="12"/>
        <v>#NUM!</v>
      </c>
      <c r="K193" s="103" t="e">
        <f t="shared" si="13"/>
        <v>#NUM!</v>
      </c>
      <c r="L193" s="103"/>
      <c r="M193" s="105">
        <f t="shared" si="14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 x14ac:dyDescent="0.25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1"/>
        <v/>
      </c>
      <c r="J194" s="104" t="e">
        <f t="shared" si="12"/>
        <v>#NUM!</v>
      </c>
      <c r="K194" s="103" t="e">
        <f t="shared" si="13"/>
        <v>#NUM!</v>
      </c>
      <c r="L194" s="103"/>
      <c r="M194" s="105">
        <f t="shared" si="14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 x14ac:dyDescent="0.25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1"/>
        <v/>
      </c>
      <c r="J195" s="104" t="e">
        <f t="shared" si="12"/>
        <v>#NUM!</v>
      </c>
      <c r="K195" s="103" t="e">
        <f t="shared" si="13"/>
        <v>#NUM!</v>
      </c>
      <c r="L195" s="103"/>
      <c r="M195" s="105">
        <f t="shared" si="14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 x14ac:dyDescent="0.25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1"/>
        <v/>
      </c>
      <c r="J196" s="104" t="e">
        <f t="shared" si="12"/>
        <v>#NUM!</v>
      </c>
      <c r="K196" s="103" t="e">
        <f t="shared" si="13"/>
        <v>#NUM!</v>
      </c>
      <c r="L196" s="103"/>
      <c r="M196" s="105">
        <f t="shared" si="14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 x14ac:dyDescent="0.25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1"/>
        <v/>
      </c>
      <c r="J197" s="104" t="e">
        <f t="shared" si="12"/>
        <v>#NUM!</v>
      </c>
      <c r="K197" s="103" t="e">
        <f t="shared" si="13"/>
        <v>#NUM!</v>
      </c>
      <c r="L197" s="103"/>
      <c r="M197" s="105">
        <f t="shared" si="14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 x14ac:dyDescent="0.25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5">IF(H198&lt;$H$2+1,($I$2-($I$2-1)*(LOG(H198)/LOG($H$2))),"")</f>
        <v/>
      </c>
      <c r="J198" s="104" t="e">
        <f t="shared" ref="J198:J261" si="16">INT(LOG($H$2,2))-ROUNDUP(LOG(H198,2),0)+IF(OR($H$2=1,$H$2=2,$H$2=4,$H$2=8,$H$2=16,$H$2=32,$H$2=64,$H$2=128,$H$2=256),0,1)</f>
        <v>#NUM!</v>
      </c>
      <c r="K198" s="103" t="e">
        <f t="shared" ref="K198:K261" si="17">J198*$J$2</f>
        <v>#NUM!</v>
      </c>
      <c r="L198" s="103"/>
      <c r="M198" s="105">
        <f t="shared" ref="M198:M261" si="18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 x14ac:dyDescent="0.25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5"/>
        <v/>
      </c>
      <c r="J199" s="104" t="e">
        <f t="shared" si="16"/>
        <v>#NUM!</v>
      </c>
      <c r="K199" s="103" t="e">
        <f t="shared" si="17"/>
        <v>#NUM!</v>
      </c>
      <c r="L199" s="103"/>
      <c r="M199" s="105">
        <f t="shared" si="18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 x14ac:dyDescent="0.25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5"/>
        <v/>
      </c>
      <c r="J200" s="104" t="e">
        <f t="shared" si="16"/>
        <v>#NUM!</v>
      </c>
      <c r="K200" s="103" t="e">
        <f t="shared" si="17"/>
        <v>#NUM!</v>
      </c>
      <c r="L200" s="103"/>
      <c r="M200" s="105">
        <f t="shared" si="18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 x14ac:dyDescent="0.25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5"/>
        <v/>
      </c>
      <c r="J201" s="104" t="e">
        <f t="shared" si="16"/>
        <v>#NUM!</v>
      </c>
      <c r="K201" s="103" t="e">
        <f t="shared" si="17"/>
        <v>#NUM!</v>
      </c>
      <c r="L201" s="103"/>
      <c r="M201" s="105">
        <f t="shared" si="18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 x14ac:dyDescent="0.25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5"/>
        <v/>
      </c>
      <c r="J202" s="104" t="e">
        <f t="shared" si="16"/>
        <v>#NUM!</v>
      </c>
      <c r="K202" s="103" t="e">
        <f t="shared" si="17"/>
        <v>#NUM!</v>
      </c>
      <c r="L202" s="103"/>
      <c r="M202" s="105">
        <f t="shared" si="18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 x14ac:dyDescent="0.25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5"/>
        <v/>
      </c>
      <c r="J203" s="104" t="e">
        <f t="shared" si="16"/>
        <v>#NUM!</v>
      </c>
      <c r="K203" s="103" t="e">
        <f t="shared" si="17"/>
        <v>#NUM!</v>
      </c>
      <c r="L203" s="103"/>
      <c r="M203" s="105">
        <f t="shared" si="18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 x14ac:dyDescent="0.25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5"/>
        <v/>
      </c>
      <c r="J204" s="104" t="e">
        <f t="shared" si="16"/>
        <v>#NUM!</v>
      </c>
      <c r="K204" s="103" t="e">
        <f t="shared" si="17"/>
        <v>#NUM!</v>
      </c>
      <c r="L204" s="103"/>
      <c r="M204" s="105">
        <f t="shared" si="18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 x14ac:dyDescent="0.25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5"/>
        <v/>
      </c>
      <c r="J205" s="104" t="e">
        <f t="shared" si="16"/>
        <v>#NUM!</v>
      </c>
      <c r="K205" s="103" t="e">
        <f t="shared" si="17"/>
        <v>#NUM!</v>
      </c>
      <c r="L205" s="103"/>
      <c r="M205" s="105">
        <f t="shared" si="18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 x14ac:dyDescent="0.25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5"/>
        <v/>
      </c>
      <c r="J206" s="104" t="e">
        <f t="shared" si="16"/>
        <v>#NUM!</v>
      </c>
      <c r="K206" s="103" t="e">
        <f t="shared" si="17"/>
        <v>#NUM!</v>
      </c>
      <c r="L206" s="103"/>
      <c r="M206" s="105">
        <f t="shared" si="18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 x14ac:dyDescent="0.25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5"/>
        <v/>
      </c>
      <c r="J207" s="104" t="e">
        <f t="shared" si="16"/>
        <v>#NUM!</v>
      </c>
      <c r="K207" s="103" t="e">
        <f t="shared" si="17"/>
        <v>#NUM!</v>
      </c>
      <c r="L207" s="103"/>
      <c r="M207" s="105">
        <f t="shared" si="18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 x14ac:dyDescent="0.25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5"/>
        <v/>
      </c>
      <c r="J208" s="104" t="e">
        <f t="shared" si="16"/>
        <v>#NUM!</v>
      </c>
      <c r="K208" s="103" t="e">
        <f t="shared" si="17"/>
        <v>#NUM!</v>
      </c>
      <c r="L208" s="103"/>
      <c r="M208" s="105">
        <f t="shared" si="18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 x14ac:dyDescent="0.25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5"/>
        <v/>
      </c>
      <c r="J209" s="104" t="e">
        <f t="shared" si="16"/>
        <v>#NUM!</v>
      </c>
      <c r="K209" s="103" t="e">
        <f t="shared" si="17"/>
        <v>#NUM!</v>
      </c>
      <c r="L209" s="103"/>
      <c r="M209" s="105">
        <f t="shared" si="18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 x14ac:dyDescent="0.25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5"/>
        <v/>
      </c>
      <c r="J210" s="104" t="e">
        <f t="shared" si="16"/>
        <v>#NUM!</v>
      </c>
      <c r="K210" s="103" t="e">
        <f t="shared" si="17"/>
        <v>#NUM!</v>
      </c>
      <c r="L210" s="103"/>
      <c r="M210" s="105">
        <f t="shared" si="18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 x14ac:dyDescent="0.25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5"/>
        <v/>
      </c>
      <c r="J211" s="104" t="e">
        <f t="shared" si="16"/>
        <v>#NUM!</v>
      </c>
      <c r="K211" s="103" t="e">
        <f t="shared" si="17"/>
        <v>#NUM!</v>
      </c>
      <c r="L211" s="103"/>
      <c r="M211" s="105">
        <f t="shared" si="18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 x14ac:dyDescent="0.25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5"/>
        <v/>
      </c>
      <c r="J212" s="104" t="e">
        <f t="shared" si="16"/>
        <v>#NUM!</v>
      </c>
      <c r="K212" s="103" t="e">
        <f t="shared" si="17"/>
        <v>#NUM!</v>
      </c>
      <c r="L212" s="103"/>
      <c r="M212" s="105">
        <f t="shared" si="18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 x14ac:dyDescent="0.25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5"/>
        <v/>
      </c>
      <c r="J213" s="104" t="e">
        <f t="shared" si="16"/>
        <v>#NUM!</v>
      </c>
      <c r="K213" s="103" t="e">
        <f t="shared" si="17"/>
        <v>#NUM!</v>
      </c>
      <c r="L213" s="103"/>
      <c r="M213" s="105">
        <f t="shared" si="18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 x14ac:dyDescent="0.25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5"/>
        <v/>
      </c>
      <c r="J214" s="104" t="e">
        <f t="shared" si="16"/>
        <v>#NUM!</v>
      </c>
      <c r="K214" s="103" t="e">
        <f t="shared" si="17"/>
        <v>#NUM!</v>
      </c>
      <c r="L214" s="103"/>
      <c r="M214" s="105">
        <f t="shared" si="18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 x14ac:dyDescent="0.25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5"/>
        <v/>
      </c>
      <c r="J215" s="104" t="e">
        <f t="shared" si="16"/>
        <v>#NUM!</v>
      </c>
      <c r="K215" s="103" t="e">
        <f t="shared" si="17"/>
        <v>#NUM!</v>
      </c>
      <c r="L215" s="103"/>
      <c r="M215" s="105">
        <f t="shared" si="18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 x14ac:dyDescent="0.25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5"/>
        <v/>
      </c>
      <c r="J216" s="104" t="e">
        <f t="shared" si="16"/>
        <v>#NUM!</v>
      </c>
      <c r="K216" s="103" t="e">
        <f t="shared" si="17"/>
        <v>#NUM!</v>
      </c>
      <c r="L216" s="103"/>
      <c r="M216" s="105">
        <f t="shared" si="18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 x14ac:dyDescent="0.25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5"/>
        <v/>
      </c>
      <c r="J217" s="104" t="e">
        <f t="shared" si="16"/>
        <v>#NUM!</v>
      </c>
      <c r="K217" s="103" t="e">
        <f t="shared" si="17"/>
        <v>#NUM!</v>
      </c>
      <c r="L217" s="103"/>
      <c r="M217" s="105">
        <f t="shared" si="18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 x14ac:dyDescent="0.25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5"/>
        <v/>
      </c>
      <c r="J218" s="104" t="e">
        <f t="shared" si="16"/>
        <v>#NUM!</v>
      </c>
      <c r="K218" s="103" t="e">
        <f t="shared" si="17"/>
        <v>#NUM!</v>
      </c>
      <c r="L218" s="103"/>
      <c r="M218" s="105">
        <f t="shared" si="18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 x14ac:dyDescent="0.25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5"/>
        <v/>
      </c>
      <c r="J219" s="104" t="e">
        <f t="shared" si="16"/>
        <v>#NUM!</v>
      </c>
      <c r="K219" s="103" t="e">
        <f t="shared" si="17"/>
        <v>#NUM!</v>
      </c>
      <c r="L219" s="103"/>
      <c r="M219" s="105">
        <f t="shared" si="18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 x14ac:dyDescent="0.25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5"/>
        <v/>
      </c>
      <c r="J220" s="104" t="e">
        <f t="shared" si="16"/>
        <v>#NUM!</v>
      </c>
      <c r="K220" s="103" t="e">
        <f t="shared" si="17"/>
        <v>#NUM!</v>
      </c>
      <c r="L220" s="103"/>
      <c r="M220" s="105">
        <f t="shared" si="18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 x14ac:dyDescent="0.25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5"/>
        <v/>
      </c>
      <c r="J221" s="104" t="e">
        <f t="shared" si="16"/>
        <v>#NUM!</v>
      </c>
      <c r="K221" s="103" t="e">
        <f t="shared" si="17"/>
        <v>#NUM!</v>
      </c>
      <c r="L221" s="103"/>
      <c r="M221" s="105">
        <f t="shared" si="18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 x14ac:dyDescent="0.25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5"/>
        <v/>
      </c>
      <c r="J222" s="104" t="e">
        <f t="shared" si="16"/>
        <v>#NUM!</v>
      </c>
      <c r="K222" s="103" t="e">
        <f t="shared" si="17"/>
        <v>#NUM!</v>
      </c>
      <c r="L222" s="103"/>
      <c r="M222" s="105">
        <f t="shared" si="18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 x14ac:dyDescent="0.25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5"/>
        <v/>
      </c>
      <c r="J223" s="104" t="e">
        <f t="shared" si="16"/>
        <v>#NUM!</v>
      </c>
      <c r="K223" s="103" t="e">
        <f t="shared" si="17"/>
        <v>#NUM!</v>
      </c>
      <c r="L223" s="103"/>
      <c r="M223" s="105">
        <f t="shared" si="18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 x14ac:dyDescent="0.25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5"/>
        <v/>
      </c>
      <c r="J224" s="104" t="e">
        <f t="shared" si="16"/>
        <v>#NUM!</v>
      </c>
      <c r="K224" s="103" t="e">
        <f t="shared" si="17"/>
        <v>#NUM!</v>
      </c>
      <c r="L224" s="103"/>
      <c r="M224" s="105">
        <f t="shared" si="18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 x14ac:dyDescent="0.25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5"/>
        <v/>
      </c>
      <c r="J225" s="104" t="e">
        <f t="shared" si="16"/>
        <v>#NUM!</v>
      </c>
      <c r="K225" s="103" t="e">
        <f t="shared" si="17"/>
        <v>#NUM!</v>
      </c>
      <c r="L225" s="103"/>
      <c r="M225" s="105">
        <f t="shared" si="18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 x14ac:dyDescent="0.25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5"/>
        <v/>
      </c>
      <c r="J226" s="104" t="e">
        <f t="shared" si="16"/>
        <v>#NUM!</v>
      </c>
      <c r="K226" s="103" t="e">
        <f t="shared" si="17"/>
        <v>#NUM!</v>
      </c>
      <c r="L226" s="103"/>
      <c r="M226" s="105">
        <f t="shared" si="18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 x14ac:dyDescent="0.25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5"/>
        <v/>
      </c>
      <c r="J227" s="104" t="e">
        <f t="shared" si="16"/>
        <v>#NUM!</v>
      </c>
      <c r="K227" s="103" t="e">
        <f t="shared" si="17"/>
        <v>#NUM!</v>
      </c>
      <c r="L227" s="103"/>
      <c r="M227" s="105">
        <f t="shared" si="18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 x14ac:dyDescent="0.25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5"/>
        <v/>
      </c>
      <c r="J228" s="104" t="e">
        <f t="shared" si="16"/>
        <v>#NUM!</v>
      </c>
      <c r="K228" s="103" t="e">
        <f t="shared" si="17"/>
        <v>#NUM!</v>
      </c>
      <c r="L228" s="103"/>
      <c r="M228" s="105">
        <f t="shared" si="18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 x14ac:dyDescent="0.25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5"/>
        <v/>
      </c>
      <c r="J229" s="104" t="e">
        <f t="shared" si="16"/>
        <v>#NUM!</v>
      </c>
      <c r="K229" s="103" t="e">
        <f t="shared" si="17"/>
        <v>#NUM!</v>
      </c>
      <c r="L229" s="103"/>
      <c r="M229" s="105">
        <f t="shared" si="18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 x14ac:dyDescent="0.25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5"/>
        <v/>
      </c>
      <c r="J230" s="104" t="e">
        <f t="shared" si="16"/>
        <v>#NUM!</v>
      </c>
      <c r="K230" s="103" t="e">
        <f t="shared" si="17"/>
        <v>#NUM!</v>
      </c>
      <c r="L230" s="103"/>
      <c r="M230" s="105">
        <f t="shared" si="18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 x14ac:dyDescent="0.25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5"/>
        <v/>
      </c>
      <c r="J231" s="104" t="e">
        <f t="shared" si="16"/>
        <v>#NUM!</v>
      </c>
      <c r="K231" s="103" t="e">
        <f t="shared" si="17"/>
        <v>#NUM!</v>
      </c>
      <c r="L231" s="103"/>
      <c r="M231" s="105">
        <f t="shared" si="18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 x14ac:dyDescent="0.25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5"/>
        <v/>
      </c>
      <c r="J232" s="104" t="e">
        <f t="shared" si="16"/>
        <v>#NUM!</v>
      </c>
      <c r="K232" s="103" t="e">
        <f t="shared" si="17"/>
        <v>#NUM!</v>
      </c>
      <c r="L232" s="103"/>
      <c r="M232" s="105">
        <f t="shared" si="18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 x14ac:dyDescent="0.25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5"/>
        <v/>
      </c>
      <c r="J233" s="104" t="e">
        <f t="shared" si="16"/>
        <v>#NUM!</v>
      </c>
      <c r="K233" s="103" t="e">
        <f t="shared" si="17"/>
        <v>#NUM!</v>
      </c>
      <c r="L233" s="103"/>
      <c r="M233" s="105">
        <f t="shared" si="18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 x14ac:dyDescent="0.25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5"/>
        <v/>
      </c>
      <c r="J234" s="104" t="e">
        <f t="shared" si="16"/>
        <v>#NUM!</v>
      </c>
      <c r="K234" s="103" t="e">
        <f t="shared" si="17"/>
        <v>#NUM!</v>
      </c>
      <c r="L234" s="103"/>
      <c r="M234" s="105">
        <f t="shared" si="18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 x14ac:dyDescent="0.25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5"/>
        <v/>
      </c>
      <c r="J235" s="104" t="e">
        <f t="shared" si="16"/>
        <v>#NUM!</v>
      </c>
      <c r="K235" s="103" t="e">
        <f t="shared" si="17"/>
        <v>#NUM!</v>
      </c>
      <c r="L235" s="103"/>
      <c r="M235" s="105">
        <f t="shared" si="18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 x14ac:dyDescent="0.25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5"/>
        <v/>
      </c>
      <c r="J236" s="104" t="e">
        <f t="shared" si="16"/>
        <v>#NUM!</v>
      </c>
      <c r="K236" s="103" t="e">
        <f t="shared" si="17"/>
        <v>#NUM!</v>
      </c>
      <c r="L236" s="103"/>
      <c r="M236" s="105">
        <f t="shared" si="18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 x14ac:dyDescent="0.25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5"/>
        <v/>
      </c>
      <c r="J237" s="104" t="e">
        <f t="shared" si="16"/>
        <v>#NUM!</v>
      </c>
      <c r="K237" s="103" t="e">
        <f t="shared" si="17"/>
        <v>#NUM!</v>
      </c>
      <c r="L237" s="103"/>
      <c r="M237" s="105">
        <f t="shared" si="18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 x14ac:dyDescent="0.25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5"/>
        <v/>
      </c>
      <c r="J238" s="104" t="e">
        <f t="shared" si="16"/>
        <v>#NUM!</v>
      </c>
      <c r="K238" s="103" t="e">
        <f t="shared" si="17"/>
        <v>#NUM!</v>
      </c>
      <c r="L238" s="103"/>
      <c r="M238" s="105">
        <f t="shared" si="18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 x14ac:dyDescent="0.25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5"/>
        <v/>
      </c>
      <c r="J239" s="104" t="e">
        <f t="shared" si="16"/>
        <v>#NUM!</v>
      </c>
      <c r="K239" s="103" t="e">
        <f t="shared" si="17"/>
        <v>#NUM!</v>
      </c>
      <c r="L239" s="103"/>
      <c r="M239" s="105">
        <f t="shared" si="18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 x14ac:dyDescent="0.25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5"/>
        <v/>
      </c>
      <c r="J240" s="104" t="e">
        <f t="shared" si="16"/>
        <v>#NUM!</v>
      </c>
      <c r="K240" s="103" t="e">
        <f t="shared" si="17"/>
        <v>#NUM!</v>
      </c>
      <c r="L240" s="103"/>
      <c r="M240" s="105">
        <f t="shared" si="18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 x14ac:dyDescent="0.25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5"/>
        <v/>
      </c>
      <c r="J241" s="104" t="e">
        <f t="shared" si="16"/>
        <v>#NUM!</v>
      </c>
      <c r="K241" s="103" t="e">
        <f t="shared" si="17"/>
        <v>#NUM!</v>
      </c>
      <c r="L241" s="103"/>
      <c r="M241" s="105">
        <f t="shared" si="18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 x14ac:dyDescent="0.25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5"/>
        <v/>
      </c>
      <c r="J242" s="104" t="e">
        <f t="shared" si="16"/>
        <v>#NUM!</v>
      </c>
      <c r="K242" s="103" t="e">
        <f t="shared" si="17"/>
        <v>#NUM!</v>
      </c>
      <c r="L242" s="103"/>
      <c r="M242" s="105">
        <f t="shared" si="18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 x14ac:dyDescent="0.25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5"/>
        <v/>
      </c>
      <c r="J243" s="104" t="e">
        <f t="shared" si="16"/>
        <v>#NUM!</v>
      </c>
      <c r="K243" s="103" t="e">
        <f t="shared" si="17"/>
        <v>#NUM!</v>
      </c>
      <c r="L243" s="103"/>
      <c r="M243" s="105">
        <f t="shared" si="18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 x14ac:dyDescent="0.25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5"/>
        <v/>
      </c>
      <c r="J244" s="104" t="e">
        <f t="shared" si="16"/>
        <v>#NUM!</v>
      </c>
      <c r="K244" s="103" t="e">
        <f t="shared" si="17"/>
        <v>#NUM!</v>
      </c>
      <c r="L244" s="103"/>
      <c r="M244" s="105">
        <f t="shared" si="18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 x14ac:dyDescent="0.25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5"/>
        <v/>
      </c>
      <c r="J245" s="104" t="e">
        <f t="shared" si="16"/>
        <v>#NUM!</v>
      </c>
      <c r="K245" s="103" t="e">
        <f t="shared" si="17"/>
        <v>#NUM!</v>
      </c>
      <c r="L245" s="103"/>
      <c r="M245" s="105">
        <f t="shared" si="18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 x14ac:dyDescent="0.25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5"/>
        <v/>
      </c>
      <c r="J246" s="104" t="e">
        <f t="shared" si="16"/>
        <v>#NUM!</v>
      </c>
      <c r="K246" s="103" t="e">
        <f t="shared" si="17"/>
        <v>#NUM!</v>
      </c>
      <c r="L246" s="103"/>
      <c r="M246" s="105">
        <f t="shared" si="18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 x14ac:dyDescent="0.25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5"/>
        <v/>
      </c>
      <c r="J247" s="104" t="e">
        <f t="shared" si="16"/>
        <v>#NUM!</v>
      </c>
      <c r="K247" s="103" t="e">
        <f t="shared" si="17"/>
        <v>#NUM!</v>
      </c>
      <c r="L247" s="103"/>
      <c r="M247" s="105">
        <f t="shared" si="18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 x14ac:dyDescent="0.25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5"/>
        <v/>
      </c>
      <c r="J248" s="104" t="e">
        <f t="shared" si="16"/>
        <v>#NUM!</v>
      </c>
      <c r="K248" s="103" t="e">
        <f t="shared" si="17"/>
        <v>#NUM!</v>
      </c>
      <c r="L248" s="103"/>
      <c r="M248" s="105">
        <f t="shared" si="18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 x14ac:dyDescent="0.25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5"/>
        <v/>
      </c>
      <c r="J249" s="104" t="e">
        <f t="shared" si="16"/>
        <v>#NUM!</v>
      </c>
      <c r="K249" s="103" t="e">
        <f t="shared" si="17"/>
        <v>#NUM!</v>
      </c>
      <c r="L249" s="103"/>
      <c r="M249" s="105">
        <f t="shared" si="18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 x14ac:dyDescent="0.25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5"/>
        <v/>
      </c>
      <c r="J250" s="104" t="e">
        <f t="shared" si="16"/>
        <v>#NUM!</v>
      </c>
      <c r="K250" s="103" t="e">
        <f t="shared" si="17"/>
        <v>#NUM!</v>
      </c>
      <c r="L250" s="103"/>
      <c r="M250" s="105">
        <f t="shared" si="18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 x14ac:dyDescent="0.25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5"/>
        <v/>
      </c>
      <c r="J251" s="104" t="e">
        <f t="shared" si="16"/>
        <v>#NUM!</v>
      </c>
      <c r="K251" s="103" t="e">
        <f t="shared" si="17"/>
        <v>#NUM!</v>
      </c>
      <c r="L251" s="103"/>
      <c r="M251" s="105">
        <f t="shared" si="18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 x14ac:dyDescent="0.25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5"/>
        <v/>
      </c>
      <c r="J252" s="104" t="e">
        <f t="shared" si="16"/>
        <v>#NUM!</v>
      </c>
      <c r="K252" s="103" t="e">
        <f t="shared" si="17"/>
        <v>#NUM!</v>
      </c>
      <c r="L252" s="103"/>
      <c r="M252" s="105">
        <f t="shared" si="18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 x14ac:dyDescent="0.25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5"/>
        <v/>
      </c>
      <c r="J253" s="104" t="e">
        <f t="shared" si="16"/>
        <v>#NUM!</v>
      </c>
      <c r="K253" s="103" t="e">
        <f t="shared" si="17"/>
        <v>#NUM!</v>
      </c>
      <c r="L253" s="103"/>
      <c r="M253" s="105">
        <f t="shared" si="18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 x14ac:dyDescent="0.25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5"/>
        <v/>
      </c>
      <c r="J254" s="104" t="e">
        <f t="shared" si="16"/>
        <v>#NUM!</v>
      </c>
      <c r="K254" s="103" t="e">
        <f t="shared" si="17"/>
        <v>#NUM!</v>
      </c>
      <c r="L254" s="103"/>
      <c r="M254" s="105">
        <f t="shared" si="18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 x14ac:dyDescent="0.25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5"/>
        <v/>
      </c>
      <c r="J255" s="104" t="e">
        <f t="shared" si="16"/>
        <v>#NUM!</v>
      </c>
      <c r="K255" s="103" t="e">
        <f t="shared" si="17"/>
        <v>#NUM!</v>
      </c>
      <c r="L255" s="103"/>
      <c r="M255" s="105">
        <f t="shared" si="18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 x14ac:dyDescent="0.25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5"/>
        <v/>
      </c>
      <c r="J256" s="104" t="e">
        <f t="shared" si="16"/>
        <v>#NUM!</v>
      </c>
      <c r="K256" s="103" t="e">
        <f t="shared" si="17"/>
        <v>#NUM!</v>
      </c>
      <c r="L256" s="103"/>
      <c r="M256" s="105">
        <f t="shared" si="18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 x14ac:dyDescent="0.25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5"/>
        <v/>
      </c>
      <c r="J257" s="104" t="e">
        <f t="shared" si="16"/>
        <v>#NUM!</v>
      </c>
      <c r="K257" s="103" t="e">
        <f t="shared" si="17"/>
        <v>#NUM!</v>
      </c>
      <c r="L257" s="103"/>
      <c r="M257" s="105">
        <f t="shared" si="18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 x14ac:dyDescent="0.25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5"/>
        <v/>
      </c>
      <c r="J258" s="104" t="e">
        <f t="shared" si="16"/>
        <v>#NUM!</v>
      </c>
      <c r="K258" s="103" t="e">
        <f t="shared" si="17"/>
        <v>#NUM!</v>
      </c>
      <c r="L258" s="103"/>
      <c r="M258" s="105">
        <f t="shared" si="18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 x14ac:dyDescent="0.25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5"/>
        <v/>
      </c>
      <c r="J259" s="104" t="e">
        <f t="shared" si="16"/>
        <v>#NUM!</v>
      </c>
      <c r="K259" s="103" t="e">
        <f t="shared" si="17"/>
        <v>#NUM!</v>
      </c>
      <c r="L259" s="103"/>
      <c r="M259" s="105">
        <f t="shared" si="18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 x14ac:dyDescent="0.25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5"/>
        <v/>
      </c>
      <c r="J260" s="104" t="e">
        <f t="shared" si="16"/>
        <v>#NUM!</v>
      </c>
      <c r="K260" s="103" t="e">
        <f t="shared" si="17"/>
        <v>#NUM!</v>
      </c>
      <c r="L260" s="103"/>
      <c r="M260" s="105">
        <f t="shared" si="18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 x14ac:dyDescent="0.25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5"/>
        <v/>
      </c>
      <c r="J261" s="104" t="e">
        <f t="shared" si="16"/>
        <v>#NUM!</v>
      </c>
      <c r="K261" s="103" t="e">
        <f t="shared" si="17"/>
        <v>#NUM!</v>
      </c>
      <c r="L261" s="103"/>
      <c r="M261" s="105">
        <f t="shared" si="18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 x14ac:dyDescent="0.25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9">IF(H262&lt;$H$2+1,($I$2-($I$2-1)*(LOG(H262)/LOG($H$2))),"")</f>
        <v/>
      </c>
      <c r="J262" s="104" t="e">
        <f t="shared" ref="J262:J305" si="20">INT(LOG($H$2,2))-ROUNDUP(LOG(H262,2),0)+IF(OR($H$2=1,$H$2=2,$H$2=4,$H$2=8,$H$2=16,$H$2=32,$H$2=64,$H$2=128,$H$2=256),0,1)</f>
        <v>#NUM!</v>
      </c>
      <c r="K262" s="103" t="e">
        <f t="shared" ref="K262:K305" si="21">J262*$J$2</f>
        <v>#NUM!</v>
      </c>
      <c r="L262" s="103"/>
      <c r="M262" s="105">
        <f t="shared" ref="M262:M305" si="22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 x14ac:dyDescent="0.25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9"/>
        <v/>
      </c>
      <c r="J263" s="104" t="e">
        <f t="shared" si="20"/>
        <v>#NUM!</v>
      </c>
      <c r="K263" s="103" t="e">
        <f t="shared" si="21"/>
        <v>#NUM!</v>
      </c>
      <c r="L263" s="103"/>
      <c r="M263" s="105">
        <f t="shared" si="22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 x14ac:dyDescent="0.25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9"/>
        <v/>
      </c>
      <c r="J264" s="104" t="e">
        <f t="shared" si="20"/>
        <v>#NUM!</v>
      </c>
      <c r="K264" s="103" t="e">
        <f t="shared" si="21"/>
        <v>#NUM!</v>
      </c>
      <c r="L264" s="103"/>
      <c r="M264" s="105">
        <f t="shared" si="22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 x14ac:dyDescent="0.25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9"/>
        <v/>
      </c>
      <c r="J265" s="104" t="e">
        <f t="shared" si="20"/>
        <v>#NUM!</v>
      </c>
      <c r="K265" s="103" t="e">
        <f t="shared" si="21"/>
        <v>#NUM!</v>
      </c>
      <c r="L265" s="103"/>
      <c r="M265" s="105">
        <f t="shared" si="22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 x14ac:dyDescent="0.25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9"/>
        <v/>
      </c>
      <c r="J266" s="104" t="e">
        <f t="shared" si="20"/>
        <v>#NUM!</v>
      </c>
      <c r="K266" s="103" t="e">
        <f t="shared" si="21"/>
        <v>#NUM!</v>
      </c>
      <c r="L266" s="103"/>
      <c r="M266" s="105">
        <f t="shared" si="22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 x14ac:dyDescent="0.25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9"/>
        <v/>
      </c>
      <c r="J267" s="104" t="e">
        <f t="shared" si="20"/>
        <v>#NUM!</v>
      </c>
      <c r="K267" s="103" t="e">
        <f t="shared" si="21"/>
        <v>#NUM!</v>
      </c>
      <c r="L267" s="103"/>
      <c r="M267" s="105">
        <f t="shared" si="22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 x14ac:dyDescent="0.25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9"/>
        <v/>
      </c>
      <c r="J268" s="104" t="e">
        <f t="shared" si="20"/>
        <v>#NUM!</v>
      </c>
      <c r="K268" s="103" t="e">
        <f t="shared" si="21"/>
        <v>#NUM!</v>
      </c>
      <c r="L268" s="103"/>
      <c r="M268" s="105">
        <f t="shared" si="22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 x14ac:dyDescent="0.25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9"/>
        <v/>
      </c>
      <c r="J269" s="104" t="e">
        <f t="shared" si="20"/>
        <v>#NUM!</v>
      </c>
      <c r="K269" s="103" t="e">
        <f t="shared" si="21"/>
        <v>#NUM!</v>
      </c>
      <c r="L269" s="103"/>
      <c r="M269" s="105">
        <f t="shared" si="22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 x14ac:dyDescent="0.25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9"/>
        <v/>
      </c>
      <c r="J270" s="104" t="e">
        <f t="shared" si="20"/>
        <v>#NUM!</v>
      </c>
      <c r="K270" s="103" t="e">
        <f t="shared" si="21"/>
        <v>#NUM!</v>
      </c>
      <c r="L270" s="103"/>
      <c r="M270" s="105">
        <f t="shared" si="22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 x14ac:dyDescent="0.25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9"/>
        <v/>
      </c>
      <c r="J271" s="104" t="e">
        <f t="shared" si="20"/>
        <v>#NUM!</v>
      </c>
      <c r="K271" s="103" t="e">
        <f t="shared" si="21"/>
        <v>#NUM!</v>
      </c>
      <c r="L271" s="103"/>
      <c r="M271" s="105">
        <f t="shared" si="22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 x14ac:dyDescent="0.25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9"/>
        <v/>
      </c>
      <c r="J272" s="104" t="e">
        <f t="shared" si="20"/>
        <v>#NUM!</v>
      </c>
      <c r="K272" s="103" t="e">
        <f t="shared" si="21"/>
        <v>#NUM!</v>
      </c>
      <c r="L272" s="103"/>
      <c r="M272" s="105">
        <f t="shared" si="22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 x14ac:dyDescent="0.25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9"/>
        <v/>
      </c>
      <c r="J273" s="104" t="e">
        <f t="shared" si="20"/>
        <v>#NUM!</v>
      </c>
      <c r="K273" s="103" t="e">
        <f t="shared" si="21"/>
        <v>#NUM!</v>
      </c>
      <c r="L273" s="103"/>
      <c r="M273" s="105">
        <f t="shared" si="22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 x14ac:dyDescent="0.25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9"/>
        <v/>
      </c>
      <c r="J274" s="104" t="e">
        <f t="shared" si="20"/>
        <v>#NUM!</v>
      </c>
      <c r="K274" s="103" t="e">
        <f t="shared" si="21"/>
        <v>#NUM!</v>
      </c>
      <c r="L274" s="103"/>
      <c r="M274" s="105">
        <f t="shared" si="22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 x14ac:dyDescent="0.25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9"/>
        <v/>
      </c>
      <c r="J275" s="104" t="e">
        <f t="shared" si="20"/>
        <v>#NUM!</v>
      </c>
      <c r="K275" s="103" t="e">
        <f t="shared" si="21"/>
        <v>#NUM!</v>
      </c>
      <c r="L275" s="103"/>
      <c r="M275" s="105">
        <f t="shared" si="22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 x14ac:dyDescent="0.25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9"/>
        <v/>
      </c>
      <c r="J276" s="104" t="e">
        <f t="shared" si="20"/>
        <v>#NUM!</v>
      </c>
      <c r="K276" s="103" t="e">
        <f t="shared" si="21"/>
        <v>#NUM!</v>
      </c>
      <c r="L276" s="103"/>
      <c r="M276" s="105">
        <f t="shared" si="22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 x14ac:dyDescent="0.25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9"/>
        <v/>
      </c>
      <c r="J277" s="104" t="e">
        <f t="shared" si="20"/>
        <v>#NUM!</v>
      </c>
      <c r="K277" s="103" t="e">
        <f t="shared" si="21"/>
        <v>#NUM!</v>
      </c>
      <c r="L277" s="103"/>
      <c r="M277" s="105">
        <f t="shared" si="22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 x14ac:dyDescent="0.25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9"/>
        <v/>
      </c>
      <c r="J278" s="104" t="e">
        <f t="shared" si="20"/>
        <v>#NUM!</v>
      </c>
      <c r="K278" s="103" t="e">
        <f t="shared" si="21"/>
        <v>#NUM!</v>
      </c>
      <c r="L278" s="103"/>
      <c r="M278" s="105">
        <f t="shared" si="22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 x14ac:dyDescent="0.25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9"/>
        <v/>
      </c>
      <c r="J279" s="104" t="e">
        <f t="shared" si="20"/>
        <v>#NUM!</v>
      </c>
      <c r="K279" s="103" t="e">
        <f t="shared" si="21"/>
        <v>#NUM!</v>
      </c>
      <c r="L279" s="103"/>
      <c r="M279" s="105">
        <f t="shared" si="22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 x14ac:dyDescent="0.25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9"/>
        <v/>
      </c>
      <c r="J280" s="104" t="e">
        <f t="shared" si="20"/>
        <v>#NUM!</v>
      </c>
      <c r="K280" s="103" t="e">
        <f t="shared" si="21"/>
        <v>#NUM!</v>
      </c>
      <c r="L280" s="103"/>
      <c r="M280" s="105">
        <f t="shared" si="22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 x14ac:dyDescent="0.25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9"/>
        <v/>
      </c>
      <c r="J281" s="104" t="e">
        <f t="shared" si="20"/>
        <v>#NUM!</v>
      </c>
      <c r="K281" s="103" t="e">
        <f t="shared" si="21"/>
        <v>#NUM!</v>
      </c>
      <c r="L281" s="103"/>
      <c r="M281" s="105">
        <f t="shared" si="22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 x14ac:dyDescent="0.25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9"/>
        <v/>
      </c>
      <c r="J282" s="104" t="e">
        <f t="shared" si="20"/>
        <v>#NUM!</v>
      </c>
      <c r="K282" s="103" t="e">
        <f t="shared" si="21"/>
        <v>#NUM!</v>
      </c>
      <c r="L282" s="103"/>
      <c r="M282" s="105">
        <f t="shared" si="22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 x14ac:dyDescent="0.25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9"/>
        <v/>
      </c>
      <c r="J283" s="104" t="e">
        <f t="shared" si="20"/>
        <v>#NUM!</v>
      </c>
      <c r="K283" s="103" t="e">
        <f t="shared" si="21"/>
        <v>#NUM!</v>
      </c>
      <c r="L283" s="103"/>
      <c r="M283" s="105">
        <f t="shared" si="22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 x14ac:dyDescent="0.25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9"/>
        <v/>
      </c>
      <c r="J284" s="104" t="e">
        <f t="shared" si="20"/>
        <v>#NUM!</v>
      </c>
      <c r="K284" s="103" t="e">
        <f t="shared" si="21"/>
        <v>#NUM!</v>
      </c>
      <c r="L284" s="103"/>
      <c r="M284" s="105">
        <f t="shared" si="22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 x14ac:dyDescent="0.25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9"/>
        <v/>
      </c>
      <c r="J285" s="104" t="e">
        <f t="shared" si="20"/>
        <v>#NUM!</v>
      </c>
      <c r="K285" s="103" t="e">
        <f t="shared" si="21"/>
        <v>#NUM!</v>
      </c>
      <c r="L285" s="103"/>
      <c r="M285" s="105">
        <f t="shared" si="22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 x14ac:dyDescent="0.25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9"/>
        <v/>
      </c>
      <c r="J286" s="104" t="e">
        <f t="shared" si="20"/>
        <v>#NUM!</v>
      </c>
      <c r="K286" s="103" t="e">
        <f t="shared" si="21"/>
        <v>#NUM!</v>
      </c>
      <c r="L286" s="103"/>
      <c r="M286" s="105">
        <f t="shared" si="22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 x14ac:dyDescent="0.25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9"/>
        <v/>
      </c>
      <c r="J287" s="104" t="e">
        <f t="shared" si="20"/>
        <v>#NUM!</v>
      </c>
      <c r="K287" s="103" t="e">
        <f t="shared" si="21"/>
        <v>#NUM!</v>
      </c>
      <c r="L287" s="103"/>
      <c r="M287" s="105">
        <f t="shared" si="22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 x14ac:dyDescent="0.25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9"/>
        <v/>
      </c>
      <c r="J288" s="104" t="e">
        <f t="shared" si="20"/>
        <v>#NUM!</v>
      </c>
      <c r="K288" s="103" t="e">
        <f t="shared" si="21"/>
        <v>#NUM!</v>
      </c>
      <c r="L288" s="103"/>
      <c r="M288" s="105">
        <f t="shared" si="22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 x14ac:dyDescent="0.25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9"/>
        <v/>
      </c>
      <c r="J289" s="104" t="e">
        <f t="shared" si="20"/>
        <v>#NUM!</v>
      </c>
      <c r="K289" s="103" t="e">
        <f t="shared" si="21"/>
        <v>#NUM!</v>
      </c>
      <c r="L289" s="103"/>
      <c r="M289" s="105">
        <f t="shared" si="22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 x14ac:dyDescent="0.25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9"/>
        <v/>
      </c>
      <c r="J290" s="104" t="e">
        <f t="shared" si="20"/>
        <v>#NUM!</v>
      </c>
      <c r="K290" s="103" t="e">
        <f t="shared" si="21"/>
        <v>#NUM!</v>
      </c>
      <c r="L290" s="103"/>
      <c r="M290" s="105">
        <f t="shared" si="22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 x14ac:dyDescent="0.25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9"/>
        <v/>
      </c>
      <c r="J291" s="104" t="e">
        <f t="shared" si="20"/>
        <v>#NUM!</v>
      </c>
      <c r="K291" s="103" t="e">
        <f t="shared" si="21"/>
        <v>#NUM!</v>
      </c>
      <c r="L291" s="103"/>
      <c r="M291" s="105">
        <f t="shared" si="22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 x14ac:dyDescent="0.25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9"/>
        <v/>
      </c>
      <c r="J292" s="104" t="e">
        <f t="shared" si="20"/>
        <v>#NUM!</v>
      </c>
      <c r="K292" s="103" t="e">
        <f t="shared" si="21"/>
        <v>#NUM!</v>
      </c>
      <c r="L292" s="103"/>
      <c r="M292" s="105">
        <f t="shared" si="22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 x14ac:dyDescent="0.25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9"/>
        <v/>
      </c>
      <c r="J293" s="104" t="e">
        <f t="shared" si="20"/>
        <v>#NUM!</v>
      </c>
      <c r="K293" s="103" t="e">
        <f t="shared" si="21"/>
        <v>#NUM!</v>
      </c>
      <c r="L293" s="103"/>
      <c r="M293" s="105">
        <f t="shared" si="22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 x14ac:dyDescent="0.25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9"/>
        <v/>
      </c>
      <c r="J294" s="104" t="e">
        <f t="shared" si="20"/>
        <v>#NUM!</v>
      </c>
      <c r="K294" s="103" t="e">
        <f t="shared" si="21"/>
        <v>#NUM!</v>
      </c>
      <c r="L294" s="103"/>
      <c r="M294" s="105">
        <f t="shared" si="22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 x14ac:dyDescent="0.25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9"/>
        <v/>
      </c>
      <c r="J295" s="104" t="e">
        <f t="shared" si="20"/>
        <v>#NUM!</v>
      </c>
      <c r="K295" s="103" t="e">
        <f t="shared" si="21"/>
        <v>#NUM!</v>
      </c>
      <c r="L295" s="103"/>
      <c r="M295" s="105">
        <f t="shared" si="22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 x14ac:dyDescent="0.25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9"/>
        <v/>
      </c>
      <c r="J296" s="104" t="e">
        <f t="shared" si="20"/>
        <v>#NUM!</v>
      </c>
      <c r="K296" s="103" t="e">
        <f t="shared" si="21"/>
        <v>#NUM!</v>
      </c>
      <c r="L296" s="103"/>
      <c r="M296" s="105">
        <f t="shared" si="22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 x14ac:dyDescent="0.25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9"/>
        <v/>
      </c>
      <c r="J297" s="104" t="e">
        <f t="shared" si="20"/>
        <v>#NUM!</v>
      </c>
      <c r="K297" s="103" t="e">
        <f t="shared" si="21"/>
        <v>#NUM!</v>
      </c>
      <c r="L297" s="103"/>
      <c r="M297" s="105">
        <f t="shared" si="22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 x14ac:dyDescent="0.25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9"/>
        <v/>
      </c>
      <c r="J298" s="104" t="e">
        <f t="shared" si="20"/>
        <v>#NUM!</v>
      </c>
      <c r="K298" s="103" t="e">
        <f t="shared" si="21"/>
        <v>#NUM!</v>
      </c>
      <c r="L298" s="103"/>
      <c r="M298" s="105">
        <f t="shared" si="22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 x14ac:dyDescent="0.25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9"/>
        <v/>
      </c>
      <c r="J299" s="104" t="e">
        <f t="shared" si="20"/>
        <v>#NUM!</v>
      </c>
      <c r="K299" s="103" t="e">
        <f t="shared" si="21"/>
        <v>#NUM!</v>
      </c>
      <c r="L299" s="103"/>
      <c r="M299" s="105">
        <f t="shared" si="22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 x14ac:dyDescent="0.25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9"/>
        <v/>
      </c>
      <c r="J300" s="104" t="e">
        <f t="shared" si="20"/>
        <v>#NUM!</v>
      </c>
      <c r="K300" s="103" t="e">
        <f t="shared" si="21"/>
        <v>#NUM!</v>
      </c>
      <c r="L300" s="103"/>
      <c r="M300" s="105">
        <f t="shared" si="22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 x14ac:dyDescent="0.25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9"/>
        <v/>
      </c>
      <c r="J301" s="104" t="e">
        <f t="shared" si="20"/>
        <v>#NUM!</v>
      </c>
      <c r="K301" s="103" t="e">
        <f t="shared" si="21"/>
        <v>#NUM!</v>
      </c>
      <c r="L301" s="103"/>
      <c r="M301" s="105">
        <f t="shared" si="22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 x14ac:dyDescent="0.25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9"/>
        <v/>
      </c>
      <c r="J302" s="104" t="e">
        <f t="shared" si="20"/>
        <v>#NUM!</v>
      </c>
      <c r="K302" s="103" t="e">
        <f t="shared" si="21"/>
        <v>#NUM!</v>
      </c>
      <c r="L302" s="103"/>
      <c r="M302" s="105">
        <f t="shared" si="22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 x14ac:dyDescent="0.25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9"/>
        <v/>
      </c>
      <c r="J303" s="104" t="e">
        <f t="shared" si="20"/>
        <v>#NUM!</v>
      </c>
      <c r="K303" s="103" t="e">
        <f t="shared" si="21"/>
        <v>#NUM!</v>
      </c>
      <c r="L303" s="103"/>
      <c r="M303" s="105">
        <f t="shared" si="22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 x14ac:dyDescent="0.25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9"/>
        <v/>
      </c>
      <c r="J304" s="104" t="e">
        <f t="shared" si="20"/>
        <v>#NUM!</v>
      </c>
      <c r="K304" s="103" t="e">
        <f t="shared" si="21"/>
        <v>#NUM!</v>
      </c>
      <c r="L304" s="103"/>
      <c r="M304" s="105">
        <f t="shared" si="22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 x14ac:dyDescent="0.25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9"/>
        <v/>
      </c>
      <c r="J305" s="104" t="e">
        <f t="shared" si="20"/>
        <v>#NUM!</v>
      </c>
      <c r="K305" s="103" t="e">
        <f t="shared" si="21"/>
        <v>#NUM!</v>
      </c>
      <c r="L305" s="103"/>
      <c r="M305" s="105">
        <f t="shared" si="22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DF5F1AAC-A684-4E1D-9BD6-4AF00C3CBEA2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5E98-4879-4F04-A231-F3F8F4B19EB2}">
  <sheetPr>
    <tabColor rgb="FF92D050"/>
  </sheetPr>
  <dimension ref="A1:AL317"/>
  <sheetViews>
    <sheetView workbookViewId="0">
      <selection activeCell="B9" sqref="B9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" style="208" customWidth="1"/>
    <col min="11" max="11" width="8.75" style="208" customWidth="1"/>
    <col min="12" max="12" width="11" style="208" customWidth="1"/>
    <col min="13" max="13" width="11.7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26</v>
      </c>
      <c r="I1" s="179" t="s">
        <v>27</v>
      </c>
      <c r="J1" s="179" t="s">
        <v>28</v>
      </c>
      <c r="K1" s="180" t="s">
        <v>124</v>
      </c>
      <c r="L1" s="181"/>
      <c r="M1" s="181"/>
    </row>
    <row r="2" spans="1:36" x14ac:dyDescent="0.25">
      <c r="A2" s="177"/>
      <c r="B2" s="22" t="s">
        <v>30</v>
      </c>
      <c r="C2" s="313" t="s">
        <v>129</v>
      </c>
      <c r="D2" s="313"/>
      <c r="E2" s="23"/>
      <c r="F2" s="23"/>
      <c r="G2" s="23"/>
      <c r="H2" s="183">
        <v>0</v>
      </c>
      <c r="I2" s="184">
        <v>50</v>
      </c>
      <c r="J2" s="184">
        <v>10</v>
      </c>
      <c r="K2" s="185">
        <f>3*H2^(1/3)</f>
        <v>0</v>
      </c>
      <c r="L2" s="181"/>
      <c r="M2" s="181"/>
    </row>
    <row r="3" spans="1:36" ht="14.45" customHeight="1" x14ac:dyDescent="0.25">
      <c r="A3" s="177"/>
      <c r="B3" s="186" t="s">
        <v>32</v>
      </c>
      <c r="C3" s="290" t="s">
        <v>139</v>
      </c>
      <c r="D3" s="290"/>
      <c r="E3" s="28"/>
      <c r="F3" s="28"/>
      <c r="G3" s="28"/>
      <c r="H3" s="181"/>
      <c r="I3" s="181"/>
      <c r="J3" s="181"/>
      <c r="K3" s="181"/>
      <c r="L3" s="181"/>
      <c r="M3" s="18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81"/>
      <c r="I4" s="181"/>
      <c r="J4" s="181"/>
      <c r="K4" s="181"/>
      <c r="L4" s="181"/>
      <c r="M4" s="18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87" t="s">
        <v>40</v>
      </c>
      <c r="I5" s="188" t="s">
        <v>41</v>
      </c>
      <c r="J5" s="188" t="s">
        <v>42</v>
      </c>
      <c r="K5" s="188" t="s">
        <v>43</v>
      </c>
      <c r="L5" s="188" t="s">
        <v>44</v>
      </c>
      <c r="M5" s="187" t="s">
        <v>45</v>
      </c>
    </row>
    <row r="6" spans="1:36" ht="14.45" customHeight="1" x14ac:dyDescent="0.25">
      <c r="A6" s="102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189">
        <v>1</v>
      </c>
      <c r="I6" s="190" t="str">
        <f t="shared" ref="I6:I69" si="1">IF(H6&lt;$H$2+1,($I$2-($I$2-1)*(LOG(H6)/LOG($H$2))),"")</f>
        <v/>
      </c>
      <c r="J6" s="190" t="e">
        <f>INT(LOG($H$2,2))-ROUNDUP(LOG(H6,2),0)+IF(OR($H$2=1,$H$2=2,$H$2=4,$H$2=8,$H$2=16,$H$2=32,$H$2=64,$H$2=128,$H$2=256),0,1)</f>
        <v>#NUM!</v>
      </c>
      <c r="K6" s="189" t="e">
        <f t="shared" ref="K6:K69" si="2">J6*$J$2</f>
        <v>#NUM!</v>
      </c>
      <c r="L6" s="191">
        <f>3*K2</f>
        <v>0</v>
      </c>
      <c r="M6" s="191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92">
        <v>2</v>
      </c>
      <c r="I7" s="193" t="str">
        <f t="shared" si="1"/>
        <v/>
      </c>
      <c r="J7" s="193" t="e">
        <f t="shared" ref="J7:J70" si="5">INT(LOG($H$2,2))-ROUNDUP(LOG(H7,2),0)+IF(OR($H$2=1,$H$2=2,$H$2=4,$H$2=8,$H$2=16,$H$2=32,$H$2=64,$H$2=128,$H$2=256),0,1)</f>
        <v>#NUM!</v>
      </c>
      <c r="K7" s="192" t="e">
        <f t="shared" si="2"/>
        <v>#NUM!</v>
      </c>
      <c r="L7" s="194">
        <f>2*K2</f>
        <v>0</v>
      </c>
      <c r="M7" s="194">
        <f t="shared" si="3"/>
        <v>0</v>
      </c>
    </row>
    <row r="8" spans="1:36" ht="14.45" customHeight="1" x14ac:dyDescent="0.25">
      <c r="A8" s="102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9">
        <v>3</v>
      </c>
      <c r="I8" s="190" t="str">
        <f t="shared" si="1"/>
        <v/>
      </c>
      <c r="J8" s="190" t="e">
        <f t="shared" si="5"/>
        <v>#NUM!</v>
      </c>
      <c r="K8" s="189" t="e">
        <f t="shared" si="2"/>
        <v>#NUM!</v>
      </c>
      <c r="L8" s="191">
        <f>K2</f>
        <v>0</v>
      </c>
      <c r="M8" s="191">
        <f t="shared" si="3"/>
        <v>0</v>
      </c>
    </row>
    <row r="9" spans="1:36" s="182" customFormat="1" ht="14.45" customHeight="1" x14ac:dyDescent="0.25">
      <c r="A9" s="106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92">
        <v>3</v>
      </c>
      <c r="I9" s="193" t="str">
        <f t="shared" si="1"/>
        <v/>
      </c>
      <c r="J9" s="192" t="e">
        <f t="shared" si="5"/>
        <v>#NUM!</v>
      </c>
      <c r="K9" s="192" t="e">
        <f t="shared" si="2"/>
        <v>#NUM!</v>
      </c>
      <c r="L9" s="194">
        <f>K2</f>
        <v>0</v>
      </c>
      <c r="M9" s="194">
        <f t="shared" si="3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53</v>
      </c>
      <c r="AI9" s="182">
        <v>23</v>
      </c>
    </row>
    <row r="10" spans="1:36" ht="14.45" customHeight="1" x14ac:dyDescent="0.25">
      <c r="A10" s="102">
        <v>58.14</v>
      </c>
      <c r="B10" s="36" t="str">
        <f t="shared" ref="B10" si="6">IF(H10&gt;$H$2,"",(ROW()-5))</f>
        <v/>
      </c>
      <c r="C10" s="37"/>
      <c r="D10" s="37"/>
      <c r="E10" s="37"/>
      <c r="F10" s="37"/>
      <c r="G10" s="30"/>
      <c r="H10" s="189">
        <v>5</v>
      </c>
      <c r="I10" s="190" t="str">
        <f t="shared" si="1"/>
        <v/>
      </c>
      <c r="J10" s="190" t="e">
        <f t="shared" si="5"/>
        <v>#NUM!</v>
      </c>
      <c r="K10" s="189" t="e">
        <f t="shared" si="2"/>
        <v>#NUM!</v>
      </c>
      <c r="L10" s="189"/>
      <c r="M10" s="191">
        <f t="shared" si="3"/>
        <v>0</v>
      </c>
      <c r="V10" s="195"/>
      <c r="Z10" s="196"/>
      <c r="AA10" s="196"/>
      <c r="AG10" s="197"/>
      <c r="AH10" s="182" t="s">
        <v>55</v>
      </c>
      <c r="AI10" s="182">
        <v>45</v>
      </c>
    </row>
    <row r="11" spans="1:36" ht="14.45" customHeight="1" x14ac:dyDescent="0.25">
      <c r="A11" s="106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92">
        <v>6</v>
      </c>
      <c r="I11" s="193" t="str">
        <f t="shared" si="1"/>
        <v/>
      </c>
      <c r="J11" s="193" t="e">
        <f t="shared" si="5"/>
        <v>#NUM!</v>
      </c>
      <c r="K11" s="192" t="e">
        <f t="shared" si="2"/>
        <v>#NUM!</v>
      </c>
      <c r="L11" s="192"/>
      <c r="M11" s="194">
        <f t="shared" si="3"/>
        <v>0</v>
      </c>
      <c r="V11" s="198"/>
      <c r="Z11" s="196"/>
      <c r="AA11" s="196"/>
      <c r="AG11" s="197"/>
      <c r="AH11" s="182" t="s">
        <v>57</v>
      </c>
      <c r="AI11" s="182">
        <v>50</v>
      </c>
    </row>
    <row r="12" spans="1:36" ht="14.45" customHeight="1" x14ac:dyDescent="0.25">
      <c r="A12" s="102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9">
        <v>7</v>
      </c>
      <c r="I12" s="190" t="str">
        <f t="shared" si="1"/>
        <v/>
      </c>
      <c r="J12" s="190" t="e">
        <f t="shared" si="5"/>
        <v>#NUM!</v>
      </c>
      <c r="K12" s="189" t="e">
        <f t="shared" si="2"/>
        <v>#NUM!</v>
      </c>
      <c r="L12" s="189"/>
      <c r="M12" s="191">
        <f t="shared" si="3"/>
        <v>0</v>
      </c>
      <c r="Z12" s="196"/>
      <c r="AA12" s="196"/>
      <c r="AG12" s="197"/>
      <c r="AH12" s="182" t="s">
        <v>58</v>
      </c>
      <c r="AI12" s="182">
        <f>AI11-1</f>
        <v>49</v>
      </c>
    </row>
    <row r="13" spans="1:36" ht="14.45" customHeight="1" x14ac:dyDescent="0.25">
      <c r="A13" s="106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92">
        <v>8</v>
      </c>
      <c r="I13" s="193" t="str">
        <f t="shared" si="1"/>
        <v/>
      </c>
      <c r="J13" s="193" t="e">
        <f t="shared" si="5"/>
        <v>#NUM!</v>
      </c>
      <c r="K13" s="192" t="e">
        <f t="shared" si="2"/>
        <v>#NUM!</v>
      </c>
      <c r="L13" s="192"/>
      <c r="M13" s="194">
        <f t="shared" si="3"/>
        <v>0</v>
      </c>
      <c r="X13" s="195"/>
      <c r="AG13" s="197"/>
      <c r="AH13" s="182" t="s">
        <v>59</v>
      </c>
      <c r="AI13" s="182">
        <f>LOG(AI9)</f>
        <v>1.3617278360175928</v>
      </c>
    </row>
    <row r="14" spans="1:36" x14ac:dyDescent="0.25">
      <c r="A14" s="102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9">
        <v>9</v>
      </c>
      <c r="I14" s="190" t="str">
        <f t="shared" si="1"/>
        <v/>
      </c>
      <c r="J14" s="190" t="e">
        <f t="shared" si="5"/>
        <v>#NUM!</v>
      </c>
      <c r="K14" s="189" t="e">
        <f t="shared" si="2"/>
        <v>#NUM!</v>
      </c>
      <c r="L14" s="189"/>
      <c r="M14" s="191">
        <f t="shared" si="3"/>
        <v>0</v>
      </c>
      <c r="X14" s="199"/>
      <c r="Z14" s="196"/>
      <c r="AA14" s="196"/>
      <c r="AG14" s="197"/>
      <c r="AH14" s="182" t="s">
        <v>65</v>
      </c>
      <c r="AI14" s="182">
        <f>LOG(AI10)</f>
        <v>1.6532125137753437</v>
      </c>
    </row>
    <row r="15" spans="1:36" x14ac:dyDescent="0.25">
      <c r="A15" s="106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92">
        <v>10</v>
      </c>
      <c r="I15" s="193" t="str">
        <f t="shared" si="1"/>
        <v/>
      </c>
      <c r="J15" s="193" t="e">
        <f t="shared" si="5"/>
        <v>#NUM!</v>
      </c>
      <c r="K15" s="192" t="e">
        <f t="shared" si="2"/>
        <v>#NUM!</v>
      </c>
      <c r="L15" s="192"/>
      <c r="M15" s="194">
        <f t="shared" si="3"/>
        <v>0</v>
      </c>
      <c r="X15" s="195"/>
      <c r="Z15" s="196"/>
      <c r="AA15" s="196"/>
    </row>
    <row r="16" spans="1:36" x14ac:dyDescent="0.25">
      <c r="A16" s="102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9">
        <v>11</v>
      </c>
      <c r="I16" s="190" t="str">
        <f t="shared" si="1"/>
        <v/>
      </c>
      <c r="J16" s="190" t="e">
        <f t="shared" si="5"/>
        <v>#NUM!</v>
      </c>
      <c r="K16" s="189" t="e">
        <f t="shared" si="2"/>
        <v>#NUM!</v>
      </c>
      <c r="L16" s="189"/>
      <c r="M16" s="191">
        <f t="shared" si="3"/>
        <v>0</v>
      </c>
      <c r="R16" s="200"/>
      <c r="Z16" s="196"/>
      <c r="AA16" s="196"/>
      <c r="AH16" s="201" t="s">
        <v>61</v>
      </c>
      <c r="AI16" s="182">
        <f>AI11-AI12*AI13/AI14</f>
        <v>9.6393909380186855</v>
      </c>
      <c r="AJ16" s="182" t="s">
        <v>62</v>
      </c>
    </row>
    <row r="17" spans="1:19" x14ac:dyDescent="0.25">
      <c r="A17" s="106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92">
        <v>12</v>
      </c>
      <c r="I17" s="193" t="str">
        <f t="shared" si="1"/>
        <v/>
      </c>
      <c r="J17" s="193" t="e">
        <f t="shared" si="5"/>
        <v>#NUM!</v>
      </c>
      <c r="K17" s="192" t="e">
        <f t="shared" si="2"/>
        <v>#NUM!</v>
      </c>
      <c r="L17" s="192"/>
      <c r="M17" s="194">
        <f t="shared" si="3"/>
        <v>0</v>
      </c>
    </row>
    <row r="18" spans="1:19" x14ac:dyDescent="0.25">
      <c r="A18" s="102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9">
        <v>13</v>
      </c>
      <c r="I18" s="190" t="str">
        <f t="shared" si="1"/>
        <v/>
      </c>
      <c r="J18" s="190" t="e">
        <f t="shared" si="5"/>
        <v>#NUM!</v>
      </c>
      <c r="K18" s="189" t="e">
        <f t="shared" si="2"/>
        <v>#NUM!</v>
      </c>
      <c r="L18" s="189"/>
      <c r="M18" s="191">
        <f t="shared" si="3"/>
        <v>0</v>
      </c>
    </row>
    <row r="19" spans="1:19" x14ac:dyDescent="0.25">
      <c r="A19" s="106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92">
        <v>14</v>
      </c>
      <c r="I19" s="193" t="str">
        <f t="shared" si="1"/>
        <v/>
      </c>
      <c r="J19" s="193" t="e">
        <f t="shared" si="5"/>
        <v>#NUM!</v>
      </c>
      <c r="K19" s="192" t="e">
        <f t="shared" si="2"/>
        <v>#NUM!</v>
      </c>
      <c r="L19" s="192"/>
      <c r="M19" s="194">
        <f t="shared" si="3"/>
        <v>0</v>
      </c>
    </row>
    <row r="20" spans="1:19" x14ac:dyDescent="0.25">
      <c r="A20" s="102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9">
        <v>15</v>
      </c>
      <c r="I20" s="190" t="str">
        <f t="shared" si="1"/>
        <v/>
      </c>
      <c r="J20" s="190" t="e">
        <f t="shared" si="5"/>
        <v>#NUM!</v>
      </c>
      <c r="K20" s="189" t="e">
        <f t="shared" si="2"/>
        <v>#NUM!</v>
      </c>
      <c r="L20" s="189"/>
      <c r="M20" s="191">
        <f t="shared" si="3"/>
        <v>0</v>
      </c>
      <c r="R20" s="202"/>
      <c r="S20" s="203"/>
    </row>
    <row r="21" spans="1:19" x14ac:dyDescent="0.25">
      <c r="A21" s="106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92">
        <v>16</v>
      </c>
      <c r="I21" s="193" t="str">
        <f t="shared" si="1"/>
        <v/>
      </c>
      <c r="J21" s="193" t="e">
        <f t="shared" si="5"/>
        <v>#NUM!</v>
      </c>
      <c r="K21" s="192" t="e">
        <f t="shared" si="2"/>
        <v>#NUM!</v>
      </c>
      <c r="L21" s="192"/>
      <c r="M21" s="194">
        <f t="shared" si="3"/>
        <v>0</v>
      </c>
    </row>
    <row r="22" spans="1:19" x14ac:dyDescent="0.25">
      <c r="A22" s="102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9">
        <v>17</v>
      </c>
      <c r="I22" s="190" t="str">
        <f t="shared" si="1"/>
        <v/>
      </c>
      <c r="J22" s="190" t="e">
        <f t="shared" si="5"/>
        <v>#NUM!</v>
      </c>
      <c r="K22" s="189" t="e">
        <f t="shared" si="2"/>
        <v>#NUM!</v>
      </c>
      <c r="L22" s="189"/>
      <c r="M22" s="191">
        <f t="shared" si="3"/>
        <v>0</v>
      </c>
    </row>
    <row r="23" spans="1:19" x14ac:dyDescent="0.25">
      <c r="A23" s="106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92">
        <v>18</v>
      </c>
      <c r="I23" s="193" t="str">
        <f t="shared" si="1"/>
        <v/>
      </c>
      <c r="J23" s="193" t="e">
        <f t="shared" si="5"/>
        <v>#NUM!</v>
      </c>
      <c r="K23" s="192" t="e">
        <f t="shared" si="2"/>
        <v>#NUM!</v>
      </c>
      <c r="L23" s="192"/>
      <c r="M23" s="194">
        <f t="shared" si="3"/>
        <v>0</v>
      </c>
    </row>
    <row r="24" spans="1:19" x14ac:dyDescent="0.25">
      <c r="A24" s="102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9">
        <v>19</v>
      </c>
      <c r="I24" s="190" t="str">
        <f t="shared" si="1"/>
        <v/>
      </c>
      <c r="J24" s="190" t="e">
        <f t="shared" si="5"/>
        <v>#NUM!</v>
      </c>
      <c r="K24" s="189" t="e">
        <f t="shared" si="2"/>
        <v>#NUM!</v>
      </c>
      <c r="L24" s="189"/>
      <c r="M24" s="191">
        <f t="shared" si="3"/>
        <v>0</v>
      </c>
      <c r="R24" s="202"/>
      <c r="S24" s="203"/>
    </row>
    <row r="25" spans="1:19" x14ac:dyDescent="0.25">
      <c r="A25" s="106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92">
        <v>20</v>
      </c>
      <c r="I25" s="193" t="str">
        <f t="shared" si="1"/>
        <v/>
      </c>
      <c r="J25" s="193" t="e">
        <f t="shared" si="5"/>
        <v>#NUM!</v>
      </c>
      <c r="K25" s="192" t="e">
        <f t="shared" si="2"/>
        <v>#NUM!</v>
      </c>
      <c r="L25" s="192"/>
      <c r="M25" s="194">
        <f t="shared" si="3"/>
        <v>0</v>
      </c>
    </row>
    <row r="26" spans="1:19" x14ac:dyDescent="0.25">
      <c r="A26" s="102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9">
        <v>21</v>
      </c>
      <c r="I26" s="190" t="str">
        <f t="shared" si="1"/>
        <v/>
      </c>
      <c r="J26" s="190" t="e">
        <f t="shared" si="5"/>
        <v>#NUM!</v>
      </c>
      <c r="K26" s="189" t="e">
        <f t="shared" si="2"/>
        <v>#NUM!</v>
      </c>
      <c r="L26" s="189"/>
      <c r="M26" s="191">
        <f t="shared" si="3"/>
        <v>0</v>
      </c>
    </row>
    <row r="27" spans="1:19" x14ac:dyDescent="0.25">
      <c r="A27" s="106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92">
        <v>22</v>
      </c>
      <c r="I27" s="193" t="str">
        <f t="shared" si="1"/>
        <v/>
      </c>
      <c r="J27" s="193" t="e">
        <f t="shared" si="5"/>
        <v>#NUM!</v>
      </c>
      <c r="K27" s="192" t="e">
        <f t="shared" si="2"/>
        <v>#NUM!</v>
      </c>
      <c r="L27" s="192"/>
      <c r="M27" s="194">
        <f t="shared" si="3"/>
        <v>0</v>
      </c>
    </row>
    <row r="28" spans="1:19" x14ac:dyDescent="0.25">
      <c r="A28" s="102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9">
        <v>23</v>
      </c>
      <c r="I28" s="190" t="str">
        <f t="shared" si="1"/>
        <v/>
      </c>
      <c r="J28" s="190" t="e">
        <f t="shared" si="5"/>
        <v>#NUM!</v>
      </c>
      <c r="K28" s="189" t="e">
        <f t="shared" si="2"/>
        <v>#NUM!</v>
      </c>
      <c r="L28" s="189"/>
      <c r="M28" s="191">
        <f t="shared" si="3"/>
        <v>0</v>
      </c>
      <c r="R28" s="202"/>
      <c r="S28" s="203"/>
    </row>
    <row r="29" spans="1:19" x14ac:dyDescent="0.25">
      <c r="A29" s="106">
        <f t="shared" si="4"/>
        <v>0</v>
      </c>
      <c r="B29" s="42" t="str">
        <f t="shared" si="0"/>
        <v/>
      </c>
      <c r="C29" s="43"/>
      <c r="D29" s="43"/>
      <c r="E29" s="43"/>
      <c r="F29" s="43"/>
      <c r="G29" s="177"/>
      <c r="H29" s="192">
        <v>24</v>
      </c>
      <c r="I29" s="193" t="str">
        <f t="shared" si="1"/>
        <v/>
      </c>
      <c r="J29" s="193" t="e">
        <f t="shared" si="5"/>
        <v>#NUM!</v>
      </c>
      <c r="K29" s="192" t="e">
        <f t="shared" si="2"/>
        <v>#NUM!</v>
      </c>
      <c r="L29" s="192"/>
      <c r="M29" s="194">
        <f t="shared" si="3"/>
        <v>0</v>
      </c>
    </row>
    <row r="30" spans="1:19" x14ac:dyDescent="0.25">
      <c r="A30" s="102">
        <f t="shared" si="4"/>
        <v>0</v>
      </c>
      <c r="B30" s="36" t="str">
        <f t="shared" si="0"/>
        <v/>
      </c>
      <c r="C30" s="37"/>
      <c r="D30" s="37"/>
      <c r="E30" s="37"/>
      <c r="F30" s="37"/>
      <c r="G30" s="177"/>
      <c r="H30" s="189">
        <v>25</v>
      </c>
      <c r="I30" s="190" t="str">
        <f t="shared" si="1"/>
        <v/>
      </c>
      <c r="J30" s="190" t="e">
        <f t="shared" si="5"/>
        <v>#NUM!</v>
      </c>
      <c r="K30" s="189" t="e">
        <f t="shared" si="2"/>
        <v>#NUM!</v>
      </c>
      <c r="L30" s="189"/>
      <c r="M30" s="191">
        <f t="shared" si="3"/>
        <v>0</v>
      </c>
    </row>
    <row r="31" spans="1:19" x14ac:dyDescent="0.25">
      <c r="A31" s="106">
        <f t="shared" si="4"/>
        <v>0</v>
      </c>
      <c r="B31" s="42" t="str">
        <f t="shared" si="0"/>
        <v/>
      </c>
      <c r="C31" s="43"/>
      <c r="D31" s="43"/>
      <c r="E31" s="43"/>
      <c r="F31" s="43"/>
      <c r="G31" s="177"/>
      <c r="H31" s="192">
        <v>26</v>
      </c>
      <c r="I31" s="193" t="str">
        <f t="shared" si="1"/>
        <v/>
      </c>
      <c r="J31" s="193" t="e">
        <f t="shared" si="5"/>
        <v>#NUM!</v>
      </c>
      <c r="K31" s="192" t="e">
        <f t="shared" si="2"/>
        <v>#NUM!</v>
      </c>
      <c r="L31" s="192"/>
      <c r="M31" s="194">
        <f t="shared" si="3"/>
        <v>0</v>
      </c>
    </row>
    <row r="32" spans="1:19" x14ac:dyDescent="0.25">
      <c r="A32" s="102">
        <f t="shared" si="4"/>
        <v>0</v>
      </c>
      <c r="B32" s="36" t="str">
        <f t="shared" si="0"/>
        <v/>
      </c>
      <c r="C32" s="37"/>
      <c r="D32" s="37"/>
      <c r="E32" s="37"/>
      <c r="F32" s="37"/>
      <c r="G32" s="177"/>
      <c r="H32" s="189">
        <v>27</v>
      </c>
      <c r="I32" s="190" t="str">
        <f t="shared" si="1"/>
        <v/>
      </c>
      <c r="J32" s="190" t="e">
        <f t="shared" si="5"/>
        <v>#NUM!</v>
      </c>
      <c r="K32" s="189" t="e">
        <f t="shared" si="2"/>
        <v>#NUM!</v>
      </c>
      <c r="L32" s="189"/>
      <c r="M32" s="191">
        <f t="shared" si="3"/>
        <v>0</v>
      </c>
      <c r="R32" s="202"/>
      <c r="S32" s="203"/>
    </row>
    <row r="33" spans="1:21" x14ac:dyDescent="0.25">
      <c r="A33" s="106">
        <f t="shared" si="4"/>
        <v>0</v>
      </c>
      <c r="B33" s="42" t="str">
        <f t="shared" si="0"/>
        <v/>
      </c>
      <c r="C33" s="43"/>
      <c r="D33" s="43"/>
      <c r="E33" s="43"/>
      <c r="F33" s="43"/>
      <c r="G33" s="177"/>
      <c r="H33" s="192">
        <v>28</v>
      </c>
      <c r="I33" s="193" t="str">
        <f t="shared" si="1"/>
        <v/>
      </c>
      <c r="J33" s="193" t="e">
        <f t="shared" si="5"/>
        <v>#NUM!</v>
      </c>
      <c r="K33" s="192" t="e">
        <f t="shared" si="2"/>
        <v>#NUM!</v>
      </c>
      <c r="L33" s="192"/>
      <c r="M33" s="194">
        <f t="shared" si="3"/>
        <v>0</v>
      </c>
    </row>
    <row r="34" spans="1:21" x14ac:dyDescent="0.25">
      <c r="A34" s="102">
        <f t="shared" si="4"/>
        <v>0</v>
      </c>
      <c r="B34" s="36" t="str">
        <f t="shared" si="0"/>
        <v/>
      </c>
      <c r="C34" s="37"/>
      <c r="D34" s="37"/>
      <c r="E34" s="37"/>
      <c r="F34" s="37"/>
      <c r="G34" s="177"/>
      <c r="H34" s="189">
        <v>29</v>
      </c>
      <c r="I34" s="190" t="str">
        <f t="shared" si="1"/>
        <v/>
      </c>
      <c r="J34" s="190" t="e">
        <f t="shared" si="5"/>
        <v>#NUM!</v>
      </c>
      <c r="K34" s="189" t="e">
        <f t="shared" si="2"/>
        <v>#NUM!</v>
      </c>
      <c r="L34" s="189"/>
      <c r="M34" s="191">
        <f t="shared" si="3"/>
        <v>0</v>
      </c>
    </row>
    <row r="35" spans="1:21" x14ac:dyDescent="0.25">
      <c r="A35" s="106">
        <f t="shared" si="4"/>
        <v>0</v>
      </c>
      <c r="B35" s="42" t="str">
        <f t="shared" si="0"/>
        <v/>
      </c>
      <c r="C35" s="43"/>
      <c r="D35" s="43"/>
      <c r="E35" s="43"/>
      <c r="F35" s="43"/>
      <c r="G35" s="177"/>
      <c r="H35" s="192">
        <v>30</v>
      </c>
      <c r="I35" s="193" t="str">
        <f t="shared" si="1"/>
        <v/>
      </c>
      <c r="J35" s="193" t="e">
        <f t="shared" si="5"/>
        <v>#NUM!</v>
      </c>
      <c r="K35" s="192" t="e">
        <f t="shared" si="2"/>
        <v>#NUM!</v>
      </c>
      <c r="L35" s="192"/>
      <c r="M35" s="194">
        <f t="shared" si="3"/>
        <v>0</v>
      </c>
    </row>
    <row r="36" spans="1:21" x14ac:dyDescent="0.25">
      <c r="A36" s="102">
        <f t="shared" si="4"/>
        <v>0</v>
      </c>
      <c r="B36" s="36" t="str">
        <f t="shared" si="0"/>
        <v/>
      </c>
      <c r="C36" s="37"/>
      <c r="D36" s="37"/>
      <c r="E36" s="37"/>
      <c r="F36" s="37"/>
      <c r="G36" s="177"/>
      <c r="H36" s="189">
        <v>31</v>
      </c>
      <c r="I36" s="190" t="str">
        <f t="shared" si="1"/>
        <v/>
      </c>
      <c r="J36" s="190" t="e">
        <f t="shared" si="5"/>
        <v>#NUM!</v>
      </c>
      <c r="K36" s="189" t="e">
        <f t="shared" si="2"/>
        <v>#NUM!</v>
      </c>
      <c r="L36" s="189"/>
      <c r="M36" s="191">
        <f t="shared" si="3"/>
        <v>0</v>
      </c>
      <c r="R36" s="202"/>
      <c r="S36" s="203"/>
    </row>
    <row r="37" spans="1:21" x14ac:dyDescent="0.25">
      <c r="A37" s="106">
        <f t="shared" si="4"/>
        <v>0</v>
      </c>
      <c r="B37" s="42" t="str">
        <f t="shared" si="0"/>
        <v/>
      </c>
      <c r="C37" s="43"/>
      <c r="D37" s="43"/>
      <c r="E37" s="43"/>
      <c r="F37" s="43"/>
      <c r="G37" s="177"/>
      <c r="H37" s="192">
        <v>32</v>
      </c>
      <c r="I37" s="193" t="str">
        <f t="shared" si="1"/>
        <v/>
      </c>
      <c r="J37" s="193" t="e">
        <f t="shared" si="5"/>
        <v>#NUM!</v>
      </c>
      <c r="K37" s="192" t="e">
        <f t="shared" si="2"/>
        <v>#NUM!</v>
      </c>
      <c r="L37" s="192"/>
      <c r="M37" s="194">
        <f t="shared" si="3"/>
        <v>0</v>
      </c>
    </row>
    <row r="38" spans="1:21" x14ac:dyDescent="0.25">
      <c r="A38" s="106">
        <f t="shared" si="4"/>
        <v>0</v>
      </c>
      <c r="B38" s="36" t="str">
        <f t="shared" si="0"/>
        <v/>
      </c>
      <c r="C38" s="37"/>
      <c r="D38" s="37"/>
      <c r="E38" s="37"/>
      <c r="F38" s="37"/>
      <c r="G38" s="177"/>
      <c r="H38" s="189">
        <v>33</v>
      </c>
      <c r="I38" s="190" t="str">
        <f t="shared" si="1"/>
        <v/>
      </c>
      <c r="J38" s="190" t="e">
        <f t="shared" si="5"/>
        <v>#NUM!</v>
      </c>
      <c r="K38" s="189" t="e">
        <f t="shared" si="2"/>
        <v>#NUM!</v>
      </c>
      <c r="L38" s="189"/>
      <c r="M38" s="191">
        <f t="shared" si="3"/>
        <v>0</v>
      </c>
    </row>
    <row r="39" spans="1:21" x14ac:dyDescent="0.25">
      <c r="A39" s="106">
        <f t="shared" si="4"/>
        <v>0</v>
      </c>
      <c r="B39" s="42" t="str">
        <f t="shared" si="0"/>
        <v/>
      </c>
      <c r="C39" s="43"/>
      <c r="D39" s="43"/>
      <c r="E39" s="43"/>
      <c r="F39" s="43"/>
      <c r="G39" s="177"/>
      <c r="H39" s="192">
        <v>34</v>
      </c>
      <c r="I39" s="193" t="str">
        <f t="shared" si="1"/>
        <v/>
      </c>
      <c r="J39" s="193" t="e">
        <f t="shared" si="5"/>
        <v>#NUM!</v>
      </c>
      <c r="K39" s="192" t="e">
        <f t="shared" si="2"/>
        <v>#NUM!</v>
      </c>
      <c r="L39" s="192"/>
      <c r="M39" s="194">
        <f t="shared" si="3"/>
        <v>0</v>
      </c>
    </row>
    <row r="40" spans="1:21" x14ac:dyDescent="0.25">
      <c r="A40" s="106">
        <f t="shared" si="4"/>
        <v>0</v>
      </c>
      <c r="B40" s="36" t="str">
        <f t="shared" si="0"/>
        <v/>
      </c>
      <c r="C40" s="37"/>
      <c r="D40" s="37"/>
      <c r="E40" s="37"/>
      <c r="F40" s="37"/>
      <c r="G40" s="177"/>
      <c r="H40" s="189">
        <v>35</v>
      </c>
      <c r="I40" s="190" t="str">
        <f t="shared" si="1"/>
        <v/>
      </c>
      <c r="J40" s="190" t="e">
        <f t="shared" si="5"/>
        <v>#NUM!</v>
      </c>
      <c r="K40" s="189" t="e">
        <f t="shared" si="2"/>
        <v>#NUM!</v>
      </c>
      <c r="L40" s="189"/>
      <c r="M40" s="191">
        <f t="shared" si="3"/>
        <v>0</v>
      </c>
    </row>
    <row r="41" spans="1:21" x14ac:dyDescent="0.25">
      <c r="A41" s="106">
        <f t="shared" si="4"/>
        <v>0</v>
      </c>
      <c r="B41" s="42" t="str">
        <f t="shared" si="0"/>
        <v/>
      </c>
      <c r="C41" s="43"/>
      <c r="D41" s="43"/>
      <c r="E41" s="43"/>
      <c r="F41" s="43"/>
      <c r="G41" s="177"/>
      <c r="H41" s="192">
        <v>36</v>
      </c>
      <c r="I41" s="193" t="str">
        <f t="shared" si="1"/>
        <v/>
      </c>
      <c r="J41" s="193" t="e">
        <f t="shared" si="5"/>
        <v>#NUM!</v>
      </c>
      <c r="K41" s="192" t="e">
        <f t="shared" si="2"/>
        <v>#NUM!</v>
      </c>
      <c r="L41" s="192"/>
      <c r="M41" s="194">
        <f t="shared" si="3"/>
        <v>0</v>
      </c>
      <c r="S41" s="204"/>
    </row>
    <row r="42" spans="1:21" x14ac:dyDescent="0.25">
      <c r="A42" s="106">
        <f t="shared" si="4"/>
        <v>0</v>
      </c>
      <c r="B42" s="36" t="str">
        <f t="shared" si="0"/>
        <v/>
      </c>
      <c r="C42" s="37"/>
      <c r="D42" s="37"/>
      <c r="E42" s="37"/>
      <c r="F42" s="37"/>
      <c r="G42" s="177"/>
      <c r="H42" s="189">
        <v>37</v>
      </c>
      <c r="I42" s="190" t="str">
        <f t="shared" si="1"/>
        <v/>
      </c>
      <c r="J42" s="190" t="e">
        <f t="shared" si="5"/>
        <v>#NUM!</v>
      </c>
      <c r="K42" s="189" t="e">
        <f t="shared" si="2"/>
        <v>#NUM!</v>
      </c>
      <c r="L42" s="189"/>
      <c r="M42" s="191">
        <f t="shared" si="3"/>
        <v>0</v>
      </c>
    </row>
    <row r="43" spans="1:21" x14ac:dyDescent="0.25">
      <c r="A43" s="106">
        <f t="shared" si="4"/>
        <v>0</v>
      </c>
      <c r="B43" s="42" t="str">
        <f t="shared" si="0"/>
        <v/>
      </c>
      <c r="C43" s="43"/>
      <c r="D43" s="43"/>
      <c r="E43" s="43"/>
      <c r="F43" s="43"/>
      <c r="G43" s="177"/>
      <c r="H43" s="192">
        <v>38</v>
      </c>
      <c r="I43" s="193" t="str">
        <f t="shared" si="1"/>
        <v/>
      </c>
      <c r="J43" s="193" t="e">
        <f t="shared" si="5"/>
        <v>#NUM!</v>
      </c>
      <c r="K43" s="192" t="e">
        <f t="shared" si="2"/>
        <v>#NUM!</v>
      </c>
      <c r="L43" s="192"/>
      <c r="M43" s="194">
        <f t="shared" si="3"/>
        <v>0</v>
      </c>
    </row>
    <row r="44" spans="1:21" x14ac:dyDescent="0.25">
      <c r="A44" s="106">
        <f t="shared" si="4"/>
        <v>0</v>
      </c>
      <c r="B44" s="36" t="str">
        <f t="shared" si="0"/>
        <v/>
      </c>
      <c r="C44" s="37"/>
      <c r="D44" s="37"/>
      <c r="E44" s="37"/>
      <c r="F44" s="37"/>
      <c r="G44" s="177"/>
      <c r="H44" s="189">
        <v>39</v>
      </c>
      <c r="I44" s="190" t="str">
        <f t="shared" si="1"/>
        <v/>
      </c>
      <c r="J44" s="190" t="e">
        <f t="shared" si="5"/>
        <v>#NUM!</v>
      </c>
      <c r="K44" s="189" t="e">
        <f t="shared" si="2"/>
        <v>#NUM!</v>
      </c>
      <c r="L44" s="189"/>
      <c r="M44" s="191">
        <f t="shared" si="3"/>
        <v>0</v>
      </c>
    </row>
    <row r="45" spans="1:21" x14ac:dyDescent="0.25">
      <c r="A45" s="106">
        <f t="shared" si="4"/>
        <v>0</v>
      </c>
      <c r="B45" s="42" t="str">
        <f t="shared" si="0"/>
        <v/>
      </c>
      <c r="C45" s="43"/>
      <c r="D45" s="43"/>
      <c r="E45" s="43"/>
      <c r="F45" s="43"/>
      <c r="G45" s="177"/>
      <c r="H45" s="192">
        <v>40</v>
      </c>
      <c r="I45" s="193" t="str">
        <f t="shared" si="1"/>
        <v/>
      </c>
      <c r="J45" s="193" t="e">
        <f t="shared" si="5"/>
        <v>#NUM!</v>
      </c>
      <c r="K45" s="192" t="e">
        <f t="shared" si="2"/>
        <v>#NUM!</v>
      </c>
      <c r="L45" s="192"/>
      <c r="M45" s="194">
        <f t="shared" si="3"/>
        <v>0</v>
      </c>
    </row>
    <row r="46" spans="1:21" x14ac:dyDescent="0.25">
      <c r="A46" s="106">
        <f t="shared" si="4"/>
        <v>0</v>
      </c>
      <c r="B46" s="36" t="str">
        <f t="shared" si="0"/>
        <v/>
      </c>
      <c r="C46" s="37"/>
      <c r="D46" s="37"/>
      <c r="E46" s="37"/>
      <c r="F46" s="37"/>
      <c r="G46" s="177"/>
      <c r="H46" s="189">
        <v>41</v>
      </c>
      <c r="I46" s="190" t="str">
        <f t="shared" si="1"/>
        <v/>
      </c>
      <c r="J46" s="190" t="e">
        <f t="shared" si="5"/>
        <v>#NUM!</v>
      </c>
      <c r="K46" s="189" t="e">
        <f t="shared" si="2"/>
        <v>#NUM!</v>
      </c>
      <c r="L46" s="189"/>
      <c r="M46" s="191">
        <f t="shared" si="3"/>
        <v>0</v>
      </c>
      <c r="R46" s="177" t="e">
        <f>LOG($H$2,2)</f>
        <v>#NUM!</v>
      </c>
      <c r="T46" s="182">
        <f>LOG(H38,2)</f>
        <v>5.0443941193584534</v>
      </c>
      <c r="U46" s="182" t="e">
        <f>R46-T46</f>
        <v>#NUM!</v>
      </c>
    </row>
    <row r="47" spans="1:21" x14ac:dyDescent="0.25">
      <c r="A47" s="106">
        <f t="shared" si="4"/>
        <v>0</v>
      </c>
      <c r="B47" s="42" t="str">
        <f t="shared" si="0"/>
        <v/>
      </c>
      <c r="C47" s="43"/>
      <c r="D47" s="43"/>
      <c r="E47" s="43"/>
      <c r="F47" s="43"/>
      <c r="G47" s="177"/>
      <c r="H47" s="192">
        <v>42</v>
      </c>
      <c r="I47" s="193" t="str">
        <f t="shared" si="1"/>
        <v/>
      </c>
      <c r="J47" s="193" t="e">
        <f t="shared" si="5"/>
        <v>#NUM!</v>
      </c>
      <c r="K47" s="192" t="e">
        <f t="shared" si="2"/>
        <v>#NUM!</v>
      </c>
      <c r="L47" s="192"/>
      <c r="M47" s="194">
        <f t="shared" si="3"/>
        <v>0</v>
      </c>
    </row>
    <row r="48" spans="1:21" x14ac:dyDescent="0.25">
      <c r="A48" s="106">
        <f t="shared" si="4"/>
        <v>0</v>
      </c>
      <c r="B48" s="36" t="str">
        <f t="shared" si="0"/>
        <v/>
      </c>
      <c r="C48" s="37"/>
      <c r="D48" s="37"/>
      <c r="E48" s="37"/>
      <c r="F48" s="37"/>
      <c r="G48" s="177"/>
      <c r="H48" s="189">
        <v>43</v>
      </c>
      <c r="I48" s="190" t="str">
        <f t="shared" si="1"/>
        <v/>
      </c>
      <c r="J48" s="190" t="e">
        <f t="shared" si="5"/>
        <v>#NUM!</v>
      </c>
      <c r="K48" s="189" t="e">
        <f t="shared" si="2"/>
        <v>#NUM!</v>
      </c>
      <c r="L48" s="189"/>
      <c r="M48" s="191">
        <f t="shared" si="3"/>
        <v>0</v>
      </c>
    </row>
    <row r="49" spans="1:13" x14ac:dyDescent="0.25">
      <c r="A49" s="106">
        <f t="shared" si="4"/>
        <v>0</v>
      </c>
      <c r="B49" s="42" t="str">
        <f t="shared" si="0"/>
        <v/>
      </c>
      <c r="C49" s="43"/>
      <c r="D49" s="43"/>
      <c r="E49" s="43"/>
      <c r="F49" s="43"/>
      <c r="G49" s="177"/>
      <c r="H49" s="192">
        <v>44</v>
      </c>
      <c r="I49" s="193" t="str">
        <f t="shared" si="1"/>
        <v/>
      </c>
      <c r="J49" s="193" t="e">
        <f t="shared" si="5"/>
        <v>#NUM!</v>
      </c>
      <c r="K49" s="192" t="e">
        <f t="shared" si="2"/>
        <v>#NUM!</v>
      </c>
      <c r="L49" s="192"/>
      <c r="M49" s="194">
        <f t="shared" si="3"/>
        <v>0</v>
      </c>
    </row>
    <row r="50" spans="1:13" x14ac:dyDescent="0.25">
      <c r="A50" s="106">
        <f t="shared" si="4"/>
        <v>0</v>
      </c>
      <c r="B50" s="36" t="str">
        <f t="shared" si="0"/>
        <v/>
      </c>
      <c r="C50" s="37"/>
      <c r="D50" s="37"/>
      <c r="E50" s="37"/>
      <c r="F50" s="37"/>
      <c r="G50" s="177"/>
      <c r="H50" s="189">
        <v>45</v>
      </c>
      <c r="I50" s="190" t="str">
        <f t="shared" si="1"/>
        <v/>
      </c>
      <c r="J50" s="190" t="e">
        <f t="shared" si="5"/>
        <v>#NUM!</v>
      </c>
      <c r="K50" s="189" t="e">
        <f t="shared" si="2"/>
        <v>#NUM!</v>
      </c>
      <c r="L50" s="189"/>
      <c r="M50" s="191">
        <f t="shared" si="3"/>
        <v>0</v>
      </c>
    </row>
    <row r="51" spans="1:13" x14ac:dyDescent="0.25">
      <c r="A51" s="106">
        <f t="shared" si="4"/>
        <v>0</v>
      </c>
      <c r="B51" s="42" t="str">
        <f t="shared" si="0"/>
        <v/>
      </c>
      <c r="C51" s="43"/>
      <c r="D51" s="43"/>
      <c r="E51" s="43"/>
      <c r="F51" s="43"/>
      <c r="G51" s="177"/>
      <c r="H51" s="192">
        <v>46</v>
      </c>
      <c r="I51" s="193" t="str">
        <f t="shared" si="1"/>
        <v/>
      </c>
      <c r="J51" s="193" t="e">
        <f t="shared" si="5"/>
        <v>#NUM!</v>
      </c>
      <c r="K51" s="192" t="e">
        <f t="shared" si="2"/>
        <v>#NUM!</v>
      </c>
      <c r="L51" s="192"/>
      <c r="M51" s="194">
        <f t="shared" si="3"/>
        <v>0</v>
      </c>
    </row>
    <row r="52" spans="1:13" x14ac:dyDescent="0.25">
      <c r="A52" s="106">
        <f t="shared" si="4"/>
        <v>0</v>
      </c>
      <c r="B52" s="36" t="str">
        <f t="shared" si="0"/>
        <v/>
      </c>
      <c r="C52" s="37"/>
      <c r="D52" s="37"/>
      <c r="E52" s="37"/>
      <c r="F52" s="37"/>
      <c r="G52" s="177"/>
      <c r="H52" s="189">
        <v>47</v>
      </c>
      <c r="I52" s="190" t="str">
        <f t="shared" si="1"/>
        <v/>
      </c>
      <c r="J52" s="190" t="e">
        <f t="shared" si="5"/>
        <v>#NUM!</v>
      </c>
      <c r="K52" s="189" t="e">
        <f t="shared" si="2"/>
        <v>#NUM!</v>
      </c>
      <c r="L52" s="189"/>
      <c r="M52" s="191">
        <f t="shared" si="3"/>
        <v>0</v>
      </c>
    </row>
    <row r="53" spans="1:13" x14ac:dyDescent="0.25">
      <c r="A53" s="106">
        <f t="shared" si="4"/>
        <v>0</v>
      </c>
      <c r="B53" s="42" t="str">
        <f t="shared" si="0"/>
        <v/>
      </c>
      <c r="C53" s="43"/>
      <c r="D53" s="43"/>
      <c r="E53" s="43"/>
      <c r="F53" s="43"/>
      <c r="G53" s="177"/>
      <c r="H53" s="192">
        <v>48</v>
      </c>
      <c r="I53" s="193" t="str">
        <f t="shared" si="1"/>
        <v/>
      </c>
      <c r="J53" s="193" t="e">
        <f t="shared" si="5"/>
        <v>#NUM!</v>
      </c>
      <c r="K53" s="192" t="e">
        <f t="shared" si="2"/>
        <v>#NUM!</v>
      </c>
      <c r="L53" s="192"/>
      <c r="M53" s="194">
        <f t="shared" si="3"/>
        <v>0</v>
      </c>
    </row>
    <row r="54" spans="1:13" x14ac:dyDescent="0.25">
      <c r="A54" s="106">
        <f t="shared" si="4"/>
        <v>0</v>
      </c>
      <c r="B54" s="36" t="str">
        <f t="shared" si="0"/>
        <v/>
      </c>
      <c r="C54" s="37"/>
      <c r="D54" s="37"/>
      <c r="E54" s="37"/>
      <c r="F54" s="37"/>
      <c r="G54" s="177"/>
      <c r="H54" s="189">
        <v>49</v>
      </c>
      <c r="I54" s="190" t="str">
        <f t="shared" si="1"/>
        <v/>
      </c>
      <c r="J54" s="190" t="e">
        <f t="shared" si="5"/>
        <v>#NUM!</v>
      </c>
      <c r="K54" s="189" t="e">
        <f t="shared" si="2"/>
        <v>#NUM!</v>
      </c>
      <c r="L54" s="189"/>
      <c r="M54" s="191">
        <f t="shared" si="3"/>
        <v>0</v>
      </c>
    </row>
    <row r="55" spans="1:13" x14ac:dyDescent="0.25">
      <c r="A55" s="106">
        <f t="shared" si="4"/>
        <v>0</v>
      </c>
      <c r="B55" s="42" t="str">
        <f t="shared" si="0"/>
        <v/>
      </c>
      <c r="C55" s="43"/>
      <c r="D55" s="43"/>
      <c r="E55" s="43"/>
      <c r="F55" s="43"/>
      <c r="G55" s="177"/>
      <c r="H55" s="192">
        <v>50</v>
      </c>
      <c r="I55" s="193" t="str">
        <f t="shared" si="1"/>
        <v/>
      </c>
      <c r="J55" s="193" t="e">
        <f t="shared" si="5"/>
        <v>#NUM!</v>
      </c>
      <c r="K55" s="192" t="e">
        <f t="shared" si="2"/>
        <v>#NUM!</v>
      </c>
      <c r="L55" s="192"/>
      <c r="M55" s="194">
        <f t="shared" si="3"/>
        <v>0</v>
      </c>
    </row>
    <row r="56" spans="1:13" x14ac:dyDescent="0.25">
      <c r="A56" s="106">
        <f t="shared" si="4"/>
        <v>0</v>
      </c>
      <c r="B56" s="36" t="str">
        <f t="shared" si="0"/>
        <v/>
      </c>
      <c r="C56" s="37"/>
      <c r="D56" s="37"/>
      <c r="E56" s="37"/>
      <c r="F56" s="37"/>
      <c r="G56" s="177"/>
      <c r="H56" s="189">
        <v>51</v>
      </c>
      <c r="I56" s="190" t="str">
        <f t="shared" si="1"/>
        <v/>
      </c>
      <c r="J56" s="190" t="e">
        <f t="shared" si="5"/>
        <v>#NUM!</v>
      </c>
      <c r="K56" s="189" t="e">
        <f t="shared" si="2"/>
        <v>#NUM!</v>
      </c>
      <c r="L56" s="189"/>
      <c r="M56" s="191">
        <f t="shared" si="3"/>
        <v>0</v>
      </c>
    </row>
    <row r="57" spans="1:13" x14ac:dyDescent="0.25">
      <c r="A57" s="106">
        <f t="shared" si="4"/>
        <v>0</v>
      </c>
      <c r="B57" s="42" t="str">
        <f t="shared" si="0"/>
        <v/>
      </c>
      <c r="C57" s="43"/>
      <c r="D57" s="43"/>
      <c r="E57" s="43"/>
      <c r="F57" s="43"/>
      <c r="G57" s="177"/>
      <c r="H57" s="192">
        <v>52</v>
      </c>
      <c r="I57" s="193" t="str">
        <f t="shared" si="1"/>
        <v/>
      </c>
      <c r="J57" s="193" t="e">
        <f t="shared" si="5"/>
        <v>#NUM!</v>
      </c>
      <c r="K57" s="192" t="e">
        <f t="shared" si="2"/>
        <v>#NUM!</v>
      </c>
      <c r="L57" s="192"/>
      <c r="M57" s="194">
        <f t="shared" si="3"/>
        <v>0</v>
      </c>
    </row>
    <row r="58" spans="1:13" x14ac:dyDescent="0.25">
      <c r="A58" s="106">
        <f t="shared" si="4"/>
        <v>0</v>
      </c>
      <c r="B58" s="36" t="str">
        <f t="shared" si="0"/>
        <v/>
      </c>
      <c r="C58" s="37"/>
      <c r="D58" s="37"/>
      <c r="E58" s="37"/>
      <c r="F58" s="37"/>
      <c r="G58" s="177"/>
      <c r="H58" s="189">
        <v>53</v>
      </c>
      <c r="I58" s="190" t="str">
        <f t="shared" si="1"/>
        <v/>
      </c>
      <c r="J58" s="190" t="e">
        <f t="shared" si="5"/>
        <v>#NUM!</v>
      </c>
      <c r="K58" s="189" t="e">
        <f t="shared" si="2"/>
        <v>#NUM!</v>
      </c>
      <c r="L58" s="189"/>
      <c r="M58" s="191">
        <f t="shared" si="3"/>
        <v>0</v>
      </c>
    </row>
    <row r="59" spans="1:13" x14ac:dyDescent="0.25">
      <c r="A59" s="106">
        <f t="shared" si="4"/>
        <v>0</v>
      </c>
      <c r="B59" s="42" t="str">
        <f t="shared" si="0"/>
        <v/>
      </c>
      <c r="C59" s="43"/>
      <c r="D59" s="43"/>
      <c r="E59" s="43"/>
      <c r="F59" s="43"/>
      <c r="G59" s="177"/>
      <c r="H59" s="192">
        <v>54</v>
      </c>
      <c r="I59" s="193" t="str">
        <f t="shared" si="1"/>
        <v/>
      </c>
      <c r="J59" s="193" t="e">
        <f t="shared" si="5"/>
        <v>#NUM!</v>
      </c>
      <c r="K59" s="192" t="e">
        <f t="shared" si="2"/>
        <v>#NUM!</v>
      </c>
      <c r="L59" s="192"/>
      <c r="M59" s="194">
        <f t="shared" si="3"/>
        <v>0</v>
      </c>
    </row>
    <row r="60" spans="1:13" x14ac:dyDescent="0.25">
      <c r="A60" s="106">
        <f t="shared" si="4"/>
        <v>0</v>
      </c>
      <c r="B60" s="36" t="str">
        <f t="shared" si="0"/>
        <v/>
      </c>
      <c r="C60" s="37"/>
      <c r="D60" s="37"/>
      <c r="E60" s="37"/>
      <c r="F60" s="37"/>
      <c r="G60" s="177"/>
      <c r="H60" s="189">
        <v>55</v>
      </c>
      <c r="I60" s="190" t="str">
        <f t="shared" si="1"/>
        <v/>
      </c>
      <c r="J60" s="190" t="e">
        <f t="shared" si="5"/>
        <v>#NUM!</v>
      </c>
      <c r="K60" s="189" t="e">
        <f t="shared" si="2"/>
        <v>#NUM!</v>
      </c>
      <c r="L60" s="189"/>
      <c r="M60" s="191">
        <f t="shared" si="3"/>
        <v>0</v>
      </c>
    </row>
    <row r="61" spans="1:13" x14ac:dyDescent="0.25">
      <c r="A61" s="106">
        <f t="shared" si="4"/>
        <v>0</v>
      </c>
      <c r="B61" s="42" t="str">
        <f t="shared" si="0"/>
        <v/>
      </c>
      <c r="C61" s="43"/>
      <c r="D61" s="43"/>
      <c r="E61" s="43"/>
      <c r="F61" s="43"/>
      <c r="G61" s="177"/>
      <c r="H61" s="192">
        <v>56</v>
      </c>
      <c r="I61" s="193" t="str">
        <f t="shared" si="1"/>
        <v/>
      </c>
      <c r="J61" s="193" t="e">
        <f t="shared" si="5"/>
        <v>#NUM!</v>
      </c>
      <c r="K61" s="192" t="e">
        <f t="shared" si="2"/>
        <v>#NUM!</v>
      </c>
      <c r="L61" s="192"/>
      <c r="M61" s="194">
        <f t="shared" si="3"/>
        <v>0</v>
      </c>
    </row>
    <row r="62" spans="1:13" x14ac:dyDescent="0.25">
      <c r="A62" s="106">
        <f t="shared" si="4"/>
        <v>0</v>
      </c>
      <c r="B62" s="36" t="str">
        <f t="shared" si="0"/>
        <v/>
      </c>
      <c r="C62" s="37"/>
      <c r="D62" s="37"/>
      <c r="E62" s="37"/>
      <c r="F62" s="37"/>
      <c r="G62" s="177"/>
      <c r="H62" s="189">
        <v>57</v>
      </c>
      <c r="I62" s="190" t="str">
        <f t="shared" si="1"/>
        <v/>
      </c>
      <c r="J62" s="190" t="e">
        <f t="shared" si="5"/>
        <v>#NUM!</v>
      </c>
      <c r="K62" s="189" t="e">
        <f t="shared" si="2"/>
        <v>#NUM!</v>
      </c>
      <c r="L62" s="189"/>
      <c r="M62" s="191">
        <f t="shared" si="3"/>
        <v>0</v>
      </c>
    </row>
    <row r="63" spans="1:13" x14ac:dyDescent="0.25">
      <c r="A63" s="106">
        <f t="shared" si="4"/>
        <v>0</v>
      </c>
      <c r="B63" s="42" t="str">
        <f t="shared" si="0"/>
        <v/>
      </c>
      <c r="C63" s="43"/>
      <c r="D63" s="43"/>
      <c r="E63" s="43"/>
      <c r="F63" s="43"/>
      <c r="G63" s="177"/>
      <c r="H63" s="192">
        <v>58</v>
      </c>
      <c r="I63" s="193" t="str">
        <f t="shared" si="1"/>
        <v/>
      </c>
      <c r="J63" s="193" t="e">
        <f t="shared" si="5"/>
        <v>#NUM!</v>
      </c>
      <c r="K63" s="192" t="e">
        <f t="shared" si="2"/>
        <v>#NUM!</v>
      </c>
      <c r="L63" s="192"/>
      <c r="M63" s="194">
        <f t="shared" si="3"/>
        <v>0</v>
      </c>
    </row>
    <row r="64" spans="1:13" x14ac:dyDescent="0.25">
      <c r="A64" s="106">
        <f t="shared" si="4"/>
        <v>0</v>
      </c>
      <c r="B64" s="36" t="str">
        <f t="shared" si="0"/>
        <v/>
      </c>
      <c r="C64" s="37"/>
      <c r="D64" s="37"/>
      <c r="E64" s="37"/>
      <c r="F64" s="37"/>
      <c r="G64" s="177"/>
      <c r="H64" s="189">
        <v>59</v>
      </c>
      <c r="I64" s="190" t="str">
        <f t="shared" si="1"/>
        <v/>
      </c>
      <c r="J64" s="190" t="e">
        <f t="shared" si="5"/>
        <v>#NUM!</v>
      </c>
      <c r="K64" s="189" t="e">
        <f t="shared" si="2"/>
        <v>#NUM!</v>
      </c>
      <c r="L64" s="189"/>
      <c r="M64" s="191">
        <f t="shared" si="3"/>
        <v>0</v>
      </c>
    </row>
    <row r="65" spans="1:13" x14ac:dyDescent="0.25">
      <c r="A65" s="106">
        <f t="shared" si="4"/>
        <v>0</v>
      </c>
      <c r="B65" s="42" t="str">
        <f t="shared" si="0"/>
        <v/>
      </c>
      <c r="C65" s="43"/>
      <c r="D65" s="43"/>
      <c r="E65" s="43"/>
      <c r="F65" s="43"/>
      <c r="G65" s="177"/>
      <c r="H65" s="192">
        <v>60</v>
      </c>
      <c r="I65" s="193" t="str">
        <f t="shared" si="1"/>
        <v/>
      </c>
      <c r="J65" s="193" t="e">
        <f t="shared" si="5"/>
        <v>#NUM!</v>
      </c>
      <c r="K65" s="192" t="e">
        <f t="shared" si="2"/>
        <v>#NUM!</v>
      </c>
      <c r="L65" s="192"/>
      <c r="M65" s="194">
        <f t="shared" si="3"/>
        <v>0</v>
      </c>
    </row>
    <row r="66" spans="1:13" x14ac:dyDescent="0.25">
      <c r="A66" s="106">
        <f t="shared" si="4"/>
        <v>0</v>
      </c>
      <c r="B66" s="36"/>
      <c r="G66" s="177"/>
      <c r="H66" s="189">
        <v>61</v>
      </c>
      <c r="I66" s="190" t="str">
        <f t="shared" si="1"/>
        <v/>
      </c>
      <c r="J66" s="190" t="e">
        <f t="shared" si="5"/>
        <v>#NUM!</v>
      </c>
      <c r="K66" s="189" t="e">
        <f t="shared" si="2"/>
        <v>#NUM!</v>
      </c>
      <c r="L66" s="189"/>
      <c r="M66" s="191">
        <f t="shared" si="3"/>
        <v>0</v>
      </c>
    </row>
    <row r="67" spans="1:13" x14ac:dyDescent="0.25">
      <c r="A67" s="106">
        <f t="shared" si="4"/>
        <v>0</v>
      </c>
      <c r="B67" s="42"/>
      <c r="G67" s="177"/>
      <c r="H67" s="189">
        <v>62</v>
      </c>
      <c r="I67" s="190" t="str">
        <f t="shared" si="1"/>
        <v/>
      </c>
      <c r="J67" s="190" t="e">
        <f t="shared" si="5"/>
        <v>#NUM!</v>
      </c>
      <c r="K67" s="189" t="e">
        <f t="shared" si="2"/>
        <v>#NUM!</v>
      </c>
      <c r="L67" s="189"/>
      <c r="M67" s="191">
        <f t="shared" si="3"/>
        <v>0</v>
      </c>
    </row>
    <row r="68" spans="1:13" x14ac:dyDescent="0.25">
      <c r="A68" s="106">
        <f t="shared" si="4"/>
        <v>0</v>
      </c>
      <c r="B68" s="36"/>
      <c r="G68" s="177"/>
      <c r="H68" s="189">
        <v>63</v>
      </c>
      <c r="I68" s="190" t="str">
        <f t="shared" si="1"/>
        <v/>
      </c>
      <c r="J68" s="190" t="e">
        <f t="shared" si="5"/>
        <v>#NUM!</v>
      </c>
      <c r="K68" s="189" t="e">
        <f t="shared" si="2"/>
        <v>#NUM!</v>
      </c>
      <c r="L68" s="189"/>
      <c r="M68" s="191">
        <f t="shared" si="3"/>
        <v>0</v>
      </c>
    </row>
    <row r="69" spans="1:13" x14ac:dyDescent="0.25">
      <c r="A69" s="106">
        <f t="shared" si="4"/>
        <v>0</v>
      </c>
      <c r="B69" s="42"/>
      <c r="G69" s="177"/>
      <c r="H69" s="189">
        <v>64</v>
      </c>
      <c r="I69" s="190" t="str">
        <f t="shared" si="1"/>
        <v/>
      </c>
      <c r="J69" s="190" t="e">
        <f t="shared" si="5"/>
        <v>#NUM!</v>
      </c>
      <c r="K69" s="189" t="e">
        <f t="shared" si="2"/>
        <v>#NUM!</v>
      </c>
      <c r="L69" s="189"/>
      <c r="M69" s="191">
        <f t="shared" si="3"/>
        <v>0</v>
      </c>
    </row>
    <row r="70" spans="1:13" x14ac:dyDescent="0.25">
      <c r="A70" s="106">
        <f t="shared" si="4"/>
        <v>0</v>
      </c>
      <c r="G70" s="177"/>
      <c r="H70" s="189">
        <v>65</v>
      </c>
      <c r="I70" s="190" t="str">
        <f t="shared" ref="I70:I133" si="7">IF(H70&lt;$H$2+1,($I$2-($I$2-1)*(LOG(H70)/LOG($H$2))),"")</f>
        <v/>
      </c>
      <c r="J70" s="190" t="e">
        <f t="shared" si="5"/>
        <v>#NUM!</v>
      </c>
      <c r="K70" s="189" t="e">
        <f t="shared" ref="K70:K133" si="8">J70*$J$2</f>
        <v>#NUM!</v>
      </c>
      <c r="L70" s="189"/>
      <c r="M70" s="191">
        <f t="shared" ref="M70:M133" si="9">IF(I70&lt;&gt;"",K70+I70+L70,0)</f>
        <v>0</v>
      </c>
    </row>
    <row r="71" spans="1:13" x14ac:dyDescent="0.25">
      <c r="A71" s="106">
        <f t="shared" ref="A71:A79" si="10">M71</f>
        <v>0</v>
      </c>
      <c r="G71" s="177"/>
      <c r="H71" s="189">
        <v>66</v>
      </c>
      <c r="I71" s="190" t="str">
        <f t="shared" si="7"/>
        <v/>
      </c>
      <c r="J71" s="190" t="e">
        <f t="shared" ref="J71:J134" si="11">INT(LOG($H$2,2))-ROUNDUP(LOG(H71,2),0)+IF(OR($H$2=1,$H$2=2,$H$2=4,$H$2=8,$H$2=16,$H$2=32,$H$2=64,$H$2=128,$H$2=256),0,1)</f>
        <v>#NUM!</v>
      </c>
      <c r="K71" s="189" t="e">
        <f t="shared" si="8"/>
        <v>#NUM!</v>
      </c>
      <c r="L71" s="189"/>
      <c r="M71" s="191">
        <f t="shared" si="9"/>
        <v>0</v>
      </c>
    </row>
    <row r="72" spans="1:13" x14ac:dyDescent="0.25">
      <c r="A72" s="106">
        <f t="shared" si="10"/>
        <v>0</v>
      </c>
      <c r="G72" s="177"/>
      <c r="H72" s="189">
        <v>67</v>
      </c>
      <c r="I72" s="190" t="str">
        <f t="shared" si="7"/>
        <v/>
      </c>
      <c r="J72" s="190" t="e">
        <f t="shared" si="11"/>
        <v>#NUM!</v>
      </c>
      <c r="K72" s="189" t="e">
        <f t="shared" si="8"/>
        <v>#NUM!</v>
      </c>
      <c r="L72" s="189"/>
      <c r="M72" s="191">
        <f t="shared" si="9"/>
        <v>0</v>
      </c>
    </row>
    <row r="73" spans="1:13" x14ac:dyDescent="0.25">
      <c r="A73" s="106">
        <f t="shared" si="10"/>
        <v>0</v>
      </c>
      <c r="G73" s="177"/>
      <c r="H73" s="189">
        <v>68</v>
      </c>
      <c r="I73" s="190" t="str">
        <f t="shared" si="7"/>
        <v/>
      </c>
      <c r="J73" s="190" t="e">
        <f t="shared" si="11"/>
        <v>#NUM!</v>
      </c>
      <c r="K73" s="189" t="e">
        <f t="shared" si="8"/>
        <v>#NUM!</v>
      </c>
      <c r="L73" s="189"/>
      <c r="M73" s="191">
        <f t="shared" si="9"/>
        <v>0</v>
      </c>
    </row>
    <row r="74" spans="1:13" x14ac:dyDescent="0.25">
      <c r="A74" s="106">
        <f t="shared" si="10"/>
        <v>0</v>
      </c>
      <c r="G74" s="177"/>
      <c r="H74" s="189">
        <v>69</v>
      </c>
      <c r="I74" s="190" t="str">
        <f t="shared" si="7"/>
        <v/>
      </c>
      <c r="J74" s="190" t="e">
        <f t="shared" si="11"/>
        <v>#NUM!</v>
      </c>
      <c r="K74" s="189" t="e">
        <f t="shared" si="8"/>
        <v>#NUM!</v>
      </c>
      <c r="L74" s="189"/>
      <c r="M74" s="191">
        <f t="shared" si="9"/>
        <v>0</v>
      </c>
    </row>
    <row r="75" spans="1:13" x14ac:dyDescent="0.25">
      <c r="A75" s="106">
        <f t="shared" si="10"/>
        <v>0</v>
      </c>
      <c r="G75" s="177"/>
      <c r="H75" s="189">
        <v>70</v>
      </c>
      <c r="I75" s="190" t="str">
        <f t="shared" si="7"/>
        <v/>
      </c>
      <c r="J75" s="190" t="e">
        <f t="shared" si="11"/>
        <v>#NUM!</v>
      </c>
      <c r="K75" s="189" t="e">
        <f t="shared" si="8"/>
        <v>#NUM!</v>
      </c>
      <c r="L75" s="189"/>
      <c r="M75" s="191">
        <f t="shared" si="9"/>
        <v>0</v>
      </c>
    </row>
    <row r="76" spans="1:13" x14ac:dyDescent="0.25">
      <c r="A76" s="106">
        <f t="shared" si="10"/>
        <v>0</v>
      </c>
      <c r="G76" s="177"/>
      <c r="H76" s="189">
        <v>71</v>
      </c>
      <c r="I76" s="190" t="str">
        <f t="shared" si="7"/>
        <v/>
      </c>
      <c r="J76" s="190" t="e">
        <f t="shared" si="11"/>
        <v>#NUM!</v>
      </c>
      <c r="K76" s="189" t="e">
        <f t="shared" si="8"/>
        <v>#NUM!</v>
      </c>
      <c r="L76" s="189"/>
      <c r="M76" s="191">
        <f t="shared" si="9"/>
        <v>0</v>
      </c>
    </row>
    <row r="77" spans="1:13" x14ac:dyDescent="0.25">
      <c r="A77" s="106">
        <f t="shared" si="10"/>
        <v>0</v>
      </c>
      <c r="G77" s="177"/>
      <c r="H77" s="189">
        <v>72</v>
      </c>
      <c r="I77" s="190" t="str">
        <f t="shared" si="7"/>
        <v/>
      </c>
      <c r="J77" s="190" t="e">
        <f t="shared" si="11"/>
        <v>#NUM!</v>
      </c>
      <c r="K77" s="189" t="e">
        <f t="shared" si="8"/>
        <v>#NUM!</v>
      </c>
      <c r="L77" s="189"/>
      <c r="M77" s="191">
        <f t="shared" si="9"/>
        <v>0</v>
      </c>
    </row>
    <row r="78" spans="1:13" x14ac:dyDescent="0.25">
      <c r="A78" s="106">
        <f t="shared" si="10"/>
        <v>0</v>
      </c>
      <c r="G78" s="177"/>
      <c r="H78" s="189">
        <v>73</v>
      </c>
      <c r="I78" s="190" t="str">
        <f t="shared" si="7"/>
        <v/>
      </c>
      <c r="J78" s="190" t="e">
        <f t="shared" si="11"/>
        <v>#NUM!</v>
      </c>
      <c r="K78" s="189" t="e">
        <f t="shared" si="8"/>
        <v>#NUM!</v>
      </c>
      <c r="L78" s="189"/>
      <c r="M78" s="191">
        <f t="shared" si="9"/>
        <v>0</v>
      </c>
    </row>
    <row r="79" spans="1:13" x14ac:dyDescent="0.25">
      <c r="A79" s="106">
        <f t="shared" si="10"/>
        <v>0</v>
      </c>
      <c r="G79" s="177"/>
      <c r="H79" s="189">
        <v>74</v>
      </c>
      <c r="I79" s="190" t="str">
        <f t="shared" si="7"/>
        <v/>
      </c>
      <c r="J79" s="190" t="e">
        <f t="shared" si="11"/>
        <v>#NUM!</v>
      </c>
      <c r="K79" s="189" t="e">
        <f t="shared" si="8"/>
        <v>#NUM!</v>
      </c>
      <c r="L79" s="189"/>
      <c r="M79" s="191">
        <f t="shared" si="9"/>
        <v>0</v>
      </c>
    </row>
    <row r="80" spans="1:13" x14ac:dyDescent="0.25">
      <c r="A80" s="102"/>
      <c r="G80" s="177"/>
      <c r="H80" s="189">
        <v>75</v>
      </c>
      <c r="I80" s="190" t="str">
        <f t="shared" si="7"/>
        <v/>
      </c>
      <c r="J80" s="190" t="e">
        <f t="shared" si="11"/>
        <v>#NUM!</v>
      </c>
      <c r="K80" s="189" t="e">
        <f t="shared" si="8"/>
        <v>#NUM!</v>
      </c>
      <c r="L80" s="189"/>
      <c r="M80" s="191">
        <f t="shared" si="9"/>
        <v>0</v>
      </c>
    </row>
    <row r="81" spans="1:13" x14ac:dyDescent="0.25">
      <c r="A81" s="206"/>
      <c r="G81" s="177"/>
      <c r="H81" s="189">
        <v>76</v>
      </c>
      <c r="I81" s="190" t="str">
        <f t="shared" si="7"/>
        <v/>
      </c>
      <c r="J81" s="190" t="e">
        <f t="shared" si="11"/>
        <v>#NUM!</v>
      </c>
      <c r="K81" s="189" t="e">
        <f t="shared" si="8"/>
        <v>#NUM!</v>
      </c>
      <c r="L81" s="189"/>
      <c r="M81" s="191">
        <f t="shared" si="9"/>
        <v>0</v>
      </c>
    </row>
    <row r="82" spans="1:13" x14ac:dyDescent="0.25">
      <c r="A82" s="206"/>
      <c r="G82" s="177"/>
      <c r="H82" s="189">
        <v>77</v>
      </c>
      <c r="I82" s="190" t="str">
        <f t="shared" si="7"/>
        <v/>
      </c>
      <c r="J82" s="190" t="e">
        <f t="shared" si="11"/>
        <v>#NUM!</v>
      </c>
      <c r="K82" s="189" t="e">
        <f t="shared" si="8"/>
        <v>#NUM!</v>
      </c>
      <c r="L82" s="189"/>
      <c r="M82" s="191">
        <f t="shared" si="9"/>
        <v>0</v>
      </c>
    </row>
    <row r="83" spans="1:13" x14ac:dyDescent="0.25">
      <c r="A83" s="206"/>
      <c r="G83" s="177"/>
      <c r="H83" s="189">
        <v>78</v>
      </c>
      <c r="I83" s="190" t="str">
        <f t="shared" si="7"/>
        <v/>
      </c>
      <c r="J83" s="190" t="e">
        <f t="shared" si="11"/>
        <v>#NUM!</v>
      </c>
      <c r="K83" s="189" t="e">
        <f t="shared" si="8"/>
        <v>#NUM!</v>
      </c>
      <c r="L83" s="189"/>
      <c r="M83" s="191">
        <f t="shared" si="9"/>
        <v>0</v>
      </c>
    </row>
    <row r="84" spans="1:13" x14ac:dyDescent="0.25">
      <c r="A84" s="206"/>
      <c r="G84" s="177"/>
      <c r="H84" s="189">
        <v>79</v>
      </c>
      <c r="I84" s="190" t="str">
        <f t="shared" si="7"/>
        <v/>
      </c>
      <c r="J84" s="190" t="e">
        <f t="shared" si="11"/>
        <v>#NUM!</v>
      </c>
      <c r="K84" s="189" t="e">
        <f t="shared" si="8"/>
        <v>#NUM!</v>
      </c>
      <c r="L84" s="189"/>
      <c r="M84" s="191">
        <f t="shared" si="9"/>
        <v>0</v>
      </c>
    </row>
    <row r="85" spans="1:13" x14ac:dyDescent="0.25">
      <c r="A85" s="206"/>
      <c r="G85" s="177"/>
      <c r="H85" s="189">
        <v>80</v>
      </c>
      <c r="I85" s="190" t="str">
        <f t="shared" si="7"/>
        <v/>
      </c>
      <c r="J85" s="190" t="e">
        <f t="shared" si="11"/>
        <v>#NUM!</v>
      </c>
      <c r="K85" s="189" t="e">
        <f t="shared" si="8"/>
        <v>#NUM!</v>
      </c>
      <c r="L85" s="189"/>
      <c r="M85" s="191">
        <f t="shared" si="9"/>
        <v>0</v>
      </c>
    </row>
    <row r="86" spans="1:13" x14ac:dyDescent="0.25">
      <c r="A86" s="206"/>
      <c r="G86" s="177"/>
      <c r="H86" s="189">
        <v>81</v>
      </c>
      <c r="I86" s="190" t="str">
        <f t="shared" si="7"/>
        <v/>
      </c>
      <c r="J86" s="190" t="e">
        <f t="shared" si="11"/>
        <v>#NUM!</v>
      </c>
      <c r="K86" s="189" t="e">
        <f t="shared" si="8"/>
        <v>#NUM!</v>
      </c>
      <c r="L86" s="189"/>
      <c r="M86" s="191">
        <f t="shared" si="9"/>
        <v>0</v>
      </c>
    </row>
    <row r="87" spans="1:13" x14ac:dyDescent="0.25">
      <c r="A87" s="206"/>
      <c r="G87" s="177"/>
      <c r="H87" s="189">
        <v>82</v>
      </c>
      <c r="I87" s="190" t="str">
        <f t="shared" si="7"/>
        <v/>
      </c>
      <c r="J87" s="190" t="e">
        <f t="shared" si="11"/>
        <v>#NUM!</v>
      </c>
      <c r="K87" s="189" t="e">
        <f t="shared" si="8"/>
        <v>#NUM!</v>
      </c>
      <c r="L87" s="189"/>
      <c r="M87" s="191">
        <f t="shared" si="9"/>
        <v>0</v>
      </c>
    </row>
    <row r="88" spans="1:13" x14ac:dyDescent="0.25">
      <c r="A88" s="206"/>
      <c r="G88" s="177"/>
      <c r="H88" s="189">
        <v>83</v>
      </c>
      <c r="I88" s="190" t="str">
        <f t="shared" si="7"/>
        <v/>
      </c>
      <c r="J88" s="190" t="e">
        <f t="shared" si="11"/>
        <v>#NUM!</v>
      </c>
      <c r="K88" s="189" t="e">
        <f t="shared" si="8"/>
        <v>#NUM!</v>
      </c>
      <c r="L88" s="189"/>
      <c r="M88" s="191">
        <f t="shared" si="9"/>
        <v>0</v>
      </c>
    </row>
    <row r="89" spans="1:13" x14ac:dyDescent="0.25">
      <c r="A89" s="206"/>
      <c r="G89" s="177"/>
      <c r="H89" s="189">
        <v>84</v>
      </c>
      <c r="I89" s="190" t="str">
        <f t="shared" si="7"/>
        <v/>
      </c>
      <c r="J89" s="190" t="e">
        <f t="shared" si="11"/>
        <v>#NUM!</v>
      </c>
      <c r="K89" s="189" t="e">
        <f t="shared" si="8"/>
        <v>#NUM!</v>
      </c>
      <c r="L89" s="189"/>
      <c r="M89" s="191">
        <f t="shared" si="9"/>
        <v>0</v>
      </c>
    </row>
    <row r="90" spans="1:13" x14ac:dyDescent="0.25">
      <c r="A90" s="206"/>
      <c r="G90" s="177"/>
      <c r="H90" s="189">
        <v>85</v>
      </c>
      <c r="I90" s="190" t="str">
        <f t="shared" si="7"/>
        <v/>
      </c>
      <c r="J90" s="190" t="e">
        <f t="shared" si="11"/>
        <v>#NUM!</v>
      </c>
      <c r="K90" s="189" t="e">
        <f t="shared" si="8"/>
        <v>#NUM!</v>
      </c>
      <c r="L90" s="189"/>
      <c r="M90" s="191">
        <f t="shared" si="9"/>
        <v>0</v>
      </c>
    </row>
    <row r="91" spans="1:13" x14ac:dyDescent="0.25">
      <c r="A91" s="206"/>
      <c r="G91" s="177"/>
      <c r="H91" s="189">
        <v>86</v>
      </c>
      <c r="I91" s="190" t="str">
        <f t="shared" si="7"/>
        <v/>
      </c>
      <c r="J91" s="190" t="e">
        <f t="shared" si="11"/>
        <v>#NUM!</v>
      </c>
      <c r="K91" s="189" t="e">
        <f t="shared" si="8"/>
        <v>#NUM!</v>
      </c>
      <c r="L91" s="189"/>
      <c r="M91" s="191">
        <f t="shared" si="9"/>
        <v>0</v>
      </c>
    </row>
    <row r="92" spans="1:13" x14ac:dyDescent="0.25">
      <c r="A92" s="206"/>
      <c r="G92" s="177"/>
      <c r="H92" s="189">
        <v>87</v>
      </c>
      <c r="I92" s="190" t="str">
        <f t="shared" si="7"/>
        <v/>
      </c>
      <c r="J92" s="190" t="e">
        <f t="shared" si="11"/>
        <v>#NUM!</v>
      </c>
      <c r="K92" s="189" t="e">
        <f t="shared" si="8"/>
        <v>#NUM!</v>
      </c>
      <c r="L92" s="189"/>
      <c r="M92" s="191">
        <f t="shared" si="9"/>
        <v>0</v>
      </c>
    </row>
    <row r="93" spans="1:13" x14ac:dyDescent="0.25">
      <c r="A93" s="206"/>
      <c r="G93" s="177"/>
      <c r="H93" s="189">
        <v>88</v>
      </c>
      <c r="I93" s="190" t="str">
        <f t="shared" si="7"/>
        <v/>
      </c>
      <c r="J93" s="190" t="e">
        <f t="shared" si="11"/>
        <v>#NUM!</v>
      </c>
      <c r="K93" s="189" t="e">
        <f t="shared" si="8"/>
        <v>#NUM!</v>
      </c>
      <c r="L93" s="189"/>
      <c r="M93" s="191">
        <f t="shared" si="9"/>
        <v>0</v>
      </c>
    </row>
    <row r="94" spans="1:13" x14ac:dyDescent="0.25">
      <c r="A94" s="206"/>
      <c r="G94" s="177"/>
      <c r="H94" s="189">
        <v>89</v>
      </c>
      <c r="I94" s="190" t="str">
        <f t="shared" si="7"/>
        <v/>
      </c>
      <c r="J94" s="190" t="e">
        <f t="shared" si="11"/>
        <v>#NUM!</v>
      </c>
      <c r="K94" s="189" t="e">
        <f t="shared" si="8"/>
        <v>#NUM!</v>
      </c>
      <c r="L94" s="189"/>
      <c r="M94" s="191">
        <f t="shared" si="9"/>
        <v>0</v>
      </c>
    </row>
    <row r="95" spans="1:13" x14ac:dyDescent="0.25">
      <c r="A95" s="206"/>
      <c r="G95" s="177"/>
      <c r="H95" s="189">
        <v>90</v>
      </c>
      <c r="I95" s="190" t="str">
        <f t="shared" si="7"/>
        <v/>
      </c>
      <c r="J95" s="190" t="e">
        <f t="shared" si="11"/>
        <v>#NUM!</v>
      </c>
      <c r="K95" s="189" t="e">
        <f t="shared" si="8"/>
        <v>#NUM!</v>
      </c>
      <c r="L95" s="189"/>
      <c r="M95" s="191">
        <f t="shared" si="9"/>
        <v>0</v>
      </c>
    </row>
    <row r="96" spans="1:13" x14ac:dyDescent="0.25">
      <c r="A96" s="206"/>
      <c r="G96" s="177"/>
      <c r="H96" s="189">
        <v>91</v>
      </c>
      <c r="I96" s="190" t="str">
        <f t="shared" si="7"/>
        <v/>
      </c>
      <c r="J96" s="190" t="e">
        <f t="shared" si="11"/>
        <v>#NUM!</v>
      </c>
      <c r="K96" s="189" t="e">
        <f t="shared" si="8"/>
        <v>#NUM!</v>
      </c>
      <c r="L96" s="189"/>
      <c r="M96" s="191">
        <f t="shared" si="9"/>
        <v>0</v>
      </c>
    </row>
    <row r="97" spans="1:13" x14ac:dyDescent="0.25">
      <c r="A97" s="206"/>
      <c r="G97" s="177"/>
      <c r="H97" s="189">
        <v>92</v>
      </c>
      <c r="I97" s="190" t="str">
        <f t="shared" si="7"/>
        <v/>
      </c>
      <c r="J97" s="190" t="e">
        <f t="shared" si="11"/>
        <v>#NUM!</v>
      </c>
      <c r="K97" s="189" t="e">
        <f t="shared" si="8"/>
        <v>#NUM!</v>
      </c>
      <c r="L97" s="189"/>
      <c r="M97" s="191">
        <f t="shared" si="9"/>
        <v>0</v>
      </c>
    </row>
    <row r="98" spans="1:13" x14ac:dyDescent="0.25">
      <c r="A98" s="206"/>
      <c r="G98" s="177"/>
      <c r="H98" s="189">
        <v>93</v>
      </c>
      <c r="I98" s="190" t="str">
        <f t="shared" si="7"/>
        <v/>
      </c>
      <c r="J98" s="190" t="e">
        <f t="shared" si="11"/>
        <v>#NUM!</v>
      </c>
      <c r="K98" s="189" t="e">
        <f t="shared" si="8"/>
        <v>#NUM!</v>
      </c>
      <c r="L98" s="189"/>
      <c r="M98" s="191">
        <f t="shared" si="9"/>
        <v>0</v>
      </c>
    </row>
    <row r="99" spans="1:13" x14ac:dyDescent="0.25">
      <c r="A99" s="206"/>
      <c r="G99" s="177"/>
      <c r="H99" s="189">
        <v>94</v>
      </c>
      <c r="I99" s="190" t="str">
        <f t="shared" si="7"/>
        <v/>
      </c>
      <c r="J99" s="190" t="e">
        <f t="shared" si="11"/>
        <v>#NUM!</v>
      </c>
      <c r="K99" s="189" t="e">
        <f t="shared" si="8"/>
        <v>#NUM!</v>
      </c>
      <c r="L99" s="189"/>
      <c r="M99" s="191">
        <f t="shared" si="9"/>
        <v>0</v>
      </c>
    </row>
    <row r="100" spans="1:13" x14ac:dyDescent="0.25">
      <c r="A100" s="206"/>
      <c r="G100" s="177"/>
      <c r="H100" s="189">
        <v>95</v>
      </c>
      <c r="I100" s="190" t="str">
        <f t="shared" si="7"/>
        <v/>
      </c>
      <c r="J100" s="190" t="e">
        <f t="shared" si="11"/>
        <v>#NUM!</v>
      </c>
      <c r="K100" s="189" t="e">
        <f t="shared" si="8"/>
        <v>#NUM!</v>
      </c>
      <c r="L100" s="189"/>
      <c r="M100" s="191">
        <f t="shared" si="9"/>
        <v>0</v>
      </c>
    </row>
    <row r="101" spans="1:13" x14ac:dyDescent="0.25">
      <c r="A101" s="206"/>
      <c r="G101" s="177"/>
      <c r="H101" s="189">
        <v>96</v>
      </c>
      <c r="I101" s="190" t="str">
        <f t="shared" si="7"/>
        <v/>
      </c>
      <c r="J101" s="190" t="e">
        <f t="shared" si="11"/>
        <v>#NUM!</v>
      </c>
      <c r="K101" s="189" t="e">
        <f t="shared" si="8"/>
        <v>#NUM!</v>
      </c>
      <c r="L101" s="189"/>
      <c r="M101" s="191">
        <f t="shared" si="9"/>
        <v>0</v>
      </c>
    </row>
    <row r="102" spans="1:13" x14ac:dyDescent="0.25">
      <c r="A102" s="206"/>
      <c r="G102" s="177"/>
      <c r="H102" s="189">
        <v>97</v>
      </c>
      <c r="I102" s="190" t="str">
        <f t="shared" si="7"/>
        <v/>
      </c>
      <c r="J102" s="190" t="e">
        <f t="shared" si="11"/>
        <v>#NUM!</v>
      </c>
      <c r="K102" s="189" t="e">
        <f t="shared" si="8"/>
        <v>#NUM!</v>
      </c>
      <c r="L102" s="189"/>
      <c r="M102" s="191">
        <f t="shared" si="9"/>
        <v>0</v>
      </c>
    </row>
    <row r="103" spans="1:13" x14ac:dyDescent="0.25">
      <c r="A103" s="206"/>
      <c r="G103" s="177"/>
      <c r="H103" s="189">
        <v>98</v>
      </c>
      <c r="I103" s="190" t="str">
        <f t="shared" si="7"/>
        <v/>
      </c>
      <c r="J103" s="190" t="e">
        <f t="shared" si="11"/>
        <v>#NUM!</v>
      </c>
      <c r="K103" s="189" t="e">
        <f t="shared" si="8"/>
        <v>#NUM!</v>
      </c>
      <c r="L103" s="189"/>
      <c r="M103" s="191">
        <f t="shared" si="9"/>
        <v>0</v>
      </c>
    </row>
    <row r="104" spans="1:13" x14ac:dyDescent="0.25">
      <c r="A104" s="206"/>
      <c r="G104" s="177"/>
      <c r="H104" s="189">
        <v>99</v>
      </c>
      <c r="I104" s="190" t="str">
        <f t="shared" si="7"/>
        <v/>
      </c>
      <c r="J104" s="190" t="e">
        <f t="shared" si="11"/>
        <v>#NUM!</v>
      </c>
      <c r="K104" s="189" t="e">
        <f t="shared" si="8"/>
        <v>#NUM!</v>
      </c>
      <c r="L104" s="189"/>
      <c r="M104" s="191">
        <f t="shared" si="9"/>
        <v>0</v>
      </c>
    </row>
    <row r="105" spans="1:13" x14ac:dyDescent="0.25">
      <c r="A105" s="206"/>
      <c r="G105" s="177"/>
      <c r="H105" s="189">
        <v>100</v>
      </c>
      <c r="I105" s="190" t="str">
        <f t="shared" si="7"/>
        <v/>
      </c>
      <c r="J105" s="190" t="e">
        <f t="shared" si="11"/>
        <v>#NUM!</v>
      </c>
      <c r="K105" s="189" t="e">
        <f t="shared" si="8"/>
        <v>#NUM!</v>
      </c>
      <c r="L105" s="189"/>
      <c r="M105" s="191">
        <f t="shared" si="9"/>
        <v>0</v>
      </c>
    </row>
    <row r="106" spans="1:13" x14ac:dyDescent="0.25">
      <c r="A106" s="206"/>
      <c r="G106" s="177"/>
      <c r="H106" s="189">
        <v>101</v>
      </c>
      <c r="I106" s="190" t="str">
        <f t="shared" si="7"/>
        <v/>
      </c>
      <c r="J106" s="190" t="e">
        <f t="shared" si="11"/>
        <v>#NUM!</v>
      </c>
      <c r="K106" s="189" t="e">
        <f t="shared" si="8"/>
        <v>#NUM!</v>
      </c>
      <c r="L106" s="189"/>
      <c r="M106" s="191">
        <f t="shared" si="9"/>
        <v>0</v>
      </c>
    </row>
    <row r="107" spans="1:13" x14ac:dyDescent="0.25">
      <c r="A107" s="206"/>
      <c r="G107" s="177"/>
      <c r="H107" s="189">
        <v>102</v>
      </c>
      <c r="I107" s="190" t="str">
        <f t="shared" si="7"/>
        <v/>
      </c>
      <c r="J107" s="190" t="e">
        <f t="shared" si="11"/>
        <v>#NUM!</v>
      </c>
      <c r="K107" s="189" t="e">
        <f t="shared" si="8"/>
        <v>#NUM!</v>
      </c>
      <c r="L107" s="189"/>
      <c r="M107" s="191">
        <f t="shared" si="9"/>
        <v>0</v>
      </c>
    </row>
    <row r="108" spans="1:13" x14ac:dyDescent="0.25">
      <c r="A108" s="206"/>
      <c r="G108" s="177"/>
      <c r="H108" s="189">
        <v>103</v>
      </c>
      <c r="I108" s="190" t="str">
        <f t="shared" si="7"/>
        <v/>
      </c>
      <c r="J108" s="190" t="e">
        <f t="shared" si="11"/>
        <v>#NUM!</v>
      </c>
      <c r="K108" s="189" t="e">
        <f t="shared" si="8"/>
        <v>#NUM!</v>
      </c>
      <c r="L108" s="189"/>
      <c r="M108" s="191">
        <f t="shared" si="9"/>
        <v>0</v>
      </c>
    </row>
    <row r="109" spans="1:13" x14ac:dyDescent="0.25">
      <c r="A109" s="206"/>
      <c r="G109" s="177"/>
      <c r="H109" s="189">
        <v>104</v>
      </c>
      <c r="I109" s="190" t="str">
        <f t="shared" si="7"/>
        <v/>
      </c>
      <c r="J109" s="190" t="e">
        <f t="shared" si="11"/>
        <v>#NUM!</v>
      </c>
      <c r="K109" s="189" t="e">
        <f t="shared" si="8"/>
        <v>#NUM!</v>
      </c>
      <c r="L109" s="189"/>
      <c r="M109" s="191">
        <f t="shared" si="9"/>
        <v>0</v>
      </c>
    </row>
    <row r="110" spans="1:13" x14ac:dyDescent="0.25">
      <c r="A110" s="206"/>
      <c r="G110" s="177"/>
      <c r="H110" s="189">
        <v>105</v>
      </c>
      <c r="I110" s="190" t="str">
        <f t="shared" si="7"/>
        <v/>
      </c>
      <c r="J110" s="190" t="e">
        <f t="shared" si="11"/>
        <v>#NUM!</v>
      </c>
      <c r="K110" s="189" t="e">
        <f t="shared" si="8"/>
        <v>#NUM!</v>
      </c>
      <c r="L110" s="189"/>
      <c r="M110" s="191">
        <f t="shared" si="9"/>
        <v>0</v>
      </c>
    </row>
    <row r="111" spans="1:13" x14ac:dyDescent="0.25">
      <c r="A111" s="206"/>
      <c r="G111" s="177"/>
      <c r="H111" s="189">
        <v>106</v>
      </c>
      <c r="I111" s="190" t="str">
        <f t="shared" si="7"/>
        <v/>
      </c>
      <c r="J111" s="190" t="e">
        <f t="shared" si="11"/>
        <v>#NUM!</v>
      </c>
      <c r="K111" s="189" t="e">
        <f t="shared" si="8"/>
        <v>#NUM!</v>
      </c>
      <c r="L111" s="189"/>
      <c r="M111" s="191">
        <f t="shared" si="9"/>
        <v>0</v>
      </c>
    </row>
    <row r="112" spans="1:13" x14ac:dyDescent="0.25">
      <c r="A112" s="206"/>
      <c r="G112" s="177"/>
      <c r="H112" s="189">
        <v>107</v>
      </c>
      <c r="I112" s="190" t="str">
        <f t="shared" si="7"/>
        <v/>
      </c>
      <c r="J112" s="190" t="e">
        <f t="shared" si="11"/>
        <v>#NUM!</v>
      </c>
      <c r="K112" s="189" t="e">
        <f t="shared" si="8"/>
        <v>#NUM!</v>
      </c>
      <c r="L112" s="189"/>
      <c r="M112" s="191">
        <f t="shared" si="9"/>
        <v>0</v>
      </c>
    </row>
    <row r="113" spans="1:13" x14ac:dyDescent="0.25">
      <c r="A113" s="206"/>
      <c r="G113" s="177"/>
      <c r="H113" s="189">
        <v>108</v>
      </c>
      <c r="I113" s="190" t="str">
        <f t="shared" si="7"/>
        <v/>
      </c>
      <c r="J113" s="190" t="e">
        <f t="shared" si="11"/>
        <v>#NUM!</v>
      </c>
      <c r="K113" s="189" t="e">
        <f t="shared" si="8"/>
        <v>#NUM!</v>
      </c>
      <c r="L113" s="189"/>
      <c r="M113" s="191">
        <f t="shared" si="9"/>
        <v>0</v>
      </c>
    </row>
    <row r="114" spans="1:13" x14ac:dyDescent="0.25">
      <c r="A114" s="206"/>
      <c r="G114" s="177"/>
      <c r="H114" s="189">
        <v>109</v>
      </c>
      <c r="I114" s="190" t="str">
        <f t="shared" si="7"/>
        <v/>
      </c>
      <c r="J114" s="190" t="e">
        <f t="shared" si="11"/>
        <v>#NUM!</v>
      </c>
      <c r="K114" s="189" t="e">
        <f t="shared" si="8"/>
        <v>#NUM!</v>
      </c>
      <c r="L114" s="189"/>
      <c r="M114" s="191">
        <f t="shared" si="9"/>
        <v>0</v>
      </c>
    </row>
    <row r="115" spans="1:13" x14ac:dyDescent="0.25">
      <c r="A115" s="206"/>
      <c r="G115" s="177"/>
      <c r="H115" s="189">
        <v>110</v>
      </c>
      <c r="I115" s="190" t="str">
        <f t="shared" si="7"/>
        <v/>
      </c>
      <c r="J115" s="190" t="e">
        <f t="shared" si="11"/>
        <v>#NUM!</v>
      </c>
      <c r="K115" s="189" t="e">
        <f t="shared" si="8"/>
        <v>#NUM!</v>
      </c>
      <c r="L115" s="189"/>
      <c r="M115" s="191">
        <f t="shared" si="9"/>
        <v>0</v>
      </c>
    </row>
    <row r="116" spans="1:13" x14ac:dyDescent="0.25">
      <c r="A116" s="206"/>
      <c r="G116" s="177"/>
      <c r="H116" s="189">
        <v>111</v>
      </c>
      <c r="I116" s="190" t="str">
        <f t="shared" si="7"/>
        <v/>
      </c>
      <c r="J116" s="190" t="e">
        <f t="shared" si="11"/>
        <v>#NUM!</v>
      </c>
      <c r="K116" s="189" t="e">
        <f t="shared" si="8"/>
        <v>#NUM!</v>
      </c>
      <c r="L116" s="189"/>
      <c r="M116" s="191">
        <f t="shared" si="9"/>
        <v>0</v>
      </c>
    </row>
    <row r="117" spans="1:13" x14ac:dyDescent="0.25">
      <c r="A117" s="206"/>
      <c r="G117" s="177"/>
      <c r="H117" s="189">
        <v>112</v>
      </c>
      <c r="I117" s="190" t="str">
        <f t="shared" si="7"/>
        <v/>
      </c>
      <c r="J117" s="190" t="e">
        <f t="shared" si="11"/>
        <v>#NUM!</v>
      </c>
      <c r="K117" s="189" t="e">
        <f t="shared" si="8"/>
        <v>#NUM!</v>
      </c>
      <c r="L117" s="189"/>
      <c r="M117" s="191">
        <f t="shared" si="9"/>
        <v>0</v>
      </c>
    </row>
    <row r="118" spans="1:13" x14ac:dyDescent="0.25">
      <c r="A118" s="206"/>
      <c r="G118" s="177"/>
      <c r="H118" s="189">
        <v>113</v>
      </c>
      <c r="I118" s="190" t="str">
        <f t="shared" si="7"/>
        <v/>
      </c>
      <c r="J118" s="190" t="e">
        <f t="shared" si="11"/>
        <v>#NUM!</v>
      </c>
      <c r="K118" s="189" t="e">
        <f t="shared" si="8"/>
        <v>#NUM!</v>
      </c>
      <c r="L118" s="189"/>
      <c r="M118" s="191">
        <f t="shared" si="9"/>
        <v>0</v>
      </c>
    </row>
    <row r="119" spans="1:13" x14ac:dyDescent="0.25">
      <c r="A119" s="206"/>
      <c r="G119" s="177"/>
      <c r="H119" s="189">
        <v>114</v>
      </c>
      <c r="I119" s="190" t="str">
        <f t="shared" si="7"/>
        <v/>
      </c>
      <c r="J119" s="190" t="e">
        <f t="shared" si="11"/>
        <v>#NUM!</v>
      </c>
      <c r="K119" s="189" t="e">
        <f t="shared" si="8"/>
        <v>#NUM!</v>
      </c>
      <c r="L119" s="189"/>
      <c r="M119" s="191">
        <f t="shared" si="9"/>
        <v>0</v>
      </c>
    </row>
    <row r="120" spans="1:13" x14ac:dyDescent="0.25">
      <c r="A120" s="206"/>
      <c r="G120" s="177"/>
      <c r="H120" s="189">
        <v>115</v>
      </c>
      <c r="I120" s="190" t="str">
        <f t="shared" si="7"/>
        <v/>
      </c>
      <c r="J120" s="190" t="e">
        <f t="shared" si="11"/>
        <v>#NUM!</v>
      </c>
      <c r="K120" s="189" t="e">
        <f t="shared" si="8"/>
        <v>#NUM!</v>
      </c>
      <c r="L120" s="189"/>
      <c r="M120" s="191">
        <f t="shared" si="9"/>
        <v>0</v>
      </c>
    </row>
    <row r="121" spans="1:13" x14ac:dyDescent="0.25">
      <c r="A121" s="206"/>
      <c r="G121" s="177"/>
      <c r="H121" s="189">
        <v>116</v>
      </c>
      <c r="I121" s="190" t="str">
        <f t="shared" si="7"/>
        <v/>
      </c>
      <c r="J121" s="190" t="e">
        <f t="shared" si="11"/>
        <v>#NUM!</v>
      </c>
      <c r="K121" s="189" t="e">
        <f t="shared" si="8"/>
        <v>#NUM!</v>
      </c>
      <c r="L121" s="189"/>
      <c r="M121" s="191">
        <f t="shared" si="9"/>
        <v>0</v>
      </c>
    </row>
    <row r="122" spans="1:13" x14ac:dyDescent="0.25">
      <c r="A122" s="206"/>
      <c r="G122" s="177"/>
      <c r="H122" s="189">
        <v>117</v>
      </c>
      <c r="I122" s="190" t="str">
        <f t="shared" si="7"/>
        <v/>
      </c>
      <c r="J122" s="190" t="e">
        <f t="shared" si="11"/>
        <v>#NUM!</v>
      </c>
      <c r="K122" s="189" t="e">
        <f t="shared" si="8"/>
        <v>#NUM!</v>
      </c>
      <c r="L122" s="189"/>
      <c r="M122" s="191">
        <f t="shared" si="9"/>
        <v>0</v>
      </c>
    </row>
    <row r="123" spans="1:13" x14ac:dyDescent="0.25">
      <c r="A123" s="206"/>
      <c r="G123" s="177"/>
      <c r="H123" s="189">
        <v>118</v>
      </c>
      <c r="I123" s="190" t="str">
        <f t="shared" si="7"/>
        <v/>
      </c>
      <c r="J123" s="190" t="e">
        <f t="shared" si="11"/>
        <v>#NUM!</v>
      </c>
      <c r="K123" s="189" t="e">
        <f t="shared" si="8"/>
        <v>#NUM!</v>
      </c>
      <c r="L123" s="189"/>
      <c r="M123" s="191">
        <f t="shared" si="9"/>
        <v>0</v>
      </c>
    </row>
    <row r="124" spans="1:13" x14ac:dyDescent="0.25">
      <c r="A124" s="206"/>
      <c r="G124" s="177"/>
      <c r="H124" s="189">
        <v>119</v>
      </c>
      <c r="I124" s="190" t="str">
        <f t="shared" si="7"/>
        <v/>
      </c>
      <c r="J124" s="190" t="e">
        <f t="shared" si="11"/>
        <v>#NUM!</v>
      </c>
      <c r="K124" s="189" t="e">
        <f t="shared" si="8"/>
        <v>#NUM!</v>
      </c>
      <c r="L124" s="189"/>
      <c r="M124" s="191">
        <f t="shared" si="9"/>
        <v>0</v>
      </c>
    </row>
    <row r="125" spans="1:13" x14ac:dyDescent="0.25">
      <c r="A125" s="206"/>
      <c r="G125" s="177"/>
      <c r="H125" s="189">
        <v>120</v>
      </c>
      <c r="I125" s="190" t="str">
        <f t="shared" si="7"/>
        <v/>
      </c>
      <c r="J125" s="190" t="e">
        <f t="shared" si="11"/>
        <v>#NUM!</v>
      </c>
      <c r="K125" s="189" t="e">
        <f t="shared" si="8"/>
        <v>#NUM!</v>
      </c>
      <c r="L125" s="189"/>
      <c r="M125" s="191">
        <f t="shared" si="9"/>
        <v>0</v>
      </c>
    </row>
    <row r="126" spans="1:13" x14ac:dyDescent="0.25">
      <c r="A126" s="206"/>
      <c r="G126" s="177"/>
      <c r="H126" s="189">
        <v>121</v>
      </c>
      <c r="I126" s="190" t="str">
        <f t="shared" si="7"/>
        <v/>
      </c>
      <c r="J126" s="190" t="e">
        <f t="shared" si="11"/>
        <v>#NUM!</v>
      </c>
      <c r="K126" s="189" t="e">
        <f t="shared" si="8"/>
        <v>#NUM!</v>
      </c>
      <c r="L126" s="189"/>
      <c r="M126" s="191">
        <f t="shared" si="9"/>
        <v>0</v>
      </c>
    </row>
    <row r="127" spans="1:13" x14ac:dyDescent="0.25">
      <c r="A127" s="206"/>
      <c r="G127" s="177"/>
      <c r="H127" s="189">
        <v>122</v>
      </c>
      <c r="I127" s="190" t="str">
        <f t="shared" si="7"/>
        <v/>
      </c>
      <c r="J127" s="190" t="e">
        <f t="shared" si="11"/>
        <v>#NUM!</v>
      </c>
      <c r="K127" s="189" t="e">
        <f t="shared" si="8"/>
        <v>#NUM!</v>
      </c>
      <c r="L127" s="189"/>
      <c r="M127" s="191">
        <f t="shared" si="9"/>
        <v>0</v>
      </c>
    </row>
    <row r="128" spans="1:13" x14ac:dyDescent="0.25">
      <c r="A128" s="206"/>
      <c r="G128" s="177"/>
      <c r="H128" s="189">
        <v>123</v>
      </c>
      <c r="I128" s="190" t="str">
        <f t="shared" si="7"/>
        <v/>
      </c>
      <c r="J128" s="190" t="e">
        <f t="shared" si="11"/>
        <v>#NUM!</v>
      </c>
      <c r="K128" s="189" t="e">
        <f t="shared" si="8"/>
        <v>#NUM!</v>
      </c>
      <c r="L128" s="189"/>
      <c r="M128" s="191">
        <f t="shared" si="9"/>
        <v>0</v>
      </c>
    </row>
    <row r="129" spans="1:13" x14ac:dyDescent="0.25">
      <c r="A129" s="206"/>
      <c r="G129" s="177"/>
      <c r="H129" s="189">
        <v>124</v>
      </c>
      <c r="I129" s="190" t="str">
        <f t="shared" si="7"/>
        <v/>
      </c>
      <c r="J129" s="190" t="e">
        <f t="shared" si="11"/>
        <v>#NUM!</v>
      </c>
      <c r="K129" s="189" t="e">
        <f t="shared" si="8"/>
        <v>#NUM!</v>
      </c>
      <c r="L129" s="189"/>
      <c r="M129" s="191">
        <f t="shared" si="9"/>
        <v>0</v>
      </c>
    </row>
    <row r="130" spans="1:13" x14ac:dyDescent="0.25">
      <c r="A130" s="206"/>
      <c r="G130" s="177"/>
      <c r="H130" s="189">
        <v>125</v>
      </c>
      <c r="I130" s="190" t="str">
        <f t="shared" si="7"/>
        <v/>
      </c>
      <c r="J130" s="190" t="e">
        <f t="shared" si="11"/>
        <v>#NUM!</v>
      </c>
      <c r="K130" s="189" t="e">
        <f t="shared" si="8"/>
        <v>#NUM!</v>
      </c>
      <c r="L130" s="189"/>
      <c r="M130" s="191">
        <f t="shared" si="9"/>
        <v>0</v>
      </c>
    </row>
    <row r="131" spans="1:13" x14ac:dyDescent="0.25">
      <c r="A131" s="206"/>
      <c r="G131" s="177"/>
      <c r="H131" s="189">
        <v>126</v>
      </c>
      <c r="I131" s="190" t="str">
        <f t="shared" si="7"/>
        <v/>
      </c>
      <c r="J131" s="190" t="e">
        <f t="shared" si="11"/>
        <v>#NUM!</v>
      </c>
      <c r="K131" s="189" t="e">
        <f t="shared" si="8"/>
        <v>#NUM!</v>
      </c>
      <c r="L131" s="189"/>
      <c r="M131" s="191">
        <f t="shared" si="9"/>
        <v>0</v>
      </c>
    </row>
    <row r="132" spans="1:13" x14ac:dyDescent="0.25">
      <c r="A132" s="206"/>
      <c r="G132" s="177"/>
      <c r="H132" s="189">
        <v>127</v>
      </c>
      <c r="I132" s="190" t="str">
        <f t="shared" si="7"/>
        <v/>
      </c>
      <c r="J132" s="190" t="e">
        <f t="shared" si="11"/>
        <v>#NUM!</v>
      </c>
      <c r="K132" s="189" t="e">
        <f t="shared" si="8"/>
        <v>#NUM!</v>
      </c>
      <c r="L132" s="189"/>
      <c r="M132" s="191">
        <f t="shared" si="9"/>
        <v>0</v>
      </c>
    </row>
    <row r="133" spans="1:13" x14ac:dyDescent="0.25">
      <c r="A133" s="206"/>
      <c r="G133" s="177"/>
      <c r="H133" s="189">
        <v>128</v>
      </c>
      <c r="I133" s="190" t="str">
        <f t="shared" si="7"/>
        <v/>
      </c>
      <c r="J133" s="190" t="e">
        <f t="shared" si="11"/>
        <v>#NUM!</v>
      </c>
      <c r="K133" s="189" t="e">
        <f t="shared" si="8"/>
        <v>#NUM!</v>
      </c>
      <c r="L133" s="189"/>
      <c r="M133" s="191">
        <f t="shared" si="9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2">IF(H134&lt;$H$2+1,($I$2-($I$2-1)*(LOG(H134)/LOG($H$2))),"")</f>
        <v/>
      </c>
      <c r="J134" s="190" t="e">
        <f t="shared" si="11"/>
        <v>#NUM!</v>
      </c>
      <c r="K134" s="189" t="e">
        <f t="shared" ref="K134:K197" si="13">J134*$J$2</f>
        <v>#NUM!</v>
      </c>
      <c r="L134" s="189"/>
      <c r="M134" s="191">
        <f t="shared" ref="M134:M197" si="14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2"/>
        <v/>
      </c>
      <c r="J135" s="190" t="e">
        <f t="shared" ref="J135:J198" si="15">INT(LOG($H$2,2))-ROUNDUP(LOG(H135,2),0)+IF(OR($H$2=1,$H$2=2,$H$2=4,$H$2=8,$H$2=16,$H$2=32,$H$2=64,$H$2=128,$H$2=256),0,1)</f>
        <v>#NUM!</v>
      </c>
      <c r="K135" s="189" t="e">
        <f t="shared" si="13"/>
        <v>#NUM!</v>
      </c>
      <c r="L135" s="189"/>
      <c r="M135" s="191">
        <f t="shared" si="14"/>
        <v>0</v>
      </c>
    </row>
    <row r="136" spans="1:13" x14ac:dyDescent="0.25">
      <c r="A136" s="206"/>
      <c r="G136" s="177"/>
      <c r="H136" s="189">
        <v>131</v>
      </c>
      <c r="I136" s="190" t="str">
        <f t="shared" si="12"/>
        <v/>
      </c>
      <c r="J136" s="190" t="e">
        <f t="shared" si="15"/>
        <v>#NUM!</v>
      </c>
      <c r="K136" s="189" t="e">
        <f t="shared" si="13"/>
        <v>#NUM!</v>
      </c>
      <c r="L136" s="189"/>
      <c r="M136" s="191">
        <f t="shared" si="14"/>
        <v>0</v>
      </c>
    </row>
    <row r="137" spans="1:13" x14ac:dyDescent="0.25">
      <c r="A137" s="206"/>
      <c r="G137" s="177"/>
      <c r="H137" s="189">
        <v>132</v>
      </c>
      <c r="I137" s="190" t="str">
        <f t="shared" si="12"/>
        <v/>
      </c>
      <c r="J137" s="190" t="e">
        <f t="shared" si="15"/>
        <v>#NUM!</v>
      </c>
      <c r="K137" s="189" t="e">
        <f t="shared" si="13"/>
        <v>#NUM!</v>
      </c>
      <c r="L137" s="189"/>
      <c r="M137" s="191">
        <f t="shared" si="14"/>
        <v>0</v>
      </c>
    </row>
    <row r="138" spans="1:13" x14ac:dyDescent="0.25">
      <c r="A138" s="206"/>
      <c r="G138" s="177"/>
      <c r="H138" s="189">
        <v>133</v>
      </c>
      <c r="I138" s="190" t="str">
        <f t="shared" si="12"/>
        <v/>
      </c>
      <c r="J138" s="190" t="e">
        <f t="shared" si="15"/>
        <v>#NUM!</v>
      </c>
      <c r="K138" s="189" t="e">
        <f t="shared" si="13"/>
        <v>#NUM!</v>
      </c>
      <c r="L138" s="189"/>
      <c r="M138" s="191">
        <f t="shared" si="14"/>
        <v>0</v>
      </c>
    </row>
    <row r="139" spans="1:13" x14ac:dyDescent="0.25">
      <c r="A139" s="206"/>
      <c r="G139" s="177"/>
      <c r="H139" s="189">
        <v>134</v>
      </c>
      <c r="I139" s="190" t="str">
        <f t="shared" si="12"/>
        <v/>
      </c>
      <c r="J139" s="190" t="e">
        <f t="shared" si="15"/>
        <v>#NUM!</v>
      </c>
      <c r="K139" s="189" t="e">
        <f t="shared" si="13"/>
        <v>#NUM!</v>
      </c>
      <c r="L139" s="189"/>
      <c r="M139" s="191">
        <f t="shared" si="14"/>
        <v>0</v>
      </c>
    </row>
    <row r="140" spans="1:13" x14ac:dyDescent="0.25">
      <c r="A140" s="206"/>
      <c r="G140" s="177"/>
      <c r="H140" s="189">
        <v>135</v>
      </c>
      <c r="I140" s="190" t="str">
        <f t="shared" si="12"/>
        <v/>
      </c>
      <c r="J140" s="190" t="e">
        <f t="shared" si="15"/>
        <v>#NUM!</v>
      </c>
      <c r="K140" s="189" t="e">
        <f t="shared" si="13"/>
        <v>#NUM!</v>
      </c>
      <c r="L140" s="189"/>
      <c r="M140" s="191">
        <f t="shared" si="14"/>
        <v>0</v>
      </c>
    </row>
    <row r="141" spans="1:13" x14ac:dyDescent="0.25">
      <c r="A141" s="206"/>
      <c r="G141" s="177"/>
      <c r="H141" s="189">
        <v>136</v>
      </c>
      <c r="I141" s="190" t="str">
        <f t="shared" si="12"/>
        <v/>
      </c>
      <c r="J141" s="190" t="e">
        <f t="shared" si="15"/>
        <v>#NUM!</v>
      </c>
      <c r="K141" s="189" t="e">
        <f t="shared" si="13"/>
        <v>#NUM!</v>
      </c>
      <c r="L141" s="189"/>
      <c r="M141" s="191">
        <f t="shared" si="14"/>
        <v>0</v>
      </c>
    </row>
    <row r="142" spans="1:13" x14ac:dyDescent="0.25">
      <c r="A142" s="206"/>
      <c r="G142" s="177"/>
      <c r="H142" s="189">
        <v>137</v>
      </c>
      <c r="I142" s="190" t="str">
        <f t="shared" si="12"/>
        <v/>
      </c>
      <c r="J142" s="190" t="e">
        <f t="shared" si="15"/>
        <v>#NUM!</v>
      </c>
      <c r="K142" s="189" t="e">
        <f t="shared" si="13"/>
        <v>#NUM!</v>
      </c>
      <c r="L142" s="189"/>
      <c r="M142" s="191">
        <f t="shared" si="14"/>
        <v>0</v>
      </c>
    </row>
    <row r="143" spans="1:13" x14ac:dyDescent="0.25">
      <c r="A143" s="206"/>
      <c r="G143" s="177"/>
      <c r="H143" s="189">
        <v>138</v>
      </c>
      <c r="I143" s="190" t="str">
        <f t="shared" si="12"/>
        <v/>
      </c>
      <c r="J143" s="190" t="e">
        <f t="shared" si="15"/>
        <v>#NUM!</v>
      </c>
      <c r="K143" s="189" t="e">
        <f t="shared" si="13"/>
        <v>#NUM!</v>
      </c>
      <c r="L143" s="189"/>
      <c r="M143" s="191">
        <f t="shared" si="14"/>
        <v>0</v>
      </c>
    </row>
    <row r="144" spans="1:13" x14ac:dyDescent="0.25">
      <c r="A144" s="206"/>
      <c r="G144" s="177"/>
      <c r="H144" s="189">
        <v>139</v>
      </c>
      <c r="I144" s="190" t="str">
        <f t="shared" si="12"/>
        <v/>
      </c>
      <c r="J144" s="190" t="e">
        <f t="shared" si="15"/>
        <v>#NUM!</v>
      </c>
      <c r="K144" s="189" t="e">
        <f t="shared" si="13"/>
        <v>#NUM!</v>
      </c>
      <c r="L144" s="189"/>
      <c r="M144" s="191">
        <f t="shared" si="14"/>
        <v>0</v>
      </c>
    </row>
    <row r="145" spans="1:13" x14ac:dyDescent="0.25">
      <c r="A145" s="206"/>
      <c r="G145" s="177"/>
      <c r="H145" s="189">
        <v>140</v>
      </c>
      <c r="I145" s="190" t="str">
        <f t="shared" si="12"/>
        <v/>
      </c>
      <c r="J145" s="190" t="e">
        <f t="shared" si="15"/>
        <v>#NUM!</v>
      </c>
      <c r="K145" s="189" t="e">
        <f t="shared" si="13"/>
        <v>#NUM!</v>
      </c>
      <c r="L145" s="189"/>
      <c r="M145" s="191">
        <f t="shared" si="14"/>
        <v>0</v>
      </c>
    </row>
    <row r="146" spans="1:13" x14ac:dyDescent="0.25">
      <c r="A146" s="206"/>
      <c r="G146" s="177"/>
      <c r="H146" s="189">
        <v>141</v>
      </c>
      <c r="I146" s="190" t="str">
        <f t="shared" si="12"/>
        <v/>
      </c>
      <c r="J146" s="190" t="e">
        <f t="shared" si="15"/>
        <v>#NUM!</v>
      </c>
      <c r="K146" s="189" t="e">
        <f t="shared" si="13"/>
        <v>#NUM!</v>
      </c>
      <c r="L146" s="189"/>
      <c r="M146" s="191">
        <f t="shared" si="14"/>
        <v>0</v>
      </c>
    </row>
    <row r="147" spans="1:13" x14ac:dyDescent="0.25">
      <c r="A147" s="206"/>
      <c r="G147" s="177"/>
      <c r="H147" s="189">
        <v>142</v>
      </c>
      <c r="I147" s="190" t="str">
        <f t="shared" si="12"/>
        <v/>
      </c>
      <c r="J147" s="190" t="e">
        <f t="shared" si="15"/>
        <v>#NUM!</v>
      </c>
      <c r="K147" s="189" t="e">
        <f t="shared" si="13"/>
        <v>#NUM!</v>
      </c>
      <c r="L147" s="189"/>
      <c r="M147" s="191">
        <f t="shared" si="14"/>
        <v>0</v>
      </c>
    </row>
    <row r="148" spans="1:13" x14ac:dyDescent="0.25">
      <c r="A148" s="206"/>
      <c r="G148" s="177"/>
      <c r="H148" s="189">
        <v>143</v>
      </c>
      <c r="I148" s="190" t="str">
        <f t="shared" si="12"/>
        <v/>
      </c>
      <c r="J148" s="190" t="e">
        <f t="shared" si="15"/>
        <v>#NUM!</v>
      </c>
      <c r="K148" s="189" t="e">
        <f t="shared" si="13"/>
        <v>#NUM!</v>
      </c>
      <c r="L148" s="189"/>
      <c r="M148" s="191">
        <f t="shared" si="14"/>
        <v>0</v>
      </c>
    </row>
    <row r="149" spans="1:13" x14ac:dyDescent="0.25">
      <c r="A149" s="206"/>
      <c r="G149" s="177"/>
      <c r="H149" s="189">
        <v>144</v>
      </c>
      <c r="I149" s="190" t="str">
        <f t="shared" si="12"/>
        <v/>
      </c>
      <c r="J149" s="190" t="e">
        <f t="shared" si="15"/>
        <v>#NUM!</v>
      </c>
      <c r="K149" s="189" t="e">
        <f t="shared" si="13"/>
        <v>#NUM!</v>
      </c>
      <c r="L149" s="189"/>
      <c r="M149" s="191">
        <f t="shared" si="14"/>
        <v>0</v>
      </c>
    </row>
    <row r="150" spans="1:13" x14ac:dyDescent="0.25">
      <c r="A150" s="206"/>
      <c r="G150" s="177"/>
      <c r="H150" s="189">
        <v>145</v>
      </c>
      <c r="I150" s="190" t="str">
        <f t="shared" si="12"/>
        <v/>
      </c>
      <c r="J150" s="190" t="e">
        <f t="shared" si="15"/>
        <v>#NUM!</v>
      </c>
      <c r="K150" s="189" t="e">
        <f t="shared" si="13"/>
        <v>#NUM!</v>
      </c>
      <c r="L150" s="189"/>
      <c r="M150" s="191">
        <f t="shared" si="14"/>
        <v>0</v>
      </c>
    </row>
    <row r="151" spans="1:13" x14ac:dyDescent="0.25">
      <c r="A151" s="206"/>
      <c r="G151" s="177"/>
      <c r="H151" s="189">
        <v>146</v>
      </c>
      <c r="I151" s="190" t="str">
        <f t="shared" si="12"/>
        <v/>
      </c>
      <c r="J151" s="190" t="e">
        <f t="shared" si="15"/>
        <v>#NUM!</v>
      </c>
      <c r="K151" s="189" t="e">
        <f t="shared" si="13"/>
        <v>#NUM!</v>
      </c>
      <c r="L151" s="189"/>
      <c r="M151" s="191">
        <f t="shared" si="14"/>
        <v>0</v>
      </c>
    </row>
    <row r="152" spans="1:13" x14ac:dyDescent="0.25">
      <c r="A152" s="206"/>
      <c r="G152" s="177"/>
      <c r="H152" s="189">
        <v>147</v>
      </c>
      <c r="I152" s="190" t="str">
        <f t="shared" si="12"/>
        <v/>
      </c>
      <c r="J152" s="190" t="e">
        <f t="shared" si="15"/>
        <v>#NUM!</v>
      </c>
      <c r="K152" s="189" t="e">
        <f t="shared" si="13"/>
        <v>#NUM!</v>
      </c>
      <c r="L152" s="189"/>
      <c r="M152" s="191">
        <f t="shared" si="14"/>
        <v>0</v>
      </c>
    </row>
    <row r="153" spans="1:13" x14ac:dyDescent="0.25">
      <c r="A153" s="206"/>
      <c r="G153" s="177"/>
      <c r="H153" s="189">
        <v>148</v>
      </c>
      <c r="I153" s="190" t="str">
        <f t="shared" si="12"/>
        <v/>
      </c>
      <c r="J153" s="190" t="e">
        <f t="shared" si="15"/>
        <v>#NUM!</v>
      </c>
      <c r="K153" s="189" t="e">
        <f t="shared" si="13"/>
        <v>#NUM!</v>
      </c>
      <c r="L153" s="189"/>
      <c r="M153" s="191">
        <f t="shared" si="14"/>
        <v>0</v>
      </c>
    </row>
    <row r="154" spans="1:13" x14ac:dyDescent="0.25">
      <c r="A154" s="206"/>
      <c r="G154" s="177"/>
      <c r="H154" s="189">
        <v>149</v>
      </c>
      <c r="I154" s="190" t="str">
        <f t="shared" si="12"/>
        <v/>
      </c>
      <c r="J154" s="190" t="e">
        <f t="shared" si="15"/>
        <v>#NUM!</v>
      </c>
      <c r="K154" s="189" t="e">
        <f t="shared" si="13"/>
        <v>#NUM!</v>
      </c>
      <c r="L154" s="189"/>
      <c r="M154" s="191">
        <f t="shared" si="14"/>
        <v>0</v>
      </c>
    </row>
    <row r="155" spans="1:13" x14ac:dyDescent="0.25">
      <c r="A155" s="206"/>
      <c r="G155" s="177"/>
      <c r="H155" s="189">
        <v>150</v>
      </c>
      <c r="I155" s="190" t="str">
        <f t="shared" si="12"/>
        <v/>
      </c>
      <c r="J155" s="190" t="e">
        <f t="shared" si="15"/>
        <v>#NUM!</v>
      </c>
      <c r="K155" s="189" t="e">
        <f t="shared" si="13"/>
        <v>#NUM!</v>
      </c>
      <c r="L155" s="189"/>
      <c r="M155" s="191">
        <f t="shared" si="14"/>
        <v>0</v>
      </c>
    </row>
    <row r="156" spans="1:13" x14ac:dyDescent="0.25">
      <c r="A156" s="206"/>
      <c r="G156" s="177"/>
      <c r="H156" s="189">
        <v>151</v>
      </c>
      <c r="I156" s="190" t="str">
        <f t="shared" si="12"/>
        <v/>
      </c>
      <c r="J156" s="190" t="e">
        <f t="shared" si="15"/>
        <v>#NUM!</v>
      </c>
      <c r="K156" s="189" t="e">
        <f t="shared" si="13"/>
        <v>#NUM!</v>
      </c>
      <c r="L156" s="189"/>
      <c r="M156" s="191">
        <f t="shared" si="14"/>
        <v>0</v>
      </c>
    </row>
    <row r="157" spans="1:13" x14ac:dyDescent="0.25">
      <c r="A157" s="206"/>
      <c r="G157" s="177"/>
      <c r="H157" s="189">
        <v>152</v>
      </c>
      <c r="I157" s="190" t="str">
        <f t="shared" si="12"/>
        <v/>
      </c>
      <c r="J157" s="190" t="e">
        <f t="shared" si="15"/>
        <v>#NUM!</v>
      </c>
      <c r="K157" s="189" t="e">
        <f t="shared" si="13"/>
        <v>#NUM!</v>
      </c>
      <c r="L157" s="189"/>
      <c r="M157" s="191">
        <f t="shared" si="14"/>
        <v>0</v>
      </c>
    </row>
    <row r="158" spans="1:13" x14ac:dyDescent="0.25">
      <c r="A158" s="206"/>
      <c r="G158" s="177"/>
      <c r="H158" s="189">
        <v>153</v>
      </c>
      <c r="I158" s="190" t="str">
        <f t="shared" si="12"/>
        <v/>
      </c>
      <c r="J158" s="190" t="e">
        <f t="shared" si="15"/>
        <v>#NUM!</v>
      </c>
      <c r="K158" s="189" t="e">
        <f t="shared" si="13"/>
        <v>#NUM!</v>
      </c>
      <c r="L158" s="189"/>
      <c r="M158" s="191">
        <f t="shared" si="14"/>
        <v>0</v>
      </c>
    </row>
    <row r="159" spans="1:13" x14ac:dyDescent="0.25">
      <c r="A159" s="206"/>
      <c r="G159" s="177"/>
      <c r="H159" s="189">
        <v>154</v>
      </c>
      <c r="I159" s="190" t="str">
        <f t="shared" si="12"/>
        <v/>
      </c>
      <c r="J159" s="190" t="e">
        <f t="shared" si="15"/>
        <v>#NUM!</v>
      </c>
      <c r="K159" s="189" t="e">
        <f t="shared" si="13"/>
        <v>#NUM!</v>
      </c>
      <c r="L159" s="189"/>
      <c r="M159" s="191">
        <f t="shared" si="14"/>
        <v>0</v>
      </c>
    </row>
    <row r="160" spans="1:13" x14ac:dyDescent="0.25">
      <c r="A160" s="206"/>
      <c r="G160" s="177"/>
      <c r="H160" s="189">
        <v>155</v>
      </c>
      <c r="I160" s="190" t="str">
        <f t="shared" si="12"/>
        <v/>
      </c>
      <c r="J160" s="190" t="e">
        <f t="shared" si="15"/>
        <v>#NUM!</v>
      </c>
      <c r="K160" s="189" t="e">
        <f t="shared" si="13"/>
        <v>#NUM!</v>
      </c>
      <c r="L160" s="189"/>
      <c r="M160" s="191">
        <f t="shared" si="14"/>
        <v>0</v>
      </c>
    </row>
    <row r="161" spans="1:13" x14ac:dyDescent="0.25">
      <c r="A161" s="206"/>
      <c r="G161" s="177"/>
      <c r="H161" s="189">
        <v>156</v>
      </c>
      <c r="I161" s="190" t="str">
        <f t="shared" si="12"/>
        <v/>
      </c>
      <c r="J161" s="190" t="e">
        <f t="shared" si="15"/>
        <v>#NUM!</v>
      </c>
      <c r="K161" s="189" t="e">
        <f t="shared" si="13"/>
        <v>#NUM!</v>
      </c>
      <c r="L161" s="189"/>
      <c r="M161" s="191">
        <f t="shared" si="14"/>
        <v>0</v>
      </c>
    </row>
    <row r="162" spans="1:13" x14ac:dyDescent="0.25">
      <c r="A162" s="206"/>
      <c r="G162" s="177"/>
      <c r="H162" s="189">
        <v>157</v>
      </c>
      <c r="I162" s="190" t="str">
        <f t="shared" si="12"/>
        <v/>
      </c>
      <c r="J162" s="190" t="e">
        <f t="shared" si="15"/>
        <v>#NUM!</v>
      </c>
      <c r="K162" s="189" t="e">
        <f t="shared" si="13"/>
        <v>#NUM!</v>
      </c>
      <c r="L162" s="189"/>
      <c r="M162" s="191">
        <f t="shared" si="14"/>
        <v>0</v>
      </c>
    </row>
    <row r="163" spans="1:13" x14ac:dyDescent="0.25">
      <c r="A163" s="206"/>
      <c r="G163" s="177"/>
      <c r="H163" s="189">
        <v>158</v>
      </c>
      <c r="I163" s="190" t="str">
        <f t="shared" si="12"/>
        <v/>
      </c>
      <c r="J163" s="190" t="e">
        <f t="shared" si="15"/>
        <v>#NUM!</v>
      </c>
      <c r="K163" s="189" t="e">
        <f t="shared" si="13"/>
        <v>#NUM!</v>
      </c>
      <c r="L163" s="189"/>
      <c r="M163" s="191">
        <f t="shared" si="14"/>
        <v>0</v>
      </c>
    </row>
    <row r="164" spans="1:13" x14ac:dyDescent="0.25">
      <c r="A164" s="206"/>
      <c r="G164" s="177"/>
      <c r="H164" s="189">
        <v>159</v>
      </c>
      <c r="I164" s="190" t="str">
        <f t="shared" si="12"/>
        <v/>
      </c>
      <c r="J164" s="190" t="e">
        <f t="shared" si="15"/>
        <v>#NUM!</v>
      </c>
      <c r="K164" s="189" t="e">
        <f t="shared" si="13"/>
        <v>#NUM!</v>
      </c>
      <c r="L164" s="189"/>
      <c r="M164" s="191">
        <f t="shared" si="14"/>
        <v>0</v>
      </c>
    </row>
    <row r="165" spans="1:13" x14ac:dyDescent="0.25">
      <c r="A165" s="206"/>
      <c r="G165" s="177"/>
      <c r="H165" s="189">
        <v>160</v>
      </c>
      <c r="I165" s="190" t="str">
        <f t="shared" si="12"/>
        <v/>
      </c>
      <c r="J165" s="190" t="e">
        <f t="shared" si="15"/>
        <v>#NUM!</v>
      </c>
      <c r="K165" s="189" t="e">
        <f t="shared" si="13"/>
        <v>#NUM!</v>
      </c>
      <c r="L165" s="189"/>
      <c r="M165" s="191">
        <f t="shared" si="14"/>
        <v>0</v>
      </c>
    </row>
    <row r="166" spans="1:13" x14ac:dyDescent="0.25">
      <c r="A166" s="206"/>
      <c r="G166" s="177"/>
      <c r="H166" s="189">
        <v>161</v>
      </c>
      <c r="I166" s="190" t="str">
        <f t="shared" si="12"/>
        <v/>
      </c>
      <c r="J166" s="190" t="e">
        <f t="shared" si="15"/>
        <v>#NUM!</v>
      </c>
      <c r="K166" s="189" t="e">
        <f t="shared" si="13"/>
        <v>#NUM!</v>
      </c>
      <c r="L166" s="189"/>
      <c r="M166" s="191">
        <f t="shared" si="14"/>
        <v>0</v>
      </c>
    </row>
    <row r="167" spans="1:13" x14ac:dyDescent="0.25">
      <c r="A167" s="206"/>
      <c r="G167" s="177"/>
      <c r="H167" s="189">
        <v>162</v>
      </c>
      <c r="I167" s="190" t="str">
        <f t="shared" si="12"/>
        <v/>
      </c>
      <c r="J167" s="190" t="e">
        <f t="shared" si="15"/>
        <v>#NUM!</v>
      </c>
      <c r="K167" s="189" t="e">
        <f t="shared" si="13"/>
        <v>#NUM!</v>
      </c>
      <c r="L167" s="189"/>
      <c r="M167" s="191">
        <f t="shared" si="14"/>
        <v>0</v>
      </c>
    </row>
    <row r="168" spans="1:13" x14ac:dyDescent="0.25">
      <c r="A168" s="206"/>
      <c r="G168" s="177"/>
      <c r="H168" s="189">
        <v>163</v>
      </c>
      <c r="I168" s="190" t="str">
        <f t="shared" si="12"/>
        <v/>
      </c>
      <c r="J168" s="190" t="e">
        <f t="shared" si="15"/>
        <v>#NUM!</v>
      </c>
      <c r="K168" s="189" t="e">
        <f t="shared" si="13"/>
        <v>#NUM!</v>
      </c>
      <c r="L168" s="189"/>
      <c r="M168" s="191">
        <f t="shared" si="14"/>
        <v>0</v>
      </c>
    </row>
    <row r="169" spans="1:13" x14ac:dyDescent="0.25">
      <c r="A169" s="206"/>
      <c r="C169" s="205" t="s">
        <v>53</v>
      </c>
      <c r="G169" s="177"/>
      <c r="H169" s="189">
        <v>164</v>
      </c>
      <c r="I169" s="190" t="str">
        <f t="shared" si="12"/>
        <v/>
      </c>
      <c r="J169" s="190" t="e">
        <f t="shared" si="15"/>
        <v>#NUM!</v>
      </c>
      <c r="K169" s="189" t="e">
        <f t="shared" si="13"/>
        <v>#NUM!</v>
      </c>
      <c r="L169" s="189"/>
      <c r="M169" s="191">
        <f t="shared" si="14"/>
        <v>0</v>
      </c>
    </row>
    <row r="170" spans="1:13" x14ac:dyDescent="0.25">
      <c r="A170" s="206"/>
      <c r="G170" s="177"/>
      <c r="H170" s="189">
        <v>165</v>
      </c>
      <c r="I170" s="190" t="str">
        <f t="shared" si="12"/>
        <v/>
      </c>
      <c r="J170" s="190" t="e">
        <f t="shared" si="15"/>
        <v>#NUM!</v>
      </c>
      <c r="K170" s="189" t="e">
        <f t="shared" si="13"/>
        <v>#NUM!</v>
      </c>
      <c r="L170" s="189"/>
      <c r="M170" s="191">
        <f t="shared" si="14"/>
        <v>0</v>
      </c>
    </row>
    <row r="171" spans="1:13" x14ac:dyDescent="0.25">
      <c r="A171" s="206"/>
      <c r="G171" s="177"/>
      <c r="H171" s="189">
        <v>166</v>
      </c>
      <c r="I171" s="190" t="str">
        <f t="shared" si="12"/>
        <v/>
      </c>
      <c r="J171" s="190" t="e">
        <f t="shared" si="15"/>
        <v>#NUM!</v>
      </c>
      <c r="K171" s="189" t="e">
        <f t="shared" si="13"/>
        <v>#NUM!</v>
      </c>
      <c r="L171" s="189"/>
      <c r="M171" s="191">
        <f t="shared" si="14"/>
        <v>0</v>
      </c>
    </row>
    <row r="172" spans="1:13" x14ac:dyDescent="0.25">
      <c r="A172" s="206"/>
      <c r="G172" s="177"/>
      <c r="H172" s="189">
        <v>167</v>
      </c>
      <c r="I172" s="190" t="str">
        <f t="shared" si="12"/>
        <v/>
      </c>
      <c r="J172" s="190" t="e">
        <f t="shared" si="15"/>
        <v>#NUM!</v>
      </c>
      <c r="K172" s="189" t="e">
        <f t="shared" si="13"/>
        <v>#NUM!</v>
      </c>
      <c r="L172" s="189"/>
      <c r="M172" s="191">
        <f t="shared" si="14"/>
        <v>0</v>
      </c>
    </row>
    <row r="173" spans="1:13" x14ac:dyDescent="0.25">
      <c r="A173" s="206"/>
      <c r="G173" s="177"/>
      <c r="H173" s="189">
        <v>168</v>
      </c>
      <c r="I173" s="190" t="str">
        <f t="shared" si="12"/>
        <v/>
      </c>
      <c r="J173" s="190" t="e">
        <f t="shared" si="15"/>
        <v>#NUM!</v>
      </c>
      <c r="K173" s="189" t="e">
        <f t="shared" si="13"/>
        <v>#NUM!</v>
      </c>
      <c r="L173" s="189"/>
      <c r="M173" s="191">
        <f t="shared" si="14"/>
        <v>0</v>
      </c>
    </row>
    <row r="174" spans="1:13" x14ac:dyDescent="0.25">
      <c r="A174" s="206"/>
      <c r="G174" s="177"/>
      <c r="H174" s="189">
        <v>169</v>
      </c>
      <c r="I174" s="190" t="str">
        <f t="shared" si="12"/>
        <v/>
      </c>
      <c r="J174" s="190" t="e">
        <f t="shared" si="15"/>
        <v>#NUM!</v>
      </c>
      <c r="K174" s="189" t="e">
        <f t="shared" si="13"/>
        <v>#NUM!</v>
      </c>
      <c r="L174" s="189"/>
      <c r="M174" s="191">
        <f t="shared" si="14"/>
        <v>0</v>
      </c>
    </row>
    <row r="175" spans="1:13" x14ac:dyDescent="0.25">
      <c r="A175" s="206"/>
      <c r="G175" s="177"/>
      <c r="H175" s="189">
        <v>170</v>
      </c>
      <c r="I175" s="190" t="str">
        <f t="shared" si="12"/>
        <v/>
      </c>
      <c r="J175" s="190" t="e">
        <f t="shared" si="15"/>
        <v>#NUM!</v>
      </c>
      <c r="K175" s="189" t="e">
        <f t="shared" si="13"/>
        <v>#NUM!</v>
      </c>
      <c r="L175" s="189"/>
      <c r="M175" s="191">
        <f t="shared" si="14"/>
        <v>0</v>
      </c>
    </row>
    <row r="176" spans="1:13" x14ac:dyDescent="0.25">
      <c r="A176" s="206"/>
      <c r="G176" s="177"/>
      <c r="H176" s="189">
        <v>171</v>
      </c>
      <c r="I176" s="190" t="str">
        <f t="shared" si="12"/>
        <v/>
      </c>
      <c r="J176" s="190" t="e">
        <f t="shared" si="15"/>
        <v>#NUM!</v>
      </c>
      <c r="K176" s="189" t="e">
        <f t="shared" si="13"/>
        <v>#NUM!</v>
      </c>
      <c r="L176" s="189"/>
      <c r="M176" s="191">
        <f t="shared" si="14"/>
        <v>0</v>
      </c>
    </row>
    <row r="177" spans="1:13" x14ac:dyDescent="0.25">
      <c r="A177" s="206"/>
      <c r="G177" s="177"/>
      <c r="H177" s="189">
        <v>172</v>
      </c>
      <c r="I177" s="190" t="str">
        <f t="shared" si="12"/>
        <v/>
      </c>
      <c r="J177" s="190" t="e">
        <f t="shared" si="15"/>
        <v>#NUM!</v>
      </c>
      <c r="K177" s="189" t="e">
        <f t="shared" si="13"/>
        <v>#NUM!</v>
      </c>
      <c r="L177" s="189"/>
      <c r="M177" s="191">
        <f t="shared" si="14"/>
        <v>0</v>
      </c>
    </row>
    <row r="178" spans="1:13" x14ac:dyDescent="0.25">
      <c r="A178" s="206"/>
      <c r="G178" s="177"/>
      <c r="H178" s="189">
        <v>173</v>
      </c>
      <c r="I178" s="190" t="str">
        <f t="shared" si="12"/>
        <v/>
      </c>
      <c r="J178" s="190" t="e">
        <f t="shared" si="15"/>
        <v>#NUM!</v>
      </c>
      <c r="K178" s="189" t="e">
        <f t="shared" si="13"/>
        <v>#NUM!</v>
      </c>
      <c r="L178" s="189"/>
      <c r="M178" s="191">
        <f t="shared" si="14"/>
        <v>0</v>
      </c>
    </row>
    <row r="179" spans="1:13" x14ac:dyDescent="0.25">
      <c r="A179" s="206"/>
      <c r="G179" s="177"/>
      <c r="H179" s="189">
        <v>174</v>
      </c>
      <c r="I179" s="190" t="str">
        <f t="shared" si="12"/>
        <v/>
      </c>
      <c r="J179" s="190" t="e">
        <f t="shared" si="15"/>
        <v>#NUM!</v>
      </c>
      <c r="K179" s="189" t="e">
        <f t="shared" si="13"/>
        <v>#NUM!</v>
      </c>
      <c r="L179" s="189"/>
      <c r="M179" s="191">
        <f t="shared" si="14"/>
        <v>0</v>
      </c>
    </row>
    <row r="180" spans="1:13" x14ac:dyDescent="0.25">
      <c r="A180" s="206"/>
      <c r="G180" s="177"/>
      <c r="H180" s="189">
        <v>175</v>
      </c>
      <c r="I180" s="190" t="str">
        <f t="shared" si="12"/>
        <v/>
      </c>
      <c r="J180" s="190" t="e">
        <f t="shared" si="15"/>
        <v>#NUM!</v>
      </c>
      <c r="K180" s="189" t="e">
        <f t="shared" si="13"/>
        <v>#NUM!</v>
      </c>
      <c r="L180" s="189"/>
      <c r="M180" s="191">
        <f t="shared" si="14"/>
        <v>0</v>
      </c>
    </row>
    <row r="181" spans="1:13" x14ac:dyDescent="0.25">
      <c r="A181" s="206"/>
      <c r="G181" s="177"/>
      <c r="H181" s="189">
        <v>176</v>
      </c>
      <c r="I181" s="190" t="str">
        <f t="shared" si="12"/>
        <v/>
      </c>
      <c r="J181" s="190" t="e">
        <f t="shared" si="15"/>
        <v>#NUM!</v>
      </c>
      <c r="K181" s="189" t="e">
        <f t="shared" si="13"/>
        <v>#NUM!</v>
      </c>
      <c r="L181" s="189"/>
      <c r="M181" s="191">
        <f t="shared" si="14"/>
        <v>0</v>
      </c>
    </row>
    <row r="182" spans="1:13" x14ac:dyDescent="0.25">
      <c r="A182" s="206"/>
      <c r="G182" s="177"/>
      <c r="H182" s="189">
        <v>177</v>
      </c>
      <c r="I182" s="190" t="str">
        <f t="shared" si="12"/>
        <v/>
      </c>
      <c r="J182" s="190" t="e">
        <f t="shared" si="15"/>
        <v>#NUM!</v>
      </c>
      <c r="K182" s="189" t="e">
        <f t="shared" si="13"/>
        <v>#NUM!</v>
      </c>
      <c r="L182" s="189"/>
      <c r="M182" s="191">
        <f t="shared" si="14"/>
        <v>0</v>
      </c>
    </row>
    <row r="183" spans="1:13" x14ac:dyDescent="0.25">
      <c r="A183" s="206"/>
      <c r="G183" s="177"/>
      <c r="H183" s="189">
        <v>178</v>
      </c>
      <c r="I183" s="190" t="str">
        <f t="shared" si="12"/>
        <v/>
      </c>
      <c r="J183" s="190" t="e">
        <f t="shared" si="15"/>
        <v>#NUM!</v>
      </c>
      <c r="K183" s="189" t="e">
        <f t="shared" si="13"/>
        <v>#NUM!</v>
      </c>
      <c r="L183" s="189"/>
      <c r="M183" s="191">
        <f t="shared" si="14"/>
        <v>0</v>
      </c>
    </row>
    <row r="184" spans="1:13" x14ac:dyDescent="0.25">
      <c r="A184" s="206"/>
      <c r="G184" s="177"/>
      <c r="H184" s="189">
        <v>179</v>
      </c>
      <c r="I184" s="190" t="str">
        <f t="shared" si="12"/>
        <v/>
      </c>
      <c r="J184" s="190" t="e">
        <f t="shared" si="15"/>
        <v>#NUM!</v>
      </c>
      <c r="K184" s="189" t="e">
        <f t="shared" si="13"/>
        <v>#NUM!</v>
      </c>
      <c r="L184" s="189"/>
      <c r="M184" s="191">
        <f t="shared" si="14"/>
        <v>0</v>
      </c>
    </row>
    <row r="185" spans="1:13" x14ac:dyDescent="0.25">
      <c r="A185" s="206"/>
      <c r="G185" s="177"/>
      <c r="H185" s="189">
        <v>180</v>
      </c>
      <c r="I185" s="190" t="str">
        <f t="shared" si="12"/>
        <v/>
      </c>
      <c r="J185" s="190" t="e">
        <f t="shared" si="15"/>
        <v>#NUM!</v>
      </c>
      <c r="K185" s="189" t="e">
        <f t="shared" si="13"/>
        <v>#NUM!</v>
      </c>
      <c r="L185" s="189"/>
      <c r="M185" s="191">
        <f t="shared" si="14"/>
        <v>0</v>
      </c>
    </row>
    <row r="186" spans="1:13" x14ac:dyDescent="0.25">
      <c r="A186" s="206"/>
      <c r="G186" s="177"/>
      <c r="H186" s="189">
        <v>181</v>
      </c>
      <c r="I186" s="190" t="str">
        <f t="shared" si="12"/>
        <v/>
      </c>
      <c r="J186" s="190" t="e">
        <f t="shared" si="15"/>
        <v>#NUM!</v>
      </c>
      <c r="K186" s="189" t="e">
        <f t="shared" si="13"/>
        <v>#NUM!</v>
      </c>
      <c r="L186" s="189"/>
      <c r="M186" s="191">
        <f t="shared" si="14"/>
        <v>0</v>
      </c>
    </row>
    <row r="187" spans="1:13" x14ac:dyDescent="0.25">
      <c r="A187" s="206"/>
      <c r="G187" s="177"/>
      <c r="H187" s="189">
        <v>182</v>
      </c>
      <c r="I187" s="190" t="str">
        <f t="shared" si="12"/>
        <v/>
      </c>
      <c r="J187" s="190" t="e">
        <f t="shared" si="15"/>
        <v>#NUM!</v>
      </c>
      <c r="K187" s="189" t="e">
        <f t="shared" si="13"/>
        <v>#NUM!</v>
      </c>
      <c r="L187" s="189"/>
      <c r="M187" s="191">
        <f t="shared" si="14"/>
        <v>0</v>
      </c>
    </row>
    <row r="188" spans="1:13" x14ac:dyDescent="0.25">
      <c r="A188" s="206"/>
      <c r="G188" s="177"/>
      <c r="H188" s="189">
        <v>183</v>
      </c>
      <c r="I188" s="190" t="str">
        <f t="shared" si="12"/>
        <v/>
      </c>
      <c r="J188" s="190" t="e">
        <f t="shared" si="15"/>
        <v>#NUM!</v>
      </c>
      <c r="K188" s="189" t="e">
        <f t="shared" si="13"/>
        <v>#NUM!</v>
      </c>
      <c r="L188" s="189"/>
      <c r="M188" s="191">
        <f t="shared" si="14"/>
        <v>0</v>
      </c>
    </row>
    <row r="189" spans="1:13" x14ac:dyDescent="0.25">
      <c r="A189" s="206"/>
      <c r="G189" s="177"/>
      <c r="H189" s="189">
        <v>184</v>
      </c>
      <c r="I189" s="190" t="str">
        <f t="shared" si="12"/>
        <v/>
      </c>
      <c r="J189" s="190" t="e">
        <f t="shared" si="15"/>
        <v>#NUM!</v>
      </c>
      <c r="K189" s="189" t="e">
        <f t="shared" si="13"/>
        <v>#NUM!</v>
      </c>
      <c r="L189" s="189"/>
      <c r="M189" s="191">
        <f t="shared" si="14"/>
        <v>0</v>
      </c>
    </row>
    <row r="190" spans="1:13" x14ac:dyDescent="0.25">
      <c r="A190" s="206"/>
      <c r="G190" s="177"/>
      <c r="H190" s="189">
        <v>185</v>
      </c>
      <c r="I190" s="190" t="str">
        <f t="shared" si="12"/>
        <v/>
      </c>
      <c r="J190" s="190" t="e">
        <f t="shared" si="15"/>
        <v>#NUM!</v>
      </c>
      <c r="K190" s="189" t="e">
        <f t="shared" si="13"/>
        <v>#NUM!</v>
      </c>
      <c r="L190" s="189"/>
      <c r="M190" s="191">
        <f t="shared" si="14"/>
        <v>0</v>
      </c>
    </row>
    <row r="191" spans="1:13" x14ac:dyDescent="0.25">
      <c r="A191" s="206"/>
      <c r="G191" s="177"/>
      <c r="H191" s="189">
        <v>186</v>
      </c>
      <c r="I191" s="190" t="str">
        <f t="shared" si="12"/>
        <v/>
      </c>
      <c r="J191" s="190" t="e">
        <f t="shared" si="15"/>
        <v>#NUM!</v>
      </c>
      <c r="K191" s="189" t="e">
        <f t="shared" si="13"/>
        <v>#NUM!</v>
      </c>
      <c r="L191" s="189"/>
      <c r="M191" s="191">
        <f t="shared" si="14"/>
        <v>0</v>
      </c>
    </row>
    <row r="192" spans="1:13" x14ac:dyDescent="0.25">
      <c r="A192" s="206"/>
      <c r="G192" s="177"/>
      <c r="H192" s="189">
        <v>187</v>
      </c>
      <c r="I192" s="190" t="str">
        <f t="shared" si="12"/>
        <v/>
      </c>
      <c r="J192" s="190" t="e">
        <f t="shared" si="15"/>
        <v>#NUM!</v>
      </c>
      <c r="K192" s="189" t="e">
        <f t="shared" si="13"/>
        <v>#NUM!</v>
      </c>
      <c r="L192" s="189"/>
      <c r="M192" s="191">
        <f t="shared" si="14"/>
        <v>0</v>
      </c>
    </row>
    <row r="193" spans="1:13" x14ac:dyDescent="0.25">
      <c r="A193" s="206"/>
      <c r="G193" s="177"/>
      <c r="H193" s="189">
        <v>188</v>
      </c>
      <c r="I193" s="190" t="str">
        <f t="shared" si="12"/>
        <v/>
      </c>
      <c r="J193" s="190" t="e">
        <f t="shared" si="15"/>
        <v>#NUM!</v>
      </c>
      <c r="K193" s="189" t="e">
        <f t="shared" si="13"/>
        <v>#NUM!</v>
      </c>
      <c r="L193" s="189"/>
      <c r="M193" s="191">
        <f t="shared" si="14"/>
        <v>0</v>
      </c>
    </row>
    <row r="194" spans="1:13" x14ac:dyDescent="0.25">
      <c r="A194" s="206"/>
      <c r="G194" s="177"/>
      <c r="H194" s="189">
        <v>189</v>
      </c>
      <c r="I194" s="190" t="str">
        <f t="shared" si="12"/>
        <v/>
      </c>
      <c r="J194" s="190" t="e">
        <f t="shared" si="15"/>
        <v>#NUM!</v>
      </c>
      <c r="K194" s="189" t="e">
        <f t="shared" si="13"/>
        <v>#NUM!</v>
      </c>
      <c r="L194" s="189"/>
      <c r="M194" s="191">
        <f t="shared" si="14"/>
        <v>0</v>
      </c>
    </row>
    <row r="195" spans="1:13" x14ac:dyDescent="0.25">
      <c r="A195" s="206"/>
      <c r="G195" s="177"/>
      <c r="H195" s="189">
        <v>190</v>
      </c>
      <c r="I195" s="190" t="str">
        <f t="shared" si="12"/>
        <v/>
      </c>
      <c r="J195" s="190" t="e">
        <f t="shared" si="15"/>
        <v>#NUM!</v>
      </c>
      <c r="K195" s="189" t="e">
        <f t="shared" si="13"/>
        <v>#NUM!</v>
      </c>
      <c r="L195" s="189"/>
      <c r="M195" s="191">
        <f t="shared" si="14"/>
        <v>0</v>
      </c>
    </row>
    <row r="196" spans="1:13" x14ac:dyDescent="0.25">
      <c r="A196" s="206"/>
      <c r="G196" s="177"/>
      <c r="H196" s="189">
        <v>191</v>
      </c>
      <c r="I196" s="190" t="str">
        <f t="shared" si="12"/>
        <v/>
      </c>
      <c r="J196" s="190" t="e">
        <f t="shared" si="15"/>
        <v>#NUM!</v>
      </c>
      <c r="K196" s="189" t="e">
        <f t="shared" si="13"/>
        <v>#NUM!</v>
      </c>
      <c r="L196" s="189"/>
      <c r="M196" s="191">
        <f t="shared" si="14"/>
        <v>0</v>
      </c>
    </row>
    <row r="197" spans="1:13" x14ac:dyDescent="0.25">
      <c r="A197" s="206"/>
      <c r="G197" s="177"/>
      <c r="H197" s="189">
        <v>192</v>
      </c>
      <c r="I197" s="190" t="str">
        <f t="shared" si="12"/>
        <v/>
      </c>
      <c r="J197" s="190" t="e">
        <f t="shared" si="15"/>
        <v>#NUM!</v>
      </c>
      <c r="K197" s="189" t="e">
        <f t="shared" si="13"/>
        <v>#NUM!</v>
      </c>
      <c r="L197" s="189"/>
      <c r="M197" s="191">
        <f t="shared" si="14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6">IF(H198&lt;$H$2+1,($I$2-($I$2-1)*(LOG(H198)/LOG($H$2))),"")</f>
        <v/>
      </c>
      <c r="J198" s="190" t="e">
        <f t="shared" si="15"/>
        <v>#NUM!</v>
      </c>
      <c r="K198" s="189" t="e">
        <f t="shared" ref="K198:K261" si="17">J198*$J$2</f>
        <v>#NUM!</v>
      </c>
      <c r="L198" s="189"/>
      <c r="M198" s="191">
        <f t="shared" ref="M198:M261" si="18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6"/>
        <v/>
      </c>
      <c r="J199" s="190" t="e">
        <f t="shared" ref="J199:J262" si="19">INT(LOG($H$2,2))-ROUNDUP(LOG(H199,2),0)+IF(OR($H$2=1,$H$2=2,$H$2=4,$H$2=8,$H$2=16,$H$2=32,$H$2=64,$H$2=128,$H$2=256),0,1)</f>
        <v>#NUM!</v>
      </c>
      <c r="K199" s="189" t="e">
        <f t="shared" si="17"/>
        <v>#NUM!</v>
      </c>
      <c r="L199" s="189"/>
      <c r="M199" s="191">
        <f t="shared" si="18"/>
        <v>0</v>
      </c>
    </row>
    <row r="200" spans="1:13" x14ac:dyDescent="0.25">
      <c r="A200" s="206"/>
      <c r="G200" s="177"/>
      <c r="H200" s="189">
        <v>195</v>
      </c>
      <c r="I200" s="190" t="str">
        <f t="shared" si="16"/>
        <v/>
      </c>
      <c r="J200" s="190" t="e">
        <f t="shared" si="19"/>
        <v>#NUM!</v>
      </c>
      <c r="K200" s="189" t="e">
        <f t="shared" si="17"/>
        <v>#NUM!</v>
      </c>
      <c r="L200" s="189"/>
      <c r="M200" s="191">
        <f t="shared" si="18"/>
        <v>0</v>
      </c>
    </row>
    <row r="201" spans="1:13" x14ac:dyDescent="0.25">
      <c r="A201" s="206"/>
      <c r="G201" s="177"/>
      <c r="H201" s="189">
        <v>196</v>
      </c>
      <c r="I201" s="190" t="str">
        <f t="shared" si="16"/>
        <v/>
      </c>
      <c r="J201" s="190" t="e">
        <f t="shared" si="19"/>
        <v>#NUM!</v>
      </c>
      <c r="K201" s="189" t="e">
        <f t="shared" si="17"/>
        <v>#NUM!</v>
      </c>
      <c r="L201" s="189"/>
      <c r="M201" s="191">
        <f t="shared" si="18"/>
        <v>0</v>
      </c>
    </row>
    <row r="202" spans="1:13" x14ac:dyDescent="0.25">
      <c r="A202" s="206"/>
      <c r="G202" s="177"/>
      <c r="H202" s="189">
        <v>197</v>
      </c>
      <c r="I202" s="190" t="str">
        <f t="shared" si="16"/>
        <v/>
      </c>
      <c r="J202" s="190" t="e">
        <f t="shared" si="19"/>
        <v>#NUM!</v>
      </c>
      <c r="K202" s="189" t="e">
        <f t="shared" si="17"/>
        <v>#NUM!</v>
      </c>
      <c r="L202" s="189"/>
      <c r="M202" s="191">
        <f t="shared" si="18"/>
        <v>0</v>
      </c>
    </row>
    <row r="203" spans="1:13" x14ac:dyDescent="0.25">
      <c r="A203" s="206"/>
      <c r="G203" s="177"/>
      <c r="H203" s="189">
        <v>198</v>
      </c>
      <c r="I203" s="190" t="str">
        <f t="shared" si="16"/>
        <v/>
      </c>
      <c r="J203" s="190" t="e">
        <f t="shared" si="19"/>
        <v>#NUM!</v>
      </c>
      <c r="K203" s="189" t="e">
        <f t="shared" si="17"/>
        <v>#NUM!</v>
      </c>
      <c r="L203" s="189"/>
      <c r="M203" s="191">
        <f t="shared" si="18"/>
        <v>0</v>
      </c>
    </row>
    <row r="204" spans="1:13" x14ac:dyDescent="0.25">
      <c r="A204" s="206"/>
      <c r="G204" s="177"/>
      <c r="H204" s="189">
        <v>199</v>
      </c>
      <c r="I204" s="190" t="str">
        <f t="shared" si="16"/>
        <v/>
      </c>
      <c r="J204" s="190" t="e">
        <f t="shared" si="19"/>
        <v>#NUM!</v>
      </c>
      <c r="K204" s="189" t="e">
        <f t="shared" si="17"/>
        <v>#NUM!</v>
      </c>
      <c r="L204" s="189"/>
      <c r="M204" s="191">
        <f t="shared" si="18"/>
        <v>0</v>
      </c>
    </row>
    <row r="205" spans="1:13" x14ac:dyDescent="0.25">
      <c r="A205" s="206"/>
      <c r="G205" s="177"/>
      <c r="H205" s="189">
        <v>200</v>
      </c>
      <c r="I205" s="190" t="str">
        <f t="shared" si="16"/>
        <v/>
      </c>
      <c r="J205" s="190" t="e">
        <f t="shared" si="19"/>
        <v>#NUM!</v>
      </c>
      <c r="K205" s="189" t="e">
        <f t="shared" si="17"/>
        <v>#NUM!</v>
      </c>
      <c r="L205" s="189"/>
      <c r="M205" s="191">
        <f t="shared" si="18"/>
        <v>0</v>
      </c>
    </row>
    <row r="206" spans="1:13" x14ac:dyDescent="0.25">
      <c r="A206" s="206"/>
      <c r="G206" s="177"/>
      <c r="H206" s="189">
        <v>201</v>
      </c>
      <c r="I206" s="190" t="str">
        <f t="shared" si="16"/>
        <v/>
      </c>
      <c r="J206" s="190" t="e">
        <f t="shared" si="19"/>
        <v>#NUM!</v>
      </c>
      <c r="K206" s="189" t="e">
        <f t="shared" si="17"/>
        <v>#NUM!</v>
      </c>
      <c r="L206" s="189"/>
      <c r="M206" s="191">
        <f t="shared" si="18"/>
        <v>0</v>
      </c>
    </row>
    <row r="207" spans="1:13" x14ac:dyDescent="0.25">
      <c r="A207" s="206"/>
      <c r="G207" s="177"/>
      <c r="H207" s="189">
        <v>202</v>
      </c>
      <c r="I207" s="190" t="str">
        <f t="shared" si="16"/>
        <v/>
      </c>
      <c r="J207" s="190" t="e">
        <f t="shared" si="19"/>
        <v>#NUM!</v>
      </c>
      <c r="K207" s="189" t="e">
        <f t="shared" si="17"/>
        <v>#NUM!</v>
      </c>
      <c r="L207" s="189"/>
      <c r="M207" s="191">
        <f t="shared" si="18"/>
        <v>0</v>
      </c>
    </row>
    <row r="208" spans="1:13" x14ac:dyDescent="0.25">
      <c r="A208" s="206"/>
      <c r="G208" s="177"/>
      <c r="H208" s="189">
        <v>203</v>
      </c>
      <c r="I208" s="190" t="str">
        <f t="shared" si="16"/>
        <v/>
      </c>
      <c r="J208" s="190" t="e">
        <f t="shared" si="19"/>
        <v>#NUM!</v>
      </c>
      <c r="K208" s="189" t="e">
        <f t="shared" si="17"/>
        <v>#NUM!</v>
      </c>
      <c r="L208" s="189"/>
      <c r="M208" s="191">
        <f t="shared" si="18"/>
        <v>0</v>
      </c>
    </row>
    <row r="209" spans="1:13" x14ac:dyDescent="0.25">
      <c r="A209" s="206"/>
      <c r="G209" s="177"/>
      <c r="H209" s="189">
        <v>204</v>
      </c>
      <c r="I209" s="190" t="str">
        <f t="shared" si="16"/>
        <v/>
      </c>
      <c r="J209" s="190" t="e">
        <f t="shared" si="19"/>
        <v>#NUM!</v>
      </c>
      <c r="K209" s="189" t="e">
        <f t="shared" si="17"/>
        <v>#NUM!</v>
      </c>
      <c r="L209" s="189"/>
      <c r="M209" s="191">
        <f t="shared" si="18"/>
        <v>0</v>
      </c>
    </row>
    <row r="210" spans="1:13" x14ac:dyDescent="0.25">
      <c r="A210" s="206"/>
      <c r="G210" s="177"/>
      <c r="H210" s="189">
        <v>205</v>
      </c>
      <c r="I210" s="190" t="str">
        <f t="shared" si="16"/>
        <v/>
      </c>
      <c r="J210" s="190" t="e">
        <f t="shared" si="19"/>
        <v>#NUM!</v>
      </c>
      <c r="K210" s="189" t="e">
        <f t="shared" si="17"/>
        <v>#NUM!</v>
      </c>
      <c r="L210" s="189"/>
      <c r="M210" s="191">
        <f t="shared" si="18"/>
        <v>0</v>
      </c>
    </row>
    <row r="211" spans="1:13" x14ac:dyDescent="0.25">
      <c r="A211" s="206"/>
      <c r="G211" s="177"/>
      <c r="H211" s="189">
        <v>206</v>
      </c>
      <c r="I211" s="190" t="str">
        <f t="shared" si="16"/>
        <v/>
      </c>
      <c r="J211" s="190" t="e">
        <f t="shared" si="19"/>
        <v>#NUM!</v>
      </c>
      <c r="K211" s="189" t="e">
        <f t="shared" si="17"/>
        <v>#NUM!</v>
      </c>
      <c r="L211" s="189"/>
      <c r="M211" s="191">
        <f t="shared" si="18"/>
        <v>0</v>
      </c>
    </row>
    <row r="212" spans="1:13" x14ac:dyDescent="0.25">
      <c r="A212" s="206"/>
      <c r="G212" s="177"/>
      <c r="H212" s="189">
        <v>207</v>
      </c>
      <c r="I212" s="190" t="str">
        <f t="shared" si="16"/>
        <v/>
      </c>
      <c r="J212" s="190" t="e">
        <f t="shared" si="19"/>
        <v>#NUM!</v>
      </c>
      <c r="K212" s="189" t="e">
        <f t="shared" si="17"/>
        <v>#NUM!</v>
      </c>
      <c r="L212" s="189"/>
      <c r="M212" s="191">
        <f t="shared" si="18"/>
        <v>0</v>
      </c>
    </row>
    <row r="213" spans="1:13" x14ac:dyDescent="0.25">
      <c r="A213" s="206"/>
      <c r="G213" s="177"/>
      <c r="H213" s="189">
        <v>208</v>
      </c>
      <c r="I213" s="190" t="str">
        <f t="shared" si="16"/>
        <v/>
      </c>
      <c r="J213" s="190" t="e">
        <f t="shared" si="19"/>
        <v>#NUM!</v>
      </c>
      <c r="K213" s="189" t="e">
        <f t="shared" si="17"/>
        <v>#NUM!</v>
      </c>
      <c r="L213" s="189"/>
      <c r="M213" s="191">
        <f t="shared" si="18"/>
        <v>0</v>
      </c>
    </row>
    <row r="214" spans="1:13" x14ac:dyDescent="0.25">
      <c r="A214" s="206"/>
      <c r="G214" s="177"/>
      <c r="H214" s="189">
        <v>209</v>
      </c>
      <c r="I214" s="190" t="str">
        <f t="shared" si="16"/>
        <v/>
      </c>
      <c r="J214" s="190" t="e">
        <f t="shared" si="19"/>
        <v>#NUM!</v>
      </c>
      <c r="K214" s="189" t="e">
        <f t="shared" si="17"/>
        <v>#NUM!</v>
      </c>
      <c r="L214" s="189"/>
      <c r="M214" s="191">
        <f t="shared" si="18"/>
        <v>0</v>
      </c>
    </row>
    <row r="215" spans="1:13" x14ac:dyDescent="0.25">
      <c r="A215" s="206"/>
      <c r="G215" s="177"/>
      <c r="H215" s="189">
        <v>210</v>
      </c>
      <c r="I215" s="190" t="str">
        <f t="shared" si="16"/>
        <v/>
      </c>
      <c r="J215" s="190" t="e">
        <f t="shared" si="19"/>
        <v>#NUM!</v>
      </c>
      <c r="K215" s="189" t="e">
        <f t="shared" si="17"/>
        <v>#NUM!</v>
      </c>
      <c r="L215" s="189"/>
      <c r="M215" s="191">
        <f t="shared" si="18"/>
        <v>0</v>
      </c>
    </row>
    <row r="216" spans="1:13" x14ac:dyDescent="0.25">
      <c r="A216" s="206"/>
      <c r="G216" s="177"/>
      <c r="H216" s="189">
        <v>211</v>
      </c>
      <c r="I216" s="190" t="str">
        <f t="shared" si="16"/>
        <v/>
      </c>
      <c r="J216" s="190" t="e">
        <f t="shared" si="19"/>
        <v>#NUM!</v>
      </c>
      <c r="K216" s="189" t="e">
        <f t="shared" si="17"/>
        <v>#NUM!</v>
      </c>
      <c r="L216" s="189"/>
      <c r="M216" s="191">
        <f t="shared" si="18"/>
        <v>0</v>
      </c>
    </row>
    <row r="217" spans="1:13" x14ac:dyDescent="0.25">
      <c r="A217" s="206"/>
      <c r="G217" s="177"/>
      <c r="H217" s="189">
        <v>212</v>
      </c>
      <c r="I217" s="190" t="str">
        <f t="shared" si="16"/>
        <v/>
      </c>
      <c r="J217" s="190" t="e">
        <f t="shared" si="19"/>
        <v>#NUM!</v>
      </c>
      <c r="K217" s="189" t="e">
        <f t="shared" si="17"/>
        <v>#NUM!</v>
      </c>
      <c r="L217" s="189"/>
      <c r="M217" s="191">
        <f t="shared" si="18"/>
        <v>0</v>
      </c>
    </row>
    <row r="218" spans="1:13" x14ac:dyDescent="0.25">
      <c r="A218" s="206"/>
      <c r="G218" s="177"/>
      <c r="H218" s="189">
        <v>213</v>
      </c>
      <c r="I218" s="190" t="str">
        <f t="shared" si="16"/>
        <v/>
      </c>
      <c r="J218" s="190" t="e">
        <f t="shared" si="19"/>
        <v>#NUM!</v>
      </c>
      <c r="K218" s="189" t="e">
        <f t="shared" si="17"/>
        <v>#NUM!</v>
      </c>
      <c r="L218" s="189"/>
      <c r="M218" s="191">
        <f t="shared" si="18"/>
        <v>0</v>
      </c>
    </row>
    <row r="219" spans="1:13" x14ac:dyDescent="0.25">
      <c r="A219" s="206"/>
      <c r="G219" s="177"/>
      <c r="H219" s="189">
        <v>214</v>
      </c>
      <c r="I219" s="190" t="str">
        <f t="shared" si="16"/>
        <v/>
      </c>
      <c r="J219" s="190" t="e">
        <f t="shared" si="19"/>
        <v>#NUM!</v>
      </c>
      <c r="K219" s="189" t="e">
        <f t="shared" si="17"/>
        <v>#NUM!</v>
      </c>
      <c r="L219" s="189"/>
      <c r="M219" s="191">
        <f t="shared" si="18"/>
        <v>0</v>
      </c>
    </row>
    <row r="220" spans="1:13" x14ac:dyDescent="0.25">
      <c r="A220" s="206"/>
      <c r="G220" s="177"/>
      <c r="H220" s="189">
        <v>215</v>
      </c>
      <c r="I220" s="190" t="str">
        <f t="shared" si="16"/>
        <v/>
      </c>
      <c r="J220" s="190" t="e">
        <f t="shared" si="19"/>
        <v>#NUM!</v>
      </c>
      <c r="K220" s="189" t="e">
        <f t="shared" si="17"/>
        <v>#NUM!</v>
      </c>
      <c r="L220" s="189"/>
      <c r="M220" s="191">
        <f t="shared" si="18"/>
        <v>0</v>
      </c>
    </row>
    <row r="221" spans="1:13" x14ac:dyDescent="0.25">
      <c r="A221" s="206"/>
      <c r="G221" s="177"/>
      <c r="H221" s="189">
        <v>216</v>
      </c>
      <c r="I221" s="190" t="str">
        <f t="shared" si="16"/>
        <v/>
      </c>
      <c r="J221" s="190" t="e">
        <f t="shared" si="19"/>
        <v>#NUM!</v>
      </c>
      <c r="K221" s="189" t="e">
        <f t="shared" si="17"/>
        <v>#NUM!</v>
      </c>
      <c r="L221" s="189"/>
      <c r="M221" s="191">
        <f t="shared" si="18"/>
        <v>0</v>
      </c>
    </row>
    <row r="222" spans="1:13" x14ac:dyDescent="0.25">
      <c r="A222" s="206"/>
      <c r="G222" s="177"/>
      <c r="H222" s="189">
        <v>217</v>
      </c>
      <c r="I222" s="190" t="str">
        <f t="shared" si="16"/>
        <v/>
      </c>
      <c r="J222" s="190" t="e">
        <f t="shared" si="19"/>
        <v>#NUM!</v>
      </c>
      <c r="K222" s="189" t="e">
        <f t="shared" si="17"/>
        <v>#NUM!</v>
      </c>
      <c r="L222" s="189"/>
      <c r="M222" s="191">
        <f t="shared" si="18"/>
        <v>0</v>
      </c>
    </row>
    <row r="223" spans="1:13" x14ac:dyDescent="0.25">
      <c r="A223" s="206"/>
      <c r="G223" s="177"/>
      <c r="H223" s="189">
        <v>218</v>
      </c>
      <c r="I223" s="190" t="str">
        <f t="shared" si="16"/>
        <v/>
      </c>
      <c r="J223" s="190" t="e">
        <f t="shared" si="19"/>
        <v>#NUM!</v>
      </c>
      <c r="K223" s="189" t="e">
        <f t="shared" si="17"/>
        <v>#NUM!</v>
      </c>
      <c r="L223" s="189"/>
      <c r="M223" s="191">
        <f t="shared" si="18"/>
        <v>0</v>
      </c>
    </row>
    <row r="224" spans="1:13" x14ac:dyDescent="0.25">
      <c r="A224" s="206"/>
      <c r="G224" s="177"/>
      <c r="H224" s="189">
        <v>219</v>
      </c>
      <c r="I224" s="190" t="str">
        <f t="shared" si="16"/>
        <v/>
      </c>
      <c r="J224" s="190" t="e">
        <f t="shared" si="19"/>
        <v>#NUM!</v>
      </c>
      <c r="K224" s="189" t="e">
        <f t="shared" si="17"/>
        <v>#NUM!</v>
      </c>
      <c r="L224" s="189"/>
      <c r="M224" s="191">
        <f t="shared" si="18"/>
        <v>0</v>
      </c>
    </row>
    <row r="225" spans="1:13" x14ac:dyDescent="0.25">
      <c r="A225" s="206"/>
      <c r="G225" s="177"/>
      <c r="H225" s="189">
        <v>220</v>
      </c>
      <c r="I225" s="190" t="str">
        <f t="shared" si="16"/>
        <v/>
      </c>
      <c r="J225" s="190" t="e">
        <f t="shared" si="19"/>
        <v>#NUM!</v>
      </c>
      <c r="K225" s="189" t="e">
        <f t="shared" si="17"/>
        <v>#NUM!</v>
      </c>
      <c r="L225" s="189"/>
      <c r="M225" s="191">
        <f t="shared" si="18"/>
        <v>0</v>
      </c>
    </row>
    <row r="226" spans="1:13" x14ac:dyDescent="0.25">
      <c r="A226" s="206"/>
      <c r="G226" s="177"/>
      <c r="H226" s="189">
        <v>221</v>
      </c>
      <c r="I226" s="190" t="str">
        <f t="shared" si="16"/>
        <v/>
      </c>
      <c r="J226" s="190" t="e">
        <f t="shared" si="19"/>
        <v>#NUM!</v>
      </c>
      <c r="K226" s="189" t="e">
        <f t="shared" si="17"/>
        <v>#NUM!</v>
      </c>
      <c r="L226" s="189"/>
      <c r="M226" s="191">
        <f t="shared" si="18"/>
        <v>0</v>
      </c>
    </row>
    <row r="227" spans="1:13" x14ac:dyDescent="0.25">
      <c r="A227" s="206"/>
      <c r="G227" s="177"/>
      <c r="H227" s="189">
        <v>222</v>
      </c>
      <c r="I227" s="190" t="str">
        <f t="shared" si="16"/>
        <v/>
      </c>
      <c r="J227" s="190" t="e">
        <f t="shared" si="19"/>
        <v>#NUM!</v>
      </c>
      <c r="K227" s="189" t="e">
        <f t="shared" si="17"/>
        <v>#NUM!</v>
      </c>
      <c r="L227" s="189"/>
      <c r="M227" s="191">
        <f t="shared" si="18"/>
        <v>0</v>
      </c>
    </row>
    <row r="228" spans="1:13" x14ac:dyDescent="0.25">
      <c r="A228" s="206"/>
      <c r="G228" s="177"/>
      <c r="H228" s="189">
        <v>223</v>
      </c>
      <c r="I228" s="190" t="str">
        <f t="shared" si="16"/>
        <v/>
      </c>
      <c r="J228" s="190" t="e">
        <f t="shared" si="19"/>
        <v>#NUM!</v>
      </c>
      <c r="K228" s="189" t="e">
        <f t="shared" si="17"/>
        <v>#NUM!</v>
      </c>
      <c r="L228" s="189"/>
      <c r="M228" s="191">
        <f t="shared" si="18"/>
        <v>0</v>
      </c>
    </row>
    <row r="229" spans="1:13" x14ac:dyDescent="0.25">
      <c r="A229" s="206"/>
      <c r="G229" s="177"/>
      <c r="H229" s="189">
        <v>224</v>
      </c>
      <c r="I229" s="190" t="str">
        <f t="shared" si="16"/>
        <v/>
      </c>
      <c r="J229" s="190" t="e">
        <f t="shared" si="19"/>
        <v>#NUM!</v>
      </c>
      <c r="K229" s="189" t="e">
        <f t="shared" si="17"/>
        <v>#NUM!</v>
      </c>
      <c r="L229" s="189"/>
      <c r="M229" s="191">
        <f t="shared" si="18"/>
        <v>0</v>
      </c>
    </row>
    <row r="230" spans="1:13" x14ac:dyDescent="0.25">
      <c r="A230" s="206"/>
      <c r="G230" s="177"/>
      <c r="H230" s="189">
        <v>225</v>
      </c>
      <c r="I230" s="190" t="str">
        <f t="shared" si="16"/>
        <v/>
      </c>
      <c r="J230" s="190" t="e">
        <f t="shared" si="19"/>
        <v>#NUM!</v>
      </c>
      <c r="K230" s="189" t="e">
        <f t="shared" si="17"/>
        <v>#NUM!</v>
      </c>
      <c r="L230" s="189"/>
      <c r="M230" s="191">
        <f t="shared" si="18"/>
        <v>0</v>
      </c>
    </row>
    <row r="231" spans="1:13" x14ac:dyDescent="0.25">
      <c r="A231" s="206"/>
      <c r="G231" s="177"/>
      <c r="H231" s="189">
        <v>226</v>
      </c>
      <c r="I231" s="190" t="str">
        <f t="shared" si="16"/>
        <v/>
      </c>
      <c r="J231" s="190" t="e">
        <f t="shared" si="19"/>
        <v>#NUM!</v>
      </c>
      <c r="K231" s="189" t="e">
        <f t="shared" si="17"/>
        <v>#NUM!</v>
      </c>
      <c r="L231" s="189"/>
      <c r="M231" s="191">
        <f t="shared" si="18"/>
        <v>0</v>
      </c>
    </row>
    <row r="232" spans="1:13" x14ac:dyDescent="0.25">
      <c r="A232" s="206"/>
      <c r="G232" s="177"/>
      <c r="H232" s="189">
        <v>227</v>
      </c>
      <c r="I232" s="190" t="str">
        <f t="shared" si="16"/>
        <v/>
      </c>
      <c r="J232" s="190" t="e">
        <f t="shared" si="19"/>
        <v>#NUM!</v>
      </c>
      <c r="K232" s="189" t="e">
        <f t="shared" si="17"/>
        <v>#NUM!</v>
      </c>
      <c r="L232" s="189"/>
      <c r="M232" s="191">
        <f t="shared" si="18"/>
        <v>0</v>
      </c>
    </row>
    <row r="233" spans="1:13" x14ac:dyDescent="0.25">
      <c r="A233" s="206"/>
      <c r="G233" s="177"/>
      <c r="H233" s="189">
        <v>228</v>
      </c>
      <c r="I233" s="190" t="str">
        <f t="shared" si="16"/>
        <v/>
      </c>
      <c r="J233" s="190" t="e">
        <f t="shared" si="19"/>
        <v>#NUM!</v>
      </c>
      <c r="K233" s="189" t="e">
        <f t="shared" si="17"/>
        <v>#NUM!</v>
      </c>
      <c r="L233" s="189"/>
      <c r="M233" s="191">
        <f t="shared" si="18"/>
        <v>0</v>
      </c>
    </row>
    <row r="234" spans="1:13" x14ac:dyDescent="0.25">
      <c r="A234" s="206"/>
      <c r="G234" s="177"/>
      <c r="H234" s="189">
        <v>229</v>
      </c>
      <c r="I234" s="190" t="str">
        <f t="shared" si="16"/>
        <v/>
      </c>
      <c r="J234" s="190" t="e">
        <f t="shared" si="19"/>
        <v>#NUM!</v>
      </c>
      <c r="K234" s="189" t="e">
        <f t="shared" si="17"/>
        <v>#NUM!</v>
      </c>
      <c r="L234" s="189"/>
      <c r="M234" s="191">
        <f t="shared" si="18"/>
        <v>0</v>
      </c>
    </row>
    <row r="235" spans="1:13" x14ac:dyDescent="0.25">
      <c r="A235" s="206"/>
      <c r="G235" s="177"/>
      <c r="H235" s="189">
        <v>230</v>
      </c>
      <c r="I235" s="190" t="str">
        <f t="shared" si="16"/>
        <v/>
      </c>
      <c r="J235" s="190" t="e">
        <f t="shared" si="19"/>
        <v>#NUM!</v>
      </c>
      <c r="K235" s="189" t="e">
        <f t="shared" si="17"/>
        <v>#NUM!</v>
      </c>
      <c r="L235" s="189"/>
      <c r="M235" s="191">
        <f t="shared" si="18"/>
        <v>0</v>
      </c>
    </row>
    <row r="236" spans="1:13" x14ac:dyDescent="0.25">
      <c r="A236" s="206"/>
      <c r="G236" s="177"/>
      <c r="H236" s="189">
        <v>231</v>
      </c>
      <c r="I236" s="190" t="str">
        <f t="shared" si="16"/>
        <v/>
      </c>
      <c r="J236" s="190" t="e">
        <f t="shared" si="19"/>
        <v>#NUM!</v>
      </c>
      <c r="K236" s="189" t="e">
        <f t="shared" si="17"/>
        <v>#NUM!</v>
      </c>
      <c r="L236" s="189"/>
      <c r="M236" s="191">
        <f t="shared" si="18"/>
        <v>0</v>
      </c>
    </row>
    <row r="237" spans="1:13" x14ac:dyDescent="0.25">
      <c r="A237" s="206"/>
      <c r="G237" s="177"/>
      <c r="H237" s="189">
        <v>232</v>
      </c>
      <c r="I237" s="190" t="str">
        <f t="shared" si="16"/>
        <v/>
      </c>
      <c r="J237" s="190" t="e">
        <f t="shared" si="19"/>
        <v>#NUM!</v>
      </c>
      <c r="K237" s="189" t="e">
        <f t="shared" si="17"/>
        <v>#NUM!</v>
      </c>
      <c r="L237" s="189"/>
      <c r="M237" s="191">
        <f t="shared" si="18"/>
        <v>0</v>
      </c>
    </row>
    <row r="238" spans="1:13" x14ac:dyDescent="0.25">
      <c r="A238" s="206"/>
      <c r="G238" s="177"/>
      <c r="H238" s="189">
        <v>233</v>
      </c>
      <c r="I238" s="190" t="str">
        <f t="shared" si="16"/>
        <v/>
      </c>
      <c r="J238" s="190" t="e">
        <f t="shared" si="19"/>
        <v>#NUM!</v>
      </c>
      <c r="K238" s="189" t="e">
        <f t="shared" si="17"/>
        <v>#NUM!</v>
      </c>
      <c r="L238" s="189"/>
      <c r="M238" s="191">
        <f t="shared" si="18"/>
        <v>0</v>
      </c>
    </row>
    <row r="239" spans="1:13" x14ac:dyDescent="0.25">
      <c r="A239" s="206"/>
      <c r="G239" s="177"/>
      <c r="H239" s="189">
        <v>234</v>
      </c>
      <c r="I239" s="190" t="str">
        <f t="shared" si="16"/>
        <v/>
      </c>
      <c r="J239" s="190" t="e">
        <f t="shared" si="19"/>
        <v>#NUM!</v>
      </c>
      <c r="K239" s="189" t="e">
        <f t="shared" si="17"/>
        <v>#NUM!</v>
      </c>
      <c r="L239" s="189"/>
      <c r="M239" s="191">
        <f t="shared" si="18"/>
        <v>0</v>
      </c>
    </row>
    <row r="240" spans="1:13" x14ac:dyDescent="0.25">
      <c r="A240" s="206"/>
      <c r="G240" s="177"/>
      <c r="H240" s="189">
        <v>235</v>
      </c>
      <c r="I240" s="190" t="str">
        <f t="shared" si="16"/>
        <v/>
      </c>
      <c r="J240" s="190" t="e">
        <f t="shared" si="19"/>
        <v>#NUM!</v>
      </c>
      <c r="K240" s="189" t="e">
        <f t="shared" si="17"/>
        <v>#NUM!</v>
      </c>
      <c r="L240" s="189"/>
      <c r="M240" s="191">
        <f t="shared" si="18"/>
        <v>0</v>
      </c>
    </row>
    <row r="241" spans="1:13" x14ac:dyDescent="0.25">
      <c r="A241" s="206"/>
      <c r="G241" s="177"/>
      <c r="H241" s="189">
        <v>236</v>
      </c>
      <c r="I241" s="190" t="str">
        <f t="shared" si="16"/>
        <v/>
      </c>
      <c r="J241" s="190" t="e">
        <f t="shared" si="19"/>
        <v>#NUM!</v>
      </c>
      <c r="K241" s="189" t="e">
        <f t="shared" si="17"/>
        <v>#NUM!</v>
      </c>
      <c r="L241" s="189"/>
      <c r="M241" s="191">
        <f t="shared" si="18"/>
        <v>0</v>
      </c>
    </row>
    <row r="242" spans="1:13" x14ac:dyDescent="0.25">
      <c r="A242" s="206"/>
      <c r="G242" s="177"/>
      <c r="H242" s="189">
        <v>237</v>
      </c>
      <c r="I242" s="190" t="str">
        <f t="shared" si="16"/>
        <v/>
      </c>
      <c r="J242" s="190" t="e">
        <f t="shared" si="19"/>
        <v>#NUM!</v>
      </c>
      <c r="K242" s="189" t="e">
        <f t="shared" si="17"/>
        <v>#NUM!</v>
      </c>
      <c r="L242" s="189"/>
      <c r="M242" s="191">
        <f t="shared" si="18"/>
        <v>0</v>
      </c>
    </row>
    <row r="243" spans="1:13" x14ac:dyDescent="0.25">
      <c r="A243" s="206"/>
      <c r="G243" s="177"/>
      <c r="H243" s="189">
        <v>238</v>
      </c>
      <c r="I243" s="190" t="str">
        <f t="shared" si="16"/>
        <v/>
      </c>
      <c r="J243" s="190" t="e">
        <f t="shared" si="19"/>
        <v>#NUM!</v>
      </c>
      <c r="K243" s="189" t="e">
        <f t="shared" si="17"/>
        <v>#NUM!</v>
      </c>
      <c r="L243" s="189"/>
      <c r="M243" s="191">
        <f t="shared" si="18"/>
        <v>0</v>
      </c>
    </row>
    <row r="244" spans="1:13" x14ac:dyDescent="0.25">
      <c r="A244" s="206"/>
      <c r="G244" s="177"/>
      <c r="H244" s="189">
        <v>239</v>
      </c>
      <c r="I244" s="190" t="str">
        <f t="shared" si="16"/>
        <v/>
      </c>
      <c r="J244" s="190" t="e">
        <f t="shared" si="19"/>
        <v>#NUM!</v>
      </c>
      <c r="K244" s="189" t="e">
        <f t="shared" si="17"/>
        <v>#NUM!</v>
      </c>
      <c r="L244" s="189"/>
      <c r="M244" s="191">
        <f t="shared" si="18"/>
        <v>0</v>
      </c>
    </row>
    <row r="245" spans="1:13" x14ac:dyDescent="0.25">
      <c r="A245" s="206"/>
      <c r="G245" s="177"/>
      <c r="H245" s="189">
        <v>240</v>
      </c>
      <c r="I245" s="190" t="str">
        <f t="shared" si="16"/>
        <v/>
      </c>
      <c r="J245" s="190" t="e">
        <f t="shared" si="19"/>
        <v>#NUM!</v>
      </c>
      <c r="K245" s="189" t="e">
        <f t="shared" si="17"/>
        <v>#NUM!</v>
      </c>
      <c r="L245" s="189"/>
      <c r="M245" s="191">
        <f t="shared" si="18"/>
        <v>0</v>
      </c>
    </row>
    <row r="246" spans="1:13" x14ac:dyDescent="0.25">
      <c r="A246" s="206"/>
      <c r="G246" s="177"/>
      <c r="H246" s="189">
        <v>241</v>
      </c>
      <c r="I246" s="190" t="str">
        <f t="shared" si="16"/>
        <v/>
      </c>
      <c r="J246" s="190" t="e">
        <f t="shared" si="19"/>
        <v>#NUM!</v>
      </c>
      <c r="K246" s="189" t="e">
        <f t="shared" si="17"/>
        <v>#NUM!</v>
      </c>
      <c r="L246" s="189"/>
      <c r="M246" s="191">
        <f t="shared" si="18"/>
        <v>0</v>
      </c>
    </row>
    <row r="247" spans="1:13" x14ac:dyDescent="0.25">
      <c r="A247" s="206"/>
      <c r="G247" s="177"/>
      <c r="H247" s="189">
        <v>242</v>
      </c>
      <c r="I247" s="190" t="str">
        <f t="shared" si="16"/>
        <v/>
      </c>
      <c r="J247" s="190" t="e">
        <f t="shared" si="19"/>
        <v>#NUM!</v>
      </c>
      <c r="K247" s="189" t="e">
        <f t="shared" si="17"/>
        <v>#NUM!</v>
      </c>
      <c r="L247" s="189"/>
      <c r="M247" s="191">
        <f t="shared" si="18"/>
        <v>0</v>
      </c>
    </row>
    <row r="248" spans="1:13" x14ac:dyDescent="0.25">
      <c r="A248" s="206"/>
      <c r="G248" s="177"/>
      <c r="H248" s="189">
        <v>243</v>
      </c>
      <c r="I248" s="190" t="str">
        <f t="shared" si="16"/>
        <v/>
      </c>
      <c r="J248" s="190" t="e">
        <f t="shared" si="19"/>
        <v>#NUM!</v>
      </c>
      <c r="K248" s="189" t="e">
        <f t="shared" si="17"/>
        <v>#NUM!</v>
      </c>
      <c r="L248" s="189"/>
      <c r="M248" s="191">
        <f t="shared" si="18"/>
        <v>0</v>
      </c>
    </row>
    <row r="249" spans="1:13" x14ac:dyDescent="0.25">
      <c r="A249" s="206"/>
      <c r="G249" s="177"/>
      <c r="H249" s="189">
        <v>244</v>
      </c>
      <c r="I249" s="190" t="str">
        <f t="shared" si="16"/>
        <v/>
      </c>
      <c r="J249" s="190" t="e">
        <f t="shared" si="19"/>
        <v>#NUM!</v>
      </c>
      <c r="K249" s="189" t="e">
        <f t="shared" si="17"/>
        <v>#NUM!</v>
      </c>
      <c r="L249" s="189"/>
      <c r="M249" s="191">
        <f t="shared" si="18"/>
        <v>0</v>
      </c>
    </row>
    <row r="250" spans="1:13" x14ac:dyDescent="0.25">
      <c r="A250" s="206"/>
      <c r="G250" s="177"/>
      <c r="H250" s="189">
        <v>245</v>
      </c>
      <c r="I250" s="190" t="str">
        <f t="shared" si="16"/>
        <v/>
      </c>
      <c r="J250" s="190" t="e">
        <f t="shared" si="19"/>
        <v>#NUM!</v>
      </c>
      <c r="K250" s="189" t="e">
        <f t="shared" si="17"/>
        <v>#NUM!</v>
      </c>
      <c r="L250" s="189"/>
      <c r="M250" s="191">
        <f t="shared" si="18"/>
        <v>0</v>
      </c>
    </row>
    <row r="251" spans="1:13" x14ac:dyDescent="0.25">
      <c r="A251" s="206"/>
      <c r="G251" s="177"/>
      <c r="H251" s="189">
        <v>246</v>
      </c>
      <c r="I251" s="190" t="str">
        <f t="shared" si="16"/>
        <v/>
      </c>
      <c r="J251" s="190" t="e">
        <f t="shared" si="19"/>
        <v>#NUM!</v>
      </c>
      <c r="K251" s="189" t="e">
        <f t="shared" si="17"/>
        <v>#NUM!</v>
      </c>
      <c r="L251" s="189"/>
      <c r="M251" s="191">
        <f t="shared" si="18"/>
        <v>0</v>
      </c>
    </row>
    <row r="252" spans="1:13" x14ac:dyDescent="0.25">
      <c r="A252" s="206"/>
      <c r="G252" s="177"/>
      <c r="H252" s="189">
        <v>247</v>
      </c>
      <c r="I252" s="190" t="str">
        <f t="shared" si="16"/>
        <v/>
      </c>
      <c r="J252" s="190" t="e">
        <f t="shared" si="19"/>
        <v>#NUM!</v>
      </c>
      <c r="K252" s="189" t="e">
        <f t="shared" si="17"/>
        <v>#NUM!</v>
      </c>
      <c r="L252" s="189"/>
      <c r="M252" s="191">
        <f t="shared" si="18"/>
        <v>0</v>
      </c>
    </row>
    <row r="253" spans="1:13" x14ac:dyDescent="0.25">
      <c r="A253" s="206"/>
      <c r="G253" s="177"/>
      <c r="H253" s="189">
        <v>248</v>
      </c>
      <c r="I253" s="190" t="str">
        <f t="shared" si="16"/>
        <v/>
      </c>
      <c r="J253" s="190" t="e">
        <f t="shared" si="19"/>
        <v>#NUM!</v>
      </c>
      <c r="K253" s="189" t="e">
        <f t="shared" si="17"/>
        <v>#NUM!</v>
      </c>
      <c r="L253" s="189"/>
      <c r="M253" s="191">
        <f t="shared" si="18"/>
        <v>0</v>
      </c>
    </row>
    <row r="254" spans="1:13" x14ac:dyDescent="0.25">
      <c r="A254" s="206"/>
      <c r="G254" s="177"/>
      <c r="H254" s="189">
        <v>249</v>
      </c>
      <c r="I254" s="190" t="str">
        <f t="shared" si="16"/>
        <v/>
      </c>
      <c r="J254" s="190" t="e">
        <f t="shared" si="19"/>
        <v>#NUM!</v>
      </c>
      <c r="K254" s="189" t="e">
        <f t="shared" si="17"/>
        <v>#NUM!</v>
      </c>
      <c r="L254" s="189"/>
      <c r="M254" s="191">
        <f t="shared" si="18"/>
        <v>0</v>
      </c>
    </row>
    <row r="255" spans="1:13" x14ac:dyDescent="0.25">
      <c r="A255" s="206"/>
      <c r="G255" s="177"/>
      <c r="H255" s="189">
        <v>250</v>
      </c>
      <c r="I255" s="190" t="str">
        <f t="shared" si="16"/>
        <v/>
      </c>
      <c r="J255" s="190" t="e">
        <f t="shared" si="19"/>
        <v>#NUM!</v>
      </c>
      <c r="K255" s="189" t="e">
        <f t="shared" si="17"/>
        <v>#NUM!</v>
      </c>
      <c r="L255" s="189"/>
      <c r="M255" s="191">
        <f t="shared" si="18"/>
        <v>0</v>
      </c>
    </row>
    <row r="256" spans="1:13" x14ac:dyDescent="0.25">
      <c r="A256" s="206"/>
      <c r="G256" s="177"/>
      <c r="H256" s="189">
        <v>251</v>
      </c>
      <c r="I256" s="190" t="str">
        <f t="shared" si="16"/>
        <v/>
      </c>
      <c r="J256" s="190" t="e">
        <f t="shared" si="19"/>
        <v>#NUM!</v>
      </c>
      <c r="K256" s="189" t="e">
        <f t="shared" si="17"/>
        <v>#NUM!</v>
      </c>
      <c r="L256" s="189"/>
      <c r="M256" s="191">
        <f t="shared" si="18"/>
        <v>0</v>
      </c>
    </row>
    <row r="257" spans="1:13" x14ac:dyDescent="0.25">
      <c r="A257" s="206"/>
      <c r="G257" s="177"/>
      <c r="H257" s="189">
        <v>252</v>
      </c>
      <c r="I257" s="190" t="str">
        <f t="shared" si="16"/>
        <v/>
      </c>
      <c r="J257" s="190" t="e">
        <f t="shared" si="19"/>
        <v>#NUM!</v>
      </c>
      <c r="K257" s="189" t="e">
        <f t="shared" si="17"/>
        <v>#NUM!</v>
      </c>
      <c r="L257" s="189"/>
      <c r="M257" s="191">
        <f t="shared" si="18"/>
        <v>0</v>
      </c>
    </row>
    <row r="258" spans="1:13" x14ac:dyDescent="0.25">
      <c r="A258" s="206"/>
      <c r="G258" s="177"/>
      <c r="H258" s="189">
        <v>253</v>
      </c>
      <c r="I258" s="190" t="str">
        <f t="shared" si="16"/>
        <v/>
      </c>
      <c r="J258" s="190" t="e">
        <f t="shared" si="19"/>
        <v>#NUM!</v>
      </c>
      <c r="K258" s="189" t="e">
        <f t="shared" si="17"/>
        <v>#NUM!</v>
      </c>
      <c r="L258" s="189"/>
      <c r="M258" s="191">
        <f t="shared" si="18"/>
        <v>0</v>
      </c>
    </row>
    <row r="259" spans="1:13" x14ac:dyDescent="0.25">
      <c r="A259" s="206"/>
      <c r="G259" s="177"/>
      <c r="H259" s="189">
        <v>254</v>
      </c>
      <c r="I259" s="190" t="str">
        <f t="shared" si="16"/>
        <v/>
      </c>
      <c r="J259" s="190" t="e">
        <f t="shared" si="19"/>
        <v>#NUM!</v>
      </c>
      <c r="K259" s="189" t="e">
        <f t="shared" si="17"/>
        <v>#NUM!</v>
      </c>
      <c r="L259" s="189"/>
      <c r="M259" s="191">
        <f t="shared" si="18"/>
        <v>0</v>
      </c>
    </row>
    <row r="260" spans="1:13" x14ac:dyDescent="0.25">
      <c r="A260" s="206"/>
      <c r="G260" s="177"/>
      <c r="H260" s="189">
        <v>255</v>
      </c>
      <c r="I260" s="190" t="str">
        <f t="shared" si="16"/>
        <v/>
      </c>
      <c r="J260" s="190" t="e">
        <f t="shared" si="19"/>
        <v>#NUM!</v>
      </c>
      <c r="K260" s="189" t="e">
        <f t="shared" si="17"/>
        <v>#NUM!</v>
      </c>
      <c r="L260" s="189"/>
      <c r="M260" s="191">
        <f t="shared" si="18"/>
        <v>0</v>
      </c>
    </row>
    <row r="261" spans="1:13" x14ac:dyDescent="0.25">
      <c r="A261" s="206"/>
      <c r="G261" s="177"/>
      <c r="H261" s="189">
        <v>256</v>
      </c>
      <c r="I261" s="190" t="str">
        <f t="shared" si="16"/>
        <v/>
      </c>
      <c r="J261" s="190" t="e">
        <f t="shared" si="19"/>
        <v>#NUM!</v>
      </c>
      <c r="K261" s="189" t="e">
        <f t="shared" si="17"/>
        <v>#NUM!</v>
      </c>
      <c r="L261" s="189"/>
      <c r="M261" s="191">
        <f t="shared" si="18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20">IF(H262&lt;$H$2+1,($I$2-($I$2-1)*(LOG(H262)/LOG($H$2))),"")</f>
        <v/>
      </c>
      <c r="J262" s="190" t="e">
        <f t="shared" si="19"/>
        <v>#NUM!</v>
      </c>
      <c r="K262" s="189" t="e">
        <f t="shared" ref="K262:K305" si="21">J262*$J$2</f>
        <v>#NUM!</v>
      </c>
      <c r="L262" s="189"/>
      <c r="M262" s="191">
        <f t="shared" ref="M262:M305" si="22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20"/>
        <v/>
      </c>
      <c r="J263" s="190" t="e">
        <f t="shared" ref="J263:J305" si="23">INT(LOG($H$2,2))-ROUNDUP(LOG(H263,2),0)+IF(OR($H$2=1,$H$2=2,$H$2=4,$H$2=8,$H$2=16,$H$2=32,$H$2=64,$H$2=128,$H$2=256),0,1)</f>
        <v>#NUM!</v>
      </c>
      <c r="K263" s="189" t="e">
        <f t="shared" si="21"/>
        <v>#NUM!</v>
      </c>
      <c r="L263" s="189"/>
      <c r="M263" s="191">
        <f t="shared" si="22"/>
        <v>0</v>
      </c>
    </row>
    <row r="264" spans="1:13" x14ac:dyDescent="0.25">
      <c r="A264" s="206"/>
      <c r="G264" s="177"/>
      <c r="H264" s="189">
        <v>259</v>
      </c>
      <c r="I264" s="190" t="str">
        <f t="shared" si="20"/>
        <v/>
      </c>
      <c r="J264" s="190" t="e">
        <f t="shared" si="23"/>
        <v>#NUM!</v>
      </c>
      <c r="K264" s="189" t="e">
        <f t="shared" si="21"/>
        <v>#NUM!</v>
      </c>
      <c r="L264" s="189"/>
      <c r="M264" s="191">
        <f t="shared" si="22"/>
        <v>0</v>
      </c>
    </row>
    <row r="265" spans="1:13" x14ac:dyDescent="0.25">
      <c r="A265" s="206"/>
      <c r="G265" s="177"/>
      <c r="H265" s="189">
        <v>260</v>
      </c>
      <c r="I265" s="190" t="str">
        <f t="shared" si="20"/>
        <v/>
      </c>
      <c r="J265" s="190" t="e">
        <f t="shared" si="23"/>
        <v>#NUM!</v>
      </c>
      <c r="K265" s="189" t="e">
        <f t="shared" si="21"/>
        <v>#NUM!</v>
      </c>
      <c r="L265" s="189"/>
      <c r="M265" s="191">
        <f t="shared" si="22"/>
        <v>0</v>
      </c>
    </row>
    <row r="266" spans="1:13" x14ac:dyDescent="0.25">
      <c r="A266" s="206"/>
      <c r="G266" s="177"/>
      <c r="H266" s="189">
        <v>261</v>
      </c>
      <c r="I266" s="190" t="str">
        <f t="shared" si="20"/>
        <v/>
      </c>
      <c r="J266" s="190" t="e">
        <f t="shared" si="23"/>
        <v>#NUM!</v>
      </c>
      <c r="K266" s="189" t="e">
        <f t="shared" si="21"/>
        <v>#NUM!</v>
      </c>
      <c r="L266" s="189"/>
      <c r="M266" s="191">
        <f t="shared" si="22"/>
        <v>0</v>
      </c>
    </row>
    <row r="267" spans="1:13" x14ac:dyDescent="0.25">
      <c r="A267" s="206"/>
      <c r="G267" s="177"/>
      <c r="H267" s="189">
        <v>262</v>
      </c>
      <c r="I267" s="190" t="str">
        <f t="shared" si="20"/>
        <v/>
      </c>
      <c r="J267" s="190" t="e">
        <f t="shared" si="23"/>
        <v>#NUM!</v>
      </c>
      <c r="K267" s="189" t="e">
        <f t="shared" si="21"/>
        <v>#NUM!</v>
      </c>
      <c r="L267" s="189"/>
      <c r="M267" s="191">
        <f t="shared" si="22"/>
        <v>0</v>
      </c>
    </row>
    <row r="268" spans="1:13" x14ac:dyDescent="0.25">
      <c r="A268" s="206"/>
      <c r="G268" s="177"/>
      <c r="H268" s="189">
        <v>263</v>
      </c>
      <c r="I268" s="190" t="str">
        <f t="shared" si="20"/>
        <v/>
      </c>
      <c r="J268" s="190" t="e">
        <f t="shared" si="23"/>
        <v>#NUM!</v>
      </c>
      <c r="K268" s="189" t="e">
        <f t="shared" si="21"/>
        <v>#NUM!</v>
      </c>
      <c r="L268" s="189"/>
      <c r="M268" s="191">
        <f t="shared" si="22"/>
        <v>0</v>
      </c>
    </row>
    <row r="269" spans="1:13" x14ac:dyDescent="0.25">
      <c r="A269" s="206"/>
      <c r="G269" s="177"/>
      <c r="H269" s="189">
        <v>264</v>
      </c>
      <c r="I269" s="190" t="str">
        <f t="shared" si="20"/>
        <v/>
      </c>
      <c r="J269" s="190" t="e">
        <f t="shared" si="23"/>
        <v>#NUM!</v>
      </c>
      <c r="K269" s="189" t="e">
        <f t="shared" si="21"/>
        <v>#NUM!</v>
      </c>
      <c r="L269" s="189"/>
      <c r="M269" s="191">
        <f t="shared" si="22"/>
        <v>0</v>
      </c>
    </row>
    <row r="270" spans="1:13" x14ac:dyDescent="0.25">
      <c r="A270" s="206"/>
      <c r="G270" s="177"/>
      <c r="H270" s="189">
        <v>265</v>
      </c>
      <c r="I270" s="190" t="str">
        <f t="shared" si="20"/>
        <v/>
      </c>
      <c r="J270" s="190" t="e">
        <f t="shared" si="23"/>
        <v>#NUM!</v>
      </c>
      <c r="K270" s="189" t="e">
        <f t="shared" si="21"/>
        <v>#NUM!</v>
      </c>
      <c r="L270" s="189"/>
      <c r="M270" s="191">
        <f t="shared" si="22"/>
        <v>0</v>
      </c>
    </row>
    <row r="271" spans="1:13" x14ac:dyDescent="0.25">
      <c r="A271" s="206"/>
      <c r="G271" s="177"/>
      <c r="H271" s="189">
        <v>266</v>
      </c>
      <c r="I271" s="190" t="str">
        <f t="shared" si="20"/>
        <v/>
      </c>
      <c r="J271" s="190" t="e">
        <f t="shared" si="23"/>
        <v>#NUM!</v>
      </c>
      <c r="K271" s="189" t="e">
        <f t="shared" si="21"/>
        <v>#NUM!</v>
      </c>
      <c r="L271" s="189"/>
      <c r="M271" s="191">
        <f t="shared" si="22"/>
        <v>0</v>
      </c>
    </row>
    <row r="272" spans="1:13" x14ac:dyDescent="0.25">
      <c r="A272" s="206"/>
      <c r="G272" s="177"/>
      <c r="H272" s="189">
        <v>267</v>
      </c>
      <c r="I272" s="190" t="str">
        <f t="shared" si="20"/>
        <v/>
      </c>
      <c r="J272" s="190" t="e">
        <f t="shared" si="23"/>
        <v>#NUM!</v>
      </c>
      <c r="K272" s="189" t="e">
        <f t="shared" si="21"/>
        <v>#NUM!</v>
      </c>
      <c r="L272" s="189"/>
      <c r="M272" s="191">
        <f t="shared" si="22"/>
        <v>0</v>
      </c>
    </row>
    <row r="273" spans="1:13" x14ac:dyDescent="0.25">
      <c r="A273" s="206"/>
      <c r="G273" s="177"/>
      <c r="H273" s="189">
        <v>268</v>
      </c>
      <c r="I273" s="190" t="str">
        <f t="shared" si="20"/>
        <v/>
      </c>
      <c r="J273" s="190" t="e">
        <f t="shared" si="23"/>
        <v>#NUM!</v>
      </c>
      <c r="K273" s="189" t="e">
        <f t="shared" si="21"/>
        <v>#NUM!</v>
      </c>
      <c r="L273" s="189"/>
      <c r="M273" s="191">
        <f t="shared" si="22"/>
        <v>0</v>
      </c>
    </row>
    <row r="274" spans="1:13" x14ac:dyDescent="0.25">
      <c r="A274" s="206"/>
      <c r="G274" s="177"/>
      <c r="H274" s="189">
        <v>269</v>
      </c>
      <c r="I274" s="190" t="str">
        <f t="shared" si="20"/>
        <v/>
      </c>
      <c r="J274" s="190" t="e">
        <f t="shared" si="23"/>
        <v>#NUM!</v>
      </c>
      <c r="K274" s="189" t="e">
        <f t="shared" si="21"/>
        <v>#NUM!</v>
      </c>
      <c r="L274" s="189"/>
      <c r="M274" s="191">
        <f t="shared" si="22"/>
        <v>0</v>
      </c>
    </row>
    <row r="275" spans="1:13" x14ac:dyDescent="0.25">
      <c r="A275" s="206"/>
      <c r="G275" s="177"/>
      <c r="H275" s="189">
        <v>270</v>
      </c>
      <c r="I275" s="190" t="str">
        <f t="shared" si="20"/>
        <v/>
      </c>
      <c r="J275" s="190" t="e">
        <f t="shared" si="23"/>
        <v>#NUM!</v>
      </c>
      <c r="K275" s="189" t="e">
        <f t="shared" si="21"/>
        <v>#NUM!</v>
      </c>
      <c r="L275" s="189"/>
      <c r="M275" s="191">
        <f t="shared" si="22"/>
        <v>0</v>
      </c>
    </row>
    <row r="276" spans="1:13" x14ac:dyDescent="0.25">
      <c r="A276" s="206"/>
      <c r="G276" s="177"/>
      <c r="H276" s="189">
        <v>271</v>
      </c>
      <c r="I276" s="190" t="str">
        <f t="shared" si="20"/>
        <v/>
      </c>
      <c r="J276" s="190" t="e">
        <f t="shared" si="23"/>
        <v>#NUM!</v>
      </c>
      <c r="K276" s="189" t="e">
        <f t="shared" si="21"/>
        <v>#NUM!</v>
      </c>
      <c r="L276" s="189"/>
      <c r="M276" s="191">
        <f t="shared" si="22"/>
        <v>0</v>
      </c>
    </row>
    <row r="277" spans="1:13" x14ac:dyDescent="0.25">
      <c r="A277" s="206"/>
      <c r="G277" s="177"/>
      <c r="H277" s="189">
        <v>272</v>
      </c>
      <c r="I277" s="190" t="str">
        <f t="shared" si="20"/>
        <v/>
      </c>
      <c r="J277" s="190" t="e">
        <f t="shared" si="23"/>
        <v>#NUM!</v>
      </c>
      <c r="K277" s="189" t="e">
        <f t="shared" si="21"/>
        <v>#NUM!</v>
      </c>
      <c r="L277" s="189"/>
      <c r="M277" s="191">
        <f t="shared" si="22"/>
        <v>0</v>
      </c>
    </row>
    <row r="278" spans="1:13" x14ac:dyDescent="0.25">
      <c r="A278" s="206"/>
      <c r="G278" s="177"/>
      <c r="H278" s="189">
        <v>273</v>
      </c>
      <c r="I278" s="190" t="str">
        <f t="shared" si="20"/>
        <v/>
      </c>
      <c r="J278" s="190" t="e">
        <f t="shared" si="23"/>
        <v>#NUM!</v>
      </c>
      <c r="K278" s="189" t="e">
        <f t="shared" si="21"/>
        <v>#NUM!</v>
      </c>
      <c r="L278" s="189"/>
      <c r="M278" s="191">
        <f t="shared" si="22"/>
        <v>0</v>
      </c>
    </row>
    <row r="279" spans="1:13" x14ac:dyDescent="0.25">
      <c r="A279" s="206"/>
      <c r="G279" s="177"/>
      <c r="H279" s="189">
        <v>274</v>
      </c>
      <c r="I279" s="190" t="str">
        <f t="shared" si="20"/>
        <v/>
      </c>
      <c r="J279" s="190" t="e">
        <f t="shared" si="23"/>
        <v>#NUM!</v>
      </c>
      <c r="K279" s="189" t="e">
        <f t="shared" si="21"/>
        <v>#NUM!</v>
      </c>
      <c r="L279" s="189"/>
      <c r="M279" s="191">
        <f t="shared" si="22"/>
        <v>0</v>
      </c>
    </row>
    <row r="280" spans="1:13" x14ac:dyDescent="0.25">
      <c r="A280" s="206"/>
      <c r="G280" s="177"/>
      <c r="H280" s="189">
        <v>275</v>
      </c>
      <c r="I280" s="190" t="str">
        <f t="shared" si="20"/>
        <v/>
      </c>
      <c r="J280" s="190" t="e">
        <f t="shared" si="23"/>
        <v>#NUM!</v>
      </c>
      <c r="K280" s="189" t="e">
        <f t="shared" si="21"/>
        <v>#NUM!</v>
      </c>
      <c r="L280" s="189"/>
      <c r="M280" s="191">
        <f t="shared" si="22"/>
        <v>0</v>
      </c>
    </row>
    <row r="281" spans="1:13" x14ac:dyDescent="0.25">
      <c r="A281" s="206"/>
      <c r="G281" s="177"/>
      <c r="H281" s="189">
        <v>276</v>
      </c>
      <c r="I281" s="190" t="str">
        <f t="shared" si="20"/>
        <v/>
      </c>
      <c r="J281" s="190" t="e">
        <f t="shared" si="23"/>
        <v>#NUM!</v>
      </c>
      <c r="K281" s="189" t="e">
        <f t="shared" si="21"/>
        <v>#NUM!</v>
      </c>
      <c r="L281" s="189"/>
      <c r="M281" s="191">
        <f t="shared" si="22"/>
        <v>0</v>
      </c>
    </row>
    <row r="282" spans="1:13" x14ac:dyDescent="0.25">
      <c r="A282" s="206"/>
      <c r="G282" s="177"/>
      <c r="H282" s="189">
        <v>277</v>
      </c>
      <c r="I282" s="190" t="str">
        <f t="shared" si="20"/>
        <v/>
      </c>
      <c r="J282" s="190" t="e">
        <f t="shared" si="23"/>
        <v>#NUM!</v>
      </c>
      <c r="K282" s="189" t="e">
        <f t="shared" si="21"/>
        <v>#NUM!</v>
      </c>
      <c r="L282" s="189"/>
      <c r="M282" s="191">
        <f t="shared" si="22"/>
        <v>0</v>
      </c>
    </row>
    <row r="283" spans="1:13" x14ac:dyDescent="0.25">
      <c r="A283" s="206"/>
      <c r="G283" s="177"/>
      <c r="H283" s="189">
        <v>278</v>
      </c>
      <c r="I283" s="190" t="str">
        <f t="shared" si="20"/>
        <v/>
      </c>
      <c r="J283" s="190" t="e">
        <f t="shared" si="23"/>
        <v>#NUM!</v>
      </c>
      <c r="K283" s="189" t="e">
        <f t="shared" si="21"/>
        <v>#NUM!</v>
      </c>
      <c r="L283" s="189"/>
      <c r="M283" s="191">
        <f t="shared" si="22"/>
        <v>0</v>
      </c>
    </row>
    <row r="284" spans="1:13" x14ac:dyDescent="0.25">
      <c r="A284" s="206"/>
      <c r="G284" s="177"/>
      <c r="H284" s="189">
        <v>279</v>
      </c>
      <c r="I284" s="190" t="str">
        <f t="shared" si="20"/>
        <v/>
      </c>
      <c r="J284" s="190" t="e">
        <f t="shared" si="23"/>
        <v>#NUM!</v>
      </c>
      <c r="K284" s="189" t="e">
        <f t="shared" si="21"/>
        <v>#NUM!</v>
      </c>
      <c r="L284" s="189"/>
      <c r="M284" s="191">
        <f t="shared" si="22"/>
        <v>0</v>
      </c>
    </row>
    <row r="285" spans="1:13" x14ac:dyDescent="0.25">
      <c r="A285" s="206"/>
      <c r="G285" s="177"/>
      <c r="H285" s="189">
        <v>280</v>
      </c>
      <c r="I285" s="190" t="str">
        <f t="shared" si="20"/>
        <v/>
      </c>
      <c r="J285" s="190" t="e">
        <f t="shared" si="23"/>
        <v>#NUM!</v>
      </c>
      <c r="K285" s="189" t="e">
        <f t="shared" si="21"/>
        <v>#NUM!</v>
      </c>
      <c r="L285" s="189"/>
      <c r="M285" s="191">
        <f t="shared" si="22"/>
        <v>0</v>
      </c>
    </row>
    <row r="286" spans="1:13" x14ac:dyDescent="0.25">
      <c r="A286" s="206"/>
      <c r="G286" s="177"/>
      <c r="H286" s="189">
        <v>281</v>
      </c>
      <c r="I286" s="190" t="str">
        <f t="shared" si="20"/>
        <v/>
      </c>
      <c r="J286" s="190" t="e">
        <f t="shared" si="23"/>
        <v>#NUM!</v>
      </c>
      <c r="K286" s="189" t="e">
        <f t="shared" si="21"/>
        <v>#NUM!</v>
      </c>
      <c r="L286" s="189"/>
      <c r="M286" s="191">
        <f t="shared" si="22"/>
        <v>0</v>
      </c>
    </row>
    <row r="287" spans="1:13" x14ac:dyDescent="0.25">
      <c r="A287" s="206"/>
      <c r="G287" s="177"/>
      <c r="H287" s="189">
        <v>282</v>
      </c>
      <c r="I287" s="190" t="str">
        <f t="shared" si="20"/>
        <v/>
      </c>
      <c r="J287" s="190" t="e">
        <f t="shared" si="23"/>
        <v>#NUM!</v>
      </c>
      <c r="K287" s="189" t="e">
        <f t="shared" si="21"/>
        <v>#NUM!</v>
      </c>
      <c r="L287" s="189"/>
      <c r="M287" s="191">
        <f t="shared" si="22"/>
        <v>0</v>
      </c>
    </row>
    <row r="288" spans="1:13" x14ac:dyDescent="0.25">
      <c r="A288" s="206"/>
      <c r="G288" s="177"/>
      <c r="H288" s="189">
        <v>283</v>
      </c>
      <c r="I288" s="190" t="str">
        <f t="shared" si="20"/>
        <v/>
      </c>
      <c r="J288" s="190" t="e">
        <f t="shared" si="23"/>
        <v>#NUM!</v>
      </c>
      <c r="K288" s="189" t="e">
        <f t="shared" si="21"/>
        <v>#NUM!</v>
      </c>
      <c r="L288" s="189"/>
      <c r="M288" s="191">
        <f t="shared" si="22"/>
        <v>0</v>
      </c>
    </row>
    <row r="289" spans="1:13" x14ac:dyDescent="0.25">
      <c r="A289" s="206"/>
      <c r="G289" s="177"/>
      <c r="H289" s="189">
        <v>284</v>
      </c>
      <c r="I289" s="190" t="str">
        <f t="shared" si="20"/>
        <v/>
      </c>
      <c r="J289" s="190" t="e">
        <f t="shared" si="23"/>
        <v>#NUM!</v>
      </c>
      <c r="K289" s="189" t="e">
        <f t="shared" si="21"/>
        <v>#NUM!</v>
      </c>
      <c r="L289" s="189"/>
      <c r="M289" s="191">
        <f t="shared" si="22"/>
        <v>0</v>
      </c>
    </row>
    <row r="290" spans="1:13" x14ac:dyDescent="0.25">
      <c r="A290" s="206"/>
      <c r="G290" s="177"/>
      <c r="H290" s="189">
        <v>285</v>
      </c>
      <c r="I290" s="190" t="str">
        <f t="shared" si="20"/>
        <v/>
      </c>
      <c r="J290" s="190" t="e">
        <f t="shared" si="23"/>
        <v>#NUM!</v>
      </c>
      <c r="K290" s="189" t="e">
        <f t="shared" si="21"/>
        <v>#NUM!</v>
      </c>
      <c r="L290" s="189"/>
      <c r="M290" s="191">
        <f t="shared" si="22"/>
        <v>0</v>
      </c>
    </row>
    <row r="291" spans="1:13" x14ac:dyDescent="0.25">
      <c r="A291" s="206"/>
      <c r="G291" s="177"/>
      <c r="H291" s="189">
        <v>286</v>
      </c>
      <c r="I291" s="190" t="str">
        <f t="shared" si="20"/>
        <v/>
      </c>
      <c r="J291" s="190" t="e">
        <f t="shared" si="23"/>
        <v>#NUM!</v>
      </c>
      <c r="K291" s="189" t="e">
        <f t="shared" si="21"/>
        <v>#NUM!</v>
      </c>
      <c r="L291" s="189"/>
      <c r="M291" s="191">
        <f t="shared" si="22"/>
        <v>0</v>
      </c>
    </row>
    <row r="292" spans="1:13" x14ac:dyDescent="0.25">
      <c r="A292" s="206"/>
      <c r="G292" s="177"/>
      <c r="H292" s="189">
        <v>287</v>
      </c>
      <c r="I292" s="190" t="str">
        <f t="shared" si="20"/>
        <v/>
      </c>
      <c r="J292" s="190" t="e">
        <f t="shared" si="23"/>
        <v>#NUM!</v>
      </c>
      <c r="K292" s="189" t="e">
        <f t="shared" si="21"/>
        <v>#NUM!</v>
      </c>
      <c r="L292" s="189"/>
      <c r="M292" s="191">
        <f t="shared" si="22"/>
        <v>0</v>
      </c>
    </row>
    <row r="293" spans="1:13" x14ac:dyDescent="0.25">
      <c r="A293" s="206"/>
      <c r="G293" s="177"/>
      <c r="H293" s="189">
        <v>288</v>
      </c>
      <c r="I293" s="190" t="str">
        <f t="shared" si="20"/>
        <v/>
      </c>
      <c r="J293" s="190" t="e">
        <f t="shared" si="23"/>
        <v>#NUM!</v>
      </c>
      <c r="K293" s="189" t="e">
        <f t="shared" si="21"/>
        <v>#NUM!</v>
      </c>
      <c r="L293" s="189"/>
      <c r="M293" s="191">
        <f t="shared" si="22"/>
        <v>0</v>
      </c>
    </row>
    <row r="294" spans="1:13" x14ac:dyDescent="0.25">
      <c r="A294" s="206"/>
      <c r="G294" s="177"/>
      <c r="H294" s="189">
        <v>289</v>
      </c>
      <c r="I294" s="190" t="str">
        <f t="shared" si="20"/>
        <v/>
      </c>
      <c r="J294" s="190" t="e">
        <f t="shared" si="23"/>
        <v>#NUM!</v>
      </c>
      <c r="K294" s="189" t="e">
        <f t="shared" si="21"/>
        <v>#NUM!</v>
      </c>
      <c r="L294" s="189"/>
      <c r="M294" s="191">
        <f t="shared" si="22"/>
        <v>0</v>
      </c>
    </row>
    <row r="295" spans="1:13" x14ac:dyDescent="0.25">
      <c r="A295" s="206"/>
      <c r="G295" s="177"/>
      <c r="H295" s="189">
        <v>290</v>
      </c>
      <c r="I295" s="190" t="str">
        <f t="shared" si="20"/>
        <v/>
      </c>
      <c r="J295" s="190" t="e">
        <f t="shared" si="23"/>
        <v>#NUM!</v>
      </c>
      <c r="K295" s="189" t="e">
        <f t="shared" si="21"/>
        <v>#NUM!</v>
      </c>
      <c r="L295" s="189"/>
      <c r="M295" s="191">
        <f t="shared" si="22"/>
        <v>0</v>
      </c>
    </row>
    <row r="296" spans="1:13" x14ac:dyDescent="0.25">
      <c r="A296" s="206"/>
      <c r="G296" s="177"/>
      <c r="H296" s="189">
        <v>291</v>
      </c>
      <c r="I296" s="190" t="str">
        <f t="shared" si="20"/>
        <v/>
      </c>
      <c r="J296" s="190" t="e">
        <f t="shared" si="23"/>
        <v>#NUM!</v>
      </c>
      <c r="K296" s="189" t="e">
        <f t="shared" si="21"/>
        <v>#NUM!</v>
      </c>
      <c r="L296" s="189"/>
      <c r="M296" s="191">
        <f t="shared" si="22"/>
        <v>0</v>
      </c>
    </row>
    <row r="297" spans="1:13" x14ac:dyDescent="0.25">
      <c r="A297" s="206"/>
      <c r="G297" s="177"/>
      <c r="H297" s="189">
        <v>292</v>
      </c>
      <c r="I297" s="190" t="str">
        <f t="shared" si="20"/>
        <v/>
      </c>
      <c r="J297" s="190" t="e">
        <f t="shared" si="23"/>
        <v>#NUM!</v>
      </c>
      <c r="K297" s="189" t="e">
        <f t="shared" si="21"/>
        <v>#NUM!</v>
      </c>
      <c r="L297" s="189"/>
      <c r="M297" s="191">
        <f t="shared" si="22"/>
        <v>0</v>
      </c>
    </row>
    <row r="298" spans="1:13" x14ac:dyDescent="0.25">
      <c r="A298" s="206"/>
      <c r="G298" s="177"/>
      <c r="H298" s="189">
        <v>293</v>
      </c>
      <c r="I298" s="190" t="str">
        <f t="shared" si="20"/>
        <v/>
      </c>
      <c r="J298" s="190" t="e">
        <f t="shared" si="23"/>
        <v>#NUM!</v>
      </c>
      <c r="K298" s="189" t="e">
        <f t="shared" si="21"/>
        <v>#NUM!</v>
      </c>
      <c r="L298" s="189"/>
      <c r="M298" s="191">
        <f t="shared" si="22"/>
        <v>0</v>
      </c>
    </row>
    <row r="299" spans="1:13" x14ac:dyDescent="0.25">
      <c r="A299" s="206"/>
      <c r="G299" s="177"/>
      <c r="H299" s="189">
        <v>294</v>
      </c>
      <c r="I299" s="190" t="str">
        <f t="shared" si="20"/>
        <v/>
      </c>
      <c r="J299" s="190" t="e">
        <f t="shared" si="23"/>
        <v>#NUM!</v>
      </c>
      <c r="K299" s="189" t="e">
        <f t="shared" si="21"/>
        <v>#NUM!</v>
      </c>
      <c r="L299" s="189"/>
      <c r="M299" s="191">
        <f t="shared" si="22"/>
        <v>0</v>
      </c>
    </row>
    <row r="300" spans="1:13" x14ac:dyDescent="0.25">
      <c r="A300" s="206"/>
      <c r="G300" s="177"/>
      <c r="H300" s="189">
        <v>295</v>
      </c>
      <c r="I300" s="190" t="str">
        <f t="shared" si="20"/>
        <v/>
      </c>
      <c r="J300" s="190" t="e">
        <f t="shared" si="23"/>
        <v>#NUM!</v>
      </c>
      <c r="K300" s="189" t="e">
        <f t="shared" si="21"/>
        <v>#NUM!</v>
      </c>
      <c r="L300" s="189"/>
      <c r="M300" s="191">
        <f t="shared" si="22"/>
        <v>0</v>
      </c>
    </row>
    <row r="301" spans="1:13" x14ac:dyDescent="0.25">
      <c r="A301" s="206"/>
      <c r="G301" s="177"/>
      <c r="H301" s="189">
        <v>296</v>
      </c>
      <c r="I301" s="190" t="str">
        <f t="shared" si="20"/>
        <v/>
      </c>
      <c r="J301" s="190" t="e">
        <f t="shared" si="23"/>
        <v>#NUM!</v>
      </c>
      <c r="K301" s="189" t="e">
        <f t="shared" si="21"/>
        <v>#NUM!</v>
      </c>
      <c r="L301" s="189"/>
      <c r="M301" s="191">
        <f t="shared" si="22"/>
        <v>0</v>
      </c>
    </row>
    <row r="302" spans="1:13" x14ac:dyDescent="0.25">
      <c r="A302" s="206"/>
      <c r="G302" s="177"/>
      <c r="H302" s="189">
        <v>297</v>
      </c>
      <c r="I302" s="190" t="str">
        <f t="shared" si="20"/>
        <v/>
      </c>
      <c r="J302" s="190" t="e">
        <f t="shared" si="23"/>
        <v>#NUM!</v>
      </c>
      <c r="K302" s="189" t="e">
        <f t="shared" si="21"/>
        <v>#NUM!</v>
      </c>
      <c r="L302" s="189"/>
      <c r="M302" s="191">
        <f t="shared" si="22"/>
        <v>0</v>
      </c>
    </row>
    <row r="303" spans="1:13" x14ac:dyDescent="0.25">
      <c r="A303" s="206"/>
      <c r="G303" s="177"/>
      <c r="H303" s="189">
        <v>298</v>
      </c>
      <c r="I303" s="190" t="str">
        <f t="shared" si="20"/>
        <v/>
      </c>
      <c r="J303" s="190" t="e">
        <f t="shared" si="23"/>
        <v>#NUM!</v>
      </c>
      <c r="K303" s="189" t="e">
        <f t="shared" si="21"/>
        <v>#NUM!</v>
      </c>
      <c r="L303" s="189"/>
      <c r="M303" s="191">
        <f t="shared" si="22"/>
        <v>0</v>
      </c>
    </row>
    <row r="304" spans="1:13" x14ac:dyDescent="0.25">
      <c r="A304" s="206"/>
      <c r="G304" s="177"/>
      <c r="H304" s="189">
        <v>299</v>
      </c>
      <c r="I304" s="190" t="str">
        <f t="shared" si="20"/>
        <v/>
      </c>
      <c r="J304" s="190" t="e">
        <f t="shared" si="23"/>
        <v>#NUM!</v>
      </c>
      <c r="K304" s="189" t="e">
        <f t="shared" si="21"/>
        <v>#NUM!</v>
      </c>
      <c r="L304" s="189"/>
      <c r="M304" s="191">
        <f t="shared" si="22"/>
        <v>0</v>
      </c>
    </row>
    <row r="305" spans="1:16" x14ac:dyDescent="0.25">
      <c r="A305" s="206"/>
      <c r="G305" s="177"/>
      <c r="H305" s="189">
        <v>300</v>
      </c>
      <c r="I305" s="190" t="str">
        <f t="shared" si="20"/>
        <v/>
      </c>
      <c r="J305" s="190" t="e">
        <f t="shared" si="23"/>
        <v>#NUM!</v>
      </c>
      <c r="K305" s="189" t="e">
        <f t="shared" si="21"/>
        <v>#NUM!</v>
      </c>
      <c r="L305" s="189"/>
      <c r="M305" s="191">
        <f t="shared" si="22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1260AA71-790E-48F5-97C6-2371FA1F69F3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27F-E568-4FE4-96E7-6B40E8BDB010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" style="208" customWidth="1"/>
    <col min="11" max="11" width="8.75" style="208" customWidth="1"/>
    <col min="12" max="12" width="11" style="208" customWidth="1"/>
    <col min="13" max="13" width="11.7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26</v>
      </c>
      <c r="I1" s="179" t="s">
        <v>27</v>
      </c>
      <c r="J1" s="179" t="s">
        <v>28</v>
      </c>
      <c r="K1" s="180" t="s">
        <v>124</v>
      </c>
      <c r="L1" s="181"/>
      <c r="M1" s="181"/>
    </row>
    <row r="2" spans="1:36" x14ac:dyDescent="0.25">
      <c r="A2" s="177"/>
      <c r="B2" s="22" t="s">
        <v>30</v>
      </c>
      <c r="C2" s="264" t="s">
        <v>125</v>
      </c>
      <c r="D2" s="135"/>
      <c r="E2" s="23"/>
      <c r="F2" s="23"/>
      <c r="G2" s="23"/>
      <c r="H2" s="183">
        <v>0</v>
      </c>
      <c r="I2" s="184">
        <v>50</v>
      </c>
      <c r="J2" s="184">
        <v>10</v>
      </c>
      <c r="K2" s="185">
        <f>3*H2^(1/3)</f>
        <v>0</v>
      </c>
      <c r="L2" s="181"/>
      <c r="M2" s="181"/>
    </row>
    <row r="3" spans="1:36" ht="14.45" customHeight="1" x14ac:dyDescent="0.25">
      <c r="A3" s="177"/>
      <c r="B3" s="186" t="s">
        <v>32</v>
      </c>
      <c r="C3" s="76" t="s">
        <v>140</v>
      </c>
      <c r="D3" s="76"/>
      <c r="E3" s="28"/>
      <c r="F3" s="28"/>
      <c r="G3" s="28"/>
      <c r="H3" s="181"/>
      <c r="I3" s="181"/>
      <c r="J3" s="181"/>
      <c r="K3" s="181"/>
      <c r="L3" s="181"/>
      <c r="M3" s="18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81"/>
      <c r="I4" s="181"/>
      <c r="J4" s="181"/>
      <c r="K4" s="181"/>
      <c r="L4" s="181"/>
      <c r="M4" s="18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87" t="s">
        <v>40</v>
      </c>
      <c r="I5" s="188" t="s">
        <v>41</v>
      </c>
      <c r="J5" s="188" t="s">
        <v>42</v>
      </c>
      <c r="K5" s="188" t="s">
        <v>43</v>
      </c>
      <c r="L5" s="188" t="s">
        <v>44</v>
      </c>
      <c r="M5" s="187" t="s">
        <v>45</v>
      </c>
    </row>
    <row r="6" spans="1:36" ht="14.45" customHeight="1" x14ac:dyDescent="0.25">
      <c r="A6" s="102">
        <f>M6</f>
        <v>0</v>
      </c>
      <c r="B6" s="36" t="str">
        <f t="shared" ref="B6:B65" si="0">IF(H6&gt;$H$2,"",(ROW()-5))</f>
        <v/>
      </c>
      <c r="C6" s="37"/>
      <c r="D6" s="37"/>
      <c r="E6" s="37"/>
      <c r="F6" s="37"/>
      <c r="G6" s="30"/>
      <c r="H6" s="189">
        <v>1</v>
      </c>
      <c r="I6" s="190" t="str">
        <f t="shared" ref="I6:I69" si="1">IF(H6&lt;$H$2+1,($I$2-($I$2-1)*(LOG(H6)/LOG($H$2))),"")</f>
        <v/>
      </c>
      <c r="J6" s="190" t="e">
        <f>INT(LOG($H$2,2))-ROUNDUP(LOG(H6,2),0)+IF(OR($H$2=1,$H$2=2,$H$2=4,$H$2=8,$H$2=16,$H$2=32,$H$2=64,$H$2=128,$H$2=256),0,1)</f>
        <v>#NUM!</v>
      </c>
      <c r="K6" s="189" t="e">
        <f t="shared" ref="K6:K69" si="2">J6*$J$2</f>
        <v>#NUM!</v>
      </c>
      <c r="L6" s="191">
        <f>3*K2</f>
        <v>0</v>
      </c>
      <c r="M6" s="191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92">
        <v>2</v>
      </c>
      <c r="I7" s="193" t="str">
        <f t="shared" si="1"/>
        <v/>
      </c>
      <c r="J7" s="193" t="e">
        <f t="shared" ref="J7:J70" si="5">INT(LOG($H$2,2))-ROUNDUP(LOG(H7,2),0)+IF(OR($H$2=1,$H$2=2,$H$2=4,$H$2=8,$H$2=16,$H$2=32,$H$2=64,$H$2=128,$H$2=256),0,1)</f>
        <v>#NUM!</v>
      </c>
      <c r="K7" s="192" t="e">
        <f t="shared" si="2"/>
        <v>#NUM!</v>
      </c>
      <c r="L7" s="194">
        <f>2*K2</f>
        <v>0</v>
      </c>
      <c r="M7" s="194">
        <f t="shared" si="3"/>
        <v>0</v>
      </c>
    </row>
    <row r="8" spans="1:36" ht="14.45" customHeight="1" x14ac:dyDescent="0.25">
      <c r="A8" s="102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9">
        <v>3</v>
      </c>
      <c r="I8" s="190" t="str">
        <f t="shared" si="1"/>
        <v/>
      </c>
      <c r="J8" s="190" t="e">
        <f t="shared" si="5"/>
        <v>#NUM!</v>
      </c>
      <c r="K8" s="189" t="e">
        <f t="shared" si="2"/>
        <v>#NUM!</v>
      </c>
      <c r="L8" s="191">
        <f>K2</f>
        <v>0</v>
      </c>
      <c r="M8" s="191">
        <f t="shared" si="3"/>
        <v>0</v>
      </c>
    </row>
    <row r="9" spans="1:36" s="182" customFormat="1" ht="14.45" customHeight="1" x14ac:dyDescent="0.25">
      <c r="A9" s="106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92">
        <v>3</v>
      </c>
      <c r="I9" s="193" t="str">
        <f t="shared" si="1"/>
        <v/>
      </c>
      <c r="J9" s="192" t="e">
        <f t="shared" si="5"/>
        <v>#NUM!</v>
      </c>
      <c r="K9" s="192" t="e">
        <f t="shared" si="2"/>
        <v>#NUM!</v>
      </c>
      <c r="L9" s="194">
        <f>K2</f>
        <v>0</v>
      </c>
      <c r="M9" s="194">
        <f t="shared" si="3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53</v>
      </c>
      <c r="AI9" s="182">
        <v>23</v>
      </c>
    </row>
    <row r="10" spans="1:36" ht="14.45" customHeight="1" x14ac:dyDescent="0.25">
      <c r="A10" s="102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189">
        <v>5</v>
      </c>
      <c r="I10" s="190" t="str">
        <f t="shared" si="1"/>
        <v/>
      </c>
      <c r="J10" s="190" t="e">
        <f t="shared" si="5"/>
        <v>#NUM!</v>
      </c>
      <c r="K10" s="189" t="e">
        <f t="shared" si="2"/>
        <v>#NUM!</v>
      </c>
      <c r="L10" s="189"/>
      <c r="M10" s="191">
        <f t="shared" si="3"/>
        <v>0</v>
      </c>
      <c r="V10" s="195"/>
      <c r="Z10" s="196"/>
      <c r="AA10" s="196"/>
      <c r="AG10" s="197"/>
      <c r="AH10" s="182" t="s">
        <v>55</v>
      </c>
      <c r="AI10" s="182">
        <v>45</v>
      </c>
    </row>
    <row r="11" spans="1:36" ht="14.45" customHeight="1" x14ac:dyDescent="0.25">
      <c r="A11" s="106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92">
        <v>6</v>
      </c>
      <c r="I11" s="193" t="str">
        <f t="shared" si="1"/>
        <v/>
      </c>
      <c r="J11" s="193" t="e">
        <f t="shared" si="5"/>
        <v>#NUM!</v>
      </c>
      <c r="K11" s="192" t="e">
        <f t="shared" si="2"/>
        <v>#NUM!</v>
      </c>
      <c r="L11" s="192"/>
      <c r="M11" s="194">
        <f t="shared" si="3"/>
        <v>0</v>
      </c>
      <c r="V11" s="198"/>
      <c r="Z11" s="196"/>
      <c r="AA11" s="196"/>
      <c r="AG11" s="197"/>
      <c r="AH11" s="182" t="s">
        <v>57</v>
      </c>
      <c r="AI11" s="182">
        <v>50</v>
      </c>
    </row>
    <row r="12" spans="1:36" ht="14.45" customHeight="1" x14ac:dyDescent="0.25">
      <c r="A12" s="102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9">
        <v>7</v>
      </c>
      <c r="I12" s="190" t="str">
        <f t="shared" si="1"/>
        <v/>
      </c>
      <c r="J12" s="190" t="e">
        <f t="shared" si="5"/>
        <v>#NUM!</v>
      </c>
      <c r="K12" s="189" t="e">
        <f t="shared" si="2"/>
        <v>#NUM!</v>
      </c>
      <c r="L12" s="189"/>
      <c r="M12" s="191">
        <f t="shared" si="3"/>
        <v>0</v>
      </c>
      <c r="Z12" s="196"/>
      <c r="AA12" s="196"/>
      <c r="AG12" s="197"/>
      <c r="AH12" s="182" t="s">
        <v>58</v>
      </c>
      <c r="AI12" s="182">
        <f>AI11-1</f>
        <v>49</v>
      </c>
    </row>
    <row r="13" spans="1:36" ht="14.45" customHeight="1" x14ac:dyDescent="0.25">
      <c r="A13" s="106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92">
        <v>8</v>
      </c>
      <c r="I13" s="193" t="str">
        <f t="shared" si="1"/>
        <v/>
      </c>
      <c r="J13" s="193" t="e">
        <f t="shared" si="5"/>
        <v>#NUM!</v>
      </c>
      <c r="K13" s="192" t="e">
        <f t="shared" si="2"/>
        <v>#NUM!</v>
      </c>
      <c r="L13" s="192"/>
      <c r="M13" s="194">
        <f t="shared" si="3"/>
        <v>0</v>
      </c>
      <c r="X13" s="195"/>
      <c r="AG13" s="197"/>
      <c r="AH13" s="182" t="s">
        <v>59</v>
      </c>
      <c r="AI13" s="182">
        <f>LOG(AI9)</f>
        <v>1.3617278360175928</v>
      </c>
    </row>
    <row r="14" spans="1:36" x14ac:dyDescent="0.25">
      <c r="A14" s="102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9">
        <v>9</v>
      </c>
      <c r="I14" s="190" t="str">
        <f t="shared" si="1"/>
        <v/>
      </c>
      <c r="J14" s="190" t="e">
        <f t="shared" si="5"/>
        <v>#NUM!</v>
      </c>
      <c r="K14" s="189" t="e">
        <f t="shared" si="2"/>
        <v>#NUM!</v>
      </c>
      <c r="L14" s="189"/>
      <c r="M14" s="191">
        <f t="shared" si="3"/>
        <v>0</v>
      </c>
      <c r="X14" s="199"/>
      <c r="Z14" s="196"/>
      <c r="AA14" s="196"/>
      <c r="AG14" s="197"/>
      <c r="AH14" s="182" t="s">
        <v>65</v>
      </c>
      <c r="AI14" s="182">
        <f>LOG(AI10)</f>
        <v>1.6532125137753437</v>
      </c>
    </row>
    <row r="15" spans="1:36" x14ac:dyDescent="0.25">
      <c r="A15" s="106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92">
        <v>10</v>
      </c>
      <c r="I15" s="193" t="str">
        <f t="shared" si="1"/>
        <v/>
      </c>
      <c r="J15" s="193" t="e">
        <f t="shared" si="5"/>
        <v>#NUM!</v>
      </c>
      <c r="K15" s="192" t="e">
        <f t="shared" si="2"/>
        <v>#NUM!</v>
      </c>
      <c r="L15" s="192"/>
      <c r="M15" s="194">
        <f t="shared" si="3"/>
        <v>0</v>
      </c>
      <c r="X15" s="195"/>
      <c r="Z15" s="196"/>
      <c r="AA15" s="196"/>
    </row>
    <row r="16" spans="1:36" x14ac:dyDescent="0.25">
      <c r="A16" s="102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9">
        <v>11</v>
      </c>
      <c r="I16" s="190" t="str">
        <f t="shared" si="1"/>
        <v/>
      </c>
      <c r="J16" s="190" t="e">
        <f t="shared" si="5"/>
        <v>#NUM!</v>
      </c>
      <c r="K16" s="189" t="e">
        <f t="shared" si="2"/>
        <v>#NUM!</v>
      </c>
      <c r="L16" s="189"/>
      <c r="M16" s="191">
        <f t="shared" si="3"/>
        <v>0</v>
      </c>
      <c r="R16" s="200"/>
      <c r="Z16" s="196"/>
      <c r="AA16" s="196"/>
      <c r="AH16" s="201" t="s">
        <v>61</v>
      </c>
      <c r="AI16" s="182">
        <f>AI11-AI12*AI13/AI14</f>
        <v>9.6393909380186855</v>
      </c>
      <c r="AJ16" s="182" t="s">
        <v>62</v>
      </c>
    </row>
    <row r="17" spans="1:19" x14ac:dyDescent="0.25">
      <c r="A17" s="106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92">
        <v>12</v>
      </c>
      <c r="I17" s="193" t="str">
        <f t="shared" si="1"/>
        <v/>
      </c>
      <c r="J17" s="193" t="e">
        <f t="shared" si="5"/>
        <v>#NUM!</v>
      </c>
      <c r="K17" s="192" t="e">
        <f t="shared" si="2"/>
        <v>#NUM!</v>
      </c>
      <c r="L17" s="192"/>
      <c r="M17" s="194">
        <f t="shared" si="3"/>
        <v>0</v>
      </c>
    </row>
    <row r="18" spans="1:19" x14ac:dyDescent="0.25">
      <c r="A18" s="102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9">
        <v>13</v>
      </c>
      <c r="I18" s="190" t="str">
        <f t="shared" si="1"/>
        <v/>
      </c>
      <c r="J18" s="190" t="e">
        <f t="shared" si="5"/>
        <v>#NUM!</v>
      </c>
      <c r="K18" s="189" t="e">
        <f t="shared" si="2"/>
        <v>#NUM!</v>
      </c>
      <c r="L18" s="189"/>
      <c r="M18" s="191">
        <f t="shared" si="3"/>
        <v>0</v>
      </c>
    </row>
    <row r="19" spans="1:19" x14ac:dyDescent="0.25">
      <c r="A19" s="106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92">
        <v>14</v>
      </c>
      <c r="I19" s="193" t="str">
        <f t="shared" si="1"/>
        <v/>
      </c>
      <c r="J19" s="193" t="e">
        <f t="shared" si="5"/>
        <v>#NUM!</v>
      </c>
      <c r="K19" s="192" t="e">
        <f t="shared" si="2"/>
        <v>#NUM!</v>
      </c>
      <c r="L19" s="192"/>
      <c r="M19" s="194">
        <f t="shared" si="3"/>
        <v>0</v>
      </c>
    </row>
    <row r="20" spans="1:19" x14ac:dyDescent="0.25">
      <c r="A20" s="102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9">
        <v>15</v>
      </c>
      <c r="I20" s="190" t="str">
        <f t="shared" si="1"/>
        <v/>
      </c>
      <c r="J20" s="190" t="e">
        <f t="shared" si="5"/>
        <v>#NUM!</v>
      </c>
      <c r="K20" s="189" t="e">
        <f t="shared" si="2"/>
        <v>#NUM!</v>
      </c>
      <c r="L20" s="189"/>
      <c r="M20" s="191">
        <f t="shared" si="3"/>
        <v>0</v>
      </c>
      <c r="R20" s="202"/>
      <c r="S20" s="203"/>
    </row>
    <row r="21" spans="1:19" x14ac:dyDescent="0.25">
      <c r="A21" s="106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92">
        <v>16</v>
      </c>
      <c r="I21" s="193" t="str">
        <f t="shared" si="1"/>
        <v/>
      </c>
      <c r="J21" s="193" t="e">
        <f t="shared" si="5"/>
        <v>#NUM!</v>
      </c>
      <c r="K21" s="192" t="e">
        <f t="shared" si="2"/>
        <v>#NUM!</v>
      </c>
      <c r="L21" s="192"/>
      <c r="M21" s="194">
        <f t="shared" si="3"/>
        <v>0</v>
      </c>
    </row>
    <row r="22" spans="1:19" x14ac:dyDescent="0.25">
      <c r="A22" s="102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9">
        <v>17</v>
      </c>
      <c r="I22" s="190" t="str">
        <f t="shared" si="1"/>
        <v/>
      </c>
      <c r="J22" s="190" t="e">
        <f t="shared" si="5"/>
        <v>#NUM!</v>
      </c>
      <c r="K22" s="189" t="e">
        <f t="shared" si="2"/>
        <v>#NUM!</v>
      </c>
      <c r="L22" s="189"/>
      <c r="M22" s="191">
        <f t="shared" si="3"/>
        <v>0</v>
      </c>
    </row>
    <row r="23" spans="1:19" x14ac:dyDescent="0.25">
      <c r="A23" s="106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92">
        <v>18</v>
      </c>
      <c r="I23" s="193" t="str">
        <f t="shared" si="1"/>
        <v/>
      </c>
      <c r="J23" s="193" t="e">
        <f t="shared" si="5"/>
        <v>#NUM!</v>
      </c>
      <c r="K23" s="192" t="e">
        <f t="shared" si="2"/>
        <v>#NUM!</v>
      </c>
      <c r="L23" s="192"/>
      <c r="M23" s="194">
        <f t="shared" si="3"/>
        <v>0</v>
      </c>
    </row>
    <row r="24" spans="1:19" x14ac:dyDescent="0.25">
      <c r="A24" s="102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9">
        <v>19</v>
      </c>
      <c r="I24" s="190" t="str">
        <f t="shared" si="1"/>
        <v/>
      </c>
      <c r="J24" s="190" t="e">
        <f t="shared" si="5"/>
        <v>#NUM!</v>
      </c>
      <c r="K24" s="189" t="e">
        <f t="shared" si="2"/>
        <v>#NUM!</v>
      </c>
      <c r="L24" s="189"/>
      <c r="M24" s="191">
        <f t="shared" si="3"/>
        <v>0</v>
      </c>
      <c r="R24" s="202"/>
      <c r="S24" s="203"/>
    </row>
    <row r="25" spans="1:19" x14ac:dyDescent="0.25">
      <c r="A25" s="106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92">
        <v>20</v>
      </c>
      <c r="I25" s="193" t="str">
        <f t="shared" si="1"/>
        <v/>
      </c>
      <c r="J25" s="193" t="e">
        <f t="shared" si="5"/>
        <v>#NUM!</v>
      </c>
      <c r="K25" s="192" t="e">
        <f t="shared" si="2"/>
        <v>#NUM!</v>
      </c>
      <c r="L25" s="192"/>
      <c r="M25" s="194">
        <f t="shared" si="3"/>
        <v>0</v>
      </c>
    </row>
    <row r="26" spans="1:19" x14ac:dyDescent="0.25">
      <c r="A26" s="102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9">
        <v>21</v>
      </c>
      <c r="I26" s="190" t="str">
        <f t="shared" si="1"/>
        <v/>
      </c>
      <c r="J26" s="190" t="e">
        <f t="shared" si="5"/>
        <v>#NUM!</v>
      </c>
      <c r="K26" s="189" t="e">
        <f t="shared" si="2"/>
        <v>#NUM!</v>
      </c>
      <c r="L26" s="189"/>
      <c r="M26" s="191">
        <f t="shared" si="3"/>
        <v>0</v>
      </c>
    </row>
    <row r="27" spans="1:19" x14ac:dyDescent="0.25">
      <c r="A27" s="106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92">
        <v>22</v>
      </c>
      <c r="I27" s="193" t="str">
        <f t="shared" si="1"/>
        <v/>
      </c>
      <c r="J27" s="193" t="e">
        <f t="shared" si="5"/>
        <v>#NUM!</v>
      </c>
      <c r="K27" s="192" t="e">
        <f t="shared" si="2"/>
        <v>#NUM!</v>
      </c>
      <c r="L27" s="192"/>
      <c r="M27" s="194">
        <f t="shared" si="3"/>
        <v>0</v>
      </c>
    </row>
    <row r="28" spans="1:19" x14ac:dyDescent="0.25">
      <c r="A28" s="102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9">
        <v>23</v>
      </c>
      <c r="I28" s="190" t="str">
        <f t="shared" si="1"/>
        <v/>
      </c>
      <c r="J28" s="190" t="e">
        <f t="shared" si="5"/>
        <v>#NUM!</v>
      </c>
      <c r="K28" s="189" t="e">
        <f t="shared" si="2"/>
        <v>#NUM!</v>
      </c>
      <c r="L28" s="189"/>
      <c r="M28" s="191">
        <f t="shared" si="3"/>
        <v>0</v>
      </c>
      <c r="R28" s="202"/>
      <c r="S28" s="203"/>
    </row>
    <row r="29" spans="1:19" x14ac:dyDescent="0.25">
      <c r="A29" s="106">
        <f t="shared" si="4"/>
        <v>0</v>
      </c>
      <c r="B29" s="42" t="str">
        <f t="shared" si="0"/>
        <v/>
      </c>
      <c r="C29" s="43"/>
      <c r="D29" s="43"/>
      <c r="E29" s="43"/>
      <c r="F29" s="43"/>
      <c r="G29" s="177"/>
      <c r="H29" s="192">
        <v>24</v>
      </c>
      <c r="I29" s="193" t="str">
        <f t="shared" si="1"/>
        <v/>
      </c>
      <c r="J29" s="193" t="e">
        <f t="shared" si="5"/>
        <v>#NUM!</v>
      </c>
      <c r="K29" s="192" t="e">
        <f t="shared" si="2"/>
        <v>#NUM!</v>
      </c>
      <c r="L29" s="192"/>
      <c r="M29" s="194">
        <f t="shared" si="3"/>
        <v>0</v>
      </c>
    </row>
    <row r="30" spans="1:19" x14ac:dyDescent="0.25">
      <c r="A30" s="102">
        <f t="shared" si="4"/>
        <v>0</v>
      </c>
      <c r="B30" s="36" t="str">
        <f t="shared" si="0"/>
        <v/>
      </c>
      <c r="C30" s="37"/>
      <c r="D30" s="37"/>
      <c r="E30" s="37"/>
      <c r="F30" s="37"/>
      <c r="G30" s="177"/>
      <c r="H30" s="189">
        <v>25</v>
      </c>
      <c r="I30" s="190" t="str">
        <f t="shared" si="1"/>
        <v/>
      </c>
      <c r="J30" s="190" t="e">
        <f t="shared" si="5"/>
        <v>#NUM!</v>
      </c>
      <c r="K30" s="189" t="e">
        <f t="shared" si="2"/>
        <v>#NUM!</v>
      </c>
      <c r="L30" s="189"/>
      <c r="M30" s="191">
        <f t="shared" si="3"/>
        <v>0</v>
      </c>
    </row>
    <row r="31" spans="1:19" x14ac:dyDescent="0.25">
      <c r="A31" s="106">
        <f t="shared" si="4"/>
        <v>0</v>
      </c>
      <c r="B31" s="42" t="str">
        <f t="shared" si="0"/>
        <v/>
      </c>
      <c r="C31" s="43"/>
      <c r="D31" s="43"/>
      <c r="E31" s="43"/>
      <c r="F31" s="43"/>
      <c r="G31" s="177"/>
      <c r="H31" s="192">
        <v>26</v>
      </c>
      <c r="I31" s="193" t="str">
        <f t="shared" si="1"/>
        <v/>
      </c>
      <c r="J31" s="193" t="e">
        <f t="shared" si="5"/>
        <v>#NUM!</v>
      </c>
      <c r="K31" s="192" t="e">
        <f t="shared" si="2"/>
        <v>#NUM!</v>
      </c>
      <c r="L31" s="192"/>
      <c r="M31" s="194">
        <f t="shared" si="3"/>
        <v>0</v>
      </c>
    </row>
    <row r="32" spans="1:19" x14ac:dyDescent="0.25">
      <c r="A32" s="102">
        <f t="shared" si="4"/>
        <v>0</v>
      </c>
      <c r="B32" s="36" t="str">
        <f t="shared" si="0"/>
        <v/>
      </c>
      <c r="C32" s="37"/>
      <c r="D32" s="37"/>
      <c r="E32" s="37"/>
      <c r="F32" s="37"/>
      <c r="G32" s="177"/>
      <c r="H32" s="189">
        <v>27</v>
      </c>
      <c r="I32" s="190" t="str">
        <f t="shared" si="1"/>
        <v/>
      </c>
      <c r="J32" s="190" t="e">
        <f t="shared" si="5"/>
        <v>#NUM!</v>
      </c>
      <c r="K32" s="189" t="e">
        <f t="shared" si="2"/>
        <v>#NUM!</v>
      </c>
      <c r="L32" s="189"/>
      <c r="M32" s="191">
        <f t="shared" si="3"/>
        <v>0</v>
      </c>
      <c r="R32" s="202"/>
      <c r="S32" s="203"/>
    </row>
    <row r="33" spans="1:21" x14ac:dyDescent="0.25">
      <c r="A33" s="106">
        <f t="shared" si="4"/>
        <v>0</v>
      </c>
      <c r="B33" s="42" t="str">
        <f t="shared" si="0"/>
        <v/>
      </c>
      <c r="C33" s="43"/>
      <c r="D33" s="43"/>
      <c r="E33" s="43"/>
      <c r="F33" s="43"/>
      <c r="G33" s="177"/>
      <c r="H33" s="192">
        <v>28</v>
      </c>
      <c r="I33" s="193" t="str">
        <f t="shared" si="1"/>
        <v/>
      </c>
      <c r="J33" s="193" t="e">
        <f t="shared" si="5"/>
        <v>#NUM!</v>
      </c>
      <c r="K33" s="192" t="e">
        <f t="shared" si="2"/>
        <v>#NUM!</v>
      </c>
      <c r="L33" s="192"/>
      <c r="M33" s="194">
        <f t="shared" si="3"/>
        <v>0</v>
      </c>
    </row>
    <row r="34" spans="1:21" x14ac:dyDescent="0.25">
      <c r="A34" s="102">
        <f t="shared" si="4"/>
        <v>0</v>
      </c>
      <c r="B34" s="36" t="str">
        <f t="shared" si="0"/>
        <v/>
      </c>
      <c r="C34" s="37"/>
      <c r="D34" s="37"/>
      <c r="E34" s="37"/>
      <c r="F34" s="37"/>
      <c r="G34" s="177"/>
      <c r="H34" s="189">
        <v>29</v>
      </c>
      <c r="I34" s="190" t="str">
        <f t="shared" si="1"/>
        <v/>
      </c>
      <c r="J34" s="190" t="e">
        <f t="shared" si="5"/>
        <v>#NUM!</v>
      </c>
      <c r="K34" s="189" t="e">
        <f t="shared" si="2"/>
        <v>#NUM!</v>
      </c>
      <c r="L34" s="189"/>
      <c r="M34" s="191">
        <f t="shared" si="3"/>
        <v>0</v>
      </c>
    </row>
    <row r="35" spans="1:21" x14ac:dyDescent="0.25">
      <c r="A35" s="106">
        <f t="shared" si="4"/>
        <v>0</v>
      </c>
      <c r="B35" s="42" t="str">
        <f t="shared" si="0"/>
        <v/>
      </c>
      <c r="C35" s="43"/>
      <c r="D35" s="43"/>
      <c r="E35" s="43"/>
      <c r="F35" s="43"/>
      <c r="G35" s="177"/>
      <c r="H35" s="192">
        <v>30</v>
      </c>
      <c r="I35" s="193" t="str">
        <f t="shared" si="1"/>
        <v/>
      </c>
      <c r="J35" s="193" t="e">
        <f t="shared" si="5"/>
        <v>#NUM!</v>
      </c>
      <c r="K35" s="192" t="e">
        <f t="shared" si="2"/>
        <v>#NUM!</v>
      </c>
      <c r="L35" s="192"/>
      <c r="M35" s="194">
        <f t="shared" si="3"/>
        <v>0</v>
      </c>
    </row>
    <row r="36" spans="1:21" x14ac:dyDescent="0.25">
      <c r="A36" s="102">
        <f t="shared" si="4"/>
        <v>0</v>
      </c>
      <c r="B36" s="36" t="str">
        <f t="shared" si="0"/>
        <v/>
      </c>
      <c r="C36" s="37"/>
      <c r="D36" s="37"/>
      <c r="E36" s="37"/>
      <c r="F36" s="37"/>
      <c r="G36" s="177"/>
      <c r="H36" s="189">
        <v>31</v>
      </c>
      <c r="I36" s="190" t="str">
        <f t="shared" si="1"/>
        <v/>
      </c>
      <c r="J36" s="190" t="e">
        <f t="shared" si="5"/>
        <v>#NUM!</v>
      </c>
      <c r="K36" s="189" t="e">
        <f t="shared" si="2"/>
        <v>#NUM!</v>
      </c>
      <c r="L36" s="189"/>
      <c r="M36" s="191">
        <f t="shared" si="3"/>
        <v>0</v>
      </c>
      <c r="R36" s="202"/>
      <c r="S36" s="203"/>
    </row>
    <row r="37" spans="1:21" x14ac:dyDescent="0.25">
      <c r="A37" s="106">
        <f t="shared" si="4"/>
        <v>0</v>
      </c>
      <c r="B37" s="42" t="str">
        <f t="shared" si="0"/>
        <v/>
      </c>
      <c r="C37" s="43"/>
      <c r="D37" s="43"/>
      <c r="E37" s="43"/>
      <c r="F37" s="43"/>
      <c r="G37" s="177"/>
      <c r="H37" s="192">
        <v>32</v>
      </c>
      <c r="I37" s="193" t="str">
        <f t="shared" si="1"/>
        <v/>
      </c>
      <c r="J37" s="193" t="e">
        <f t="shared" si="5"/>
        <v>#NUM!</v>
      </c>
      <c r="K37" s="192" t="e">
        <f t="shared" si="2"/>
        <v>#NUM!</v>
      </c>
      <c r="L37" s="192"/>
      <c r="M37" s="194">
        <f t="shared" si="3"/>
        <v>0</v>
      </c>
    </row>
    <row r="38" spans="1:21" x14ac:dyDescent="0.25">
      <c r="A38" s="106">
        <f t="shared" si="4"/>
        <v>0</v>
      </c>
      <c r="B38" s="36" t="str">
        <f t="shared" si="0"/>
        <v/>
      </c>
      <c r="C38" s="37"/>
      <c r="D38" s="37"/>
      <c r="E38" s="37"/>
      <c r="F38" s="37"/>
      <c r="G38" s="177"/>
      <c r="H38" s="189">
        <v>33</v>
      </c>
      <c r="I38" s="190" t="str">
        <f t="shared" si="1"/>
        <v/>
      </c>
      <c r="J38" s="190" t="e">
        <f t="shared" si="5"/>
        <v>#NUM!</v>
      </c>
      <c r="K38" s="189" t="e">
        <f t="shared" si="2"/>
        <v>#NUM!</v>
      </c>
      <c r="L38" s="189"/>
      <c r="M38" s="191">
        <f t="shared" si="3"/>
        <v>0</v>
      </c>
    </row>
    <row r="39" spans="1:21" x14ac:dyDescent="0.25">
      <c r="A39" s="106">
        <f t="shared" si="4"/>
        <v>0</v>
      </c>
      <c r="B39" s="42" t="str">
        <f t="shared" si="0"/>
        <v/>
      </c>
      <c r="C39" s="43"/>
      <c r="D39" s="43"/>
      <c r="E39" s="43"/>
      <c r="F39" s="43"/>
      <c r="G39" s="177"/>
      <c r="H39" s="192">
        <v>34</v>
      </c>
      <c r="I39" s="193" t="str">
        <f t="shared" si="1"/>
        <v/>
      </c>
      <c r="J39" s="193" t="e">
        <f t="shared" si="5"/>
        <v>#NUM!</v>
      </c>
      <c r="K39" s="192" t="e">
        <f t="shared" si="2"/>
        <v>#NUM!</v>
      </c>
      <c r="L39" s="192"/>
      <c r="M39" s="194">
        <f t="shared" si="3"/>
        <v>0</v>
      </c>
    </row>
    <row r="40" spans="1:21" x14ac:dyDescent="0.25">
      <c r="A40" s="106">
        <f t="shared" si="4"/>
        <v>0</v>
      </c>
      <c r="B40" s="36" t="str">
        <f t="shared" si="0"/>
        <v/>
      </c>
      <c r="C40" s="37"/>
      <c r="D40" s="37"/>
      <c r="E40" s="37"/>
      <c r="F40" s="37"/>
      <c r="G40" s="177"/>
      <c r="H40" s="189">
        <v>35</v>
      </c>
      <c r="I40" s="190" t="str">
        <f t="shared" si="1"/>
        <v/>
      </c>
      <c r="J40" s="190" t="e">
        <f t="shared" si="5"/>
        <v>#NUM!</v>
      </c>
      <c r="K40" s="189" t="e">
        <f t="shared" si="2"/>
        <v>#NUM!</v>
      </c>
      <c r="L40" s="189"/>
      <c r="M40" s="191">
        <f t="shared" si="3"/>
        <v>0</v>
      </c>
    </row>
    <row r="41" spans="1:21" x14ac:dyDescent="0.25">
      <c r="A41" s="106">
        <f t="shared" si="4"/>
        <v>0</v>
      </c>
      <c r="B41" s="42" t="str">
        <f t="shared" si="0"/>
        <v/>
      </c>
      <c r="C41" s="43"/>
      <c r="D41" s="43"/>
      <c r="E41" s="43"/>
      <c r="F41" s="43"/>
      <c r="G41" s="177"/>
      <c r="H41" s="192">
        <v>36</v>
      </c>
      <c r="I41" s="193" t="str">
        <f t="shared" si="1"/>
        <v/>
      </c>
      <c r="J41" s="193" t="e">
        <f t="shared" si="5"/>
        <v>#NUM!</v>
      </c>
      <c r="K41" s="192" t="e">
        <f t="shared" si="2"/>
        <v>#NUM!</v>
      </c>
      <c r="L41" s="192"/>
      <c r="M41" s="194">
        <f t="shared" si="3"/>
        <v>0</v>
      </c>
      <c r="S41" s="204"/>
    </row>
    <row r="42" spans="1:21" x14ac:dyDescent="0.25">
      <c r="A42" s="106">
        <f t="shared" si="4"/>
        <v>0</v>
      </c>
      <c r="B42" s="36" t="str">
        <f t="shared" si="0"/>
        <v/>
      </c>
      <c r="C42" s="37"/>
      <c r="D42" s="37"/>
      <c r="E42" s="37"/>
      <c r="F42" s="37"/>
      <c r="G42" s="177"/>
      <c r="H42" s="189">
        <v>37</v>
      </c>
      <c r="I42" s="190" t="str">
        <f t="shared" si="1"/>
        <v/>
      </c>
      <c r="J42" s="190" t="e">
        <f t="shared" si="5"/>
        <v>#NUM!</v>
      </c>
      <c r="K42" s="189" t="e">
        <f t="shared" si="2"/>
        <v>#NUM!</v>
      </c>
      <c r="L42" s="189"/>
      <c r="M42" s="191">
        <f t="shared" si="3"/>
        <v>0</v>
      </c>
    </row>
    <row r="43" spans="1:21" x14ac:dyDescent="0.25">
      <c r="A43" s="106">
        <f t="shared" si="4"/>
        <v>0</v>
      </c>
      <c r="B43" s="42" t="str">
        <f t="shared" si="0"/>
        <v/>
      </c>
      <c r="C43" s="43"/>
      <c r="D43" s="43"/>
      <c r="E43" s="43"/>
      <c r="F43" s="43"/>
      <c r="G43" s="177"/>
      <c r="H43" s="192">
        <v>38</v>
      </c>
      <c r="I43" s="193" t="str">
        <f t="shared" si="1"/>
        <v/>
      </c>
      <c r="J43" s="193" t="e">
        <f t="shared" si="5"/>
        <v>#NUM!</v>
      </c>
      <c r="K43" s="192" t="e">
        <f t="shared" si="2"/>
        <v>#NUM!</v>
      </c>
      <c r="L43" s="192"/>
      <c r="M43" s="194">
        <f t="shared" si="3"/>
        <v>0</v>
      </c>
    </row>
    <row r="44" spans="1:21" x14ac:dyDescent="0.25">
      <c r="A44" s="106">
        <f t="shared" si="4"/>
        <v>0</v>
      </c>
      <c r="B44" s="36" t="str">
        <f t="shared" si="0"/>
        <v/>
      </c>
      <c r="C44" s="37"/>
      <c r="D44" s="37"/>
      <c r="E44" s="37"/>
      <c r="F44" s="37"/>
      <c r="G44" s="177"/>
      <c r="H44" s="189">
        <v>39</v>
      </c>
      <c r="I44" s="190" t="str">
        <f t="shared" si="1"/>
        <v/>
      </c>
      <c r="J44" s="190" t="e">
        <f t="shared" si="5"/>
        <v>#NUM!</v>
      </c>
      <c r="K44" s="189" t="e">
        <f t="shared" si="2"/>
        <v>#NUM!</v>
      </c>
      <c r="L44" s="189"/>
      <c r="M44" s="191">
        <f t="shared" si="3"/>
        <v>0</v>
      </c>
    </row>
    <row r="45" spans="1:21" x14ac:dyDescent="0.25">
      <c r="A45" s="106">
        <f t="shared" si="4"/>
        <v>0</v>
      </c>
      <c r="B45" s="42" t="str">
        <f t="shared" si="0"/>
        <v/>
      </c>
      <c r="C45" s="43"/>
      <c r="D45" s="43"/>
      <c r="E45" s="43"/>
      <c r="F45" s="43"/>
      <c r="G45" s="177"/>
      <c r="H45" s="192">
        <v>40</v>
      </c>
      <c r="I45" s="193" t="str">
        <f t="shared" si="1"/>
        <v/>
      </c>
      <c r="J45" s="193" t="e">
        <f t="shared" si="5"/>
        <v>#NUM!</v>
      </c>
      <c r="K45" s="192" t="e">
        <f t="shared" si="2"/>
        <v>#NUM!</v>
      </c>
      <c r="L45" s="192"/>
      <c r="M45" s="194">
        <f t="shared" si="3"/>
        <v>0</v>
      </c>
    </row>
    <row r="46" spans="1:21" x14ac:dyDescent="0.25">
      <c r="A46" s="106">
        <f t="shared" si="4"/>
        <v>0</v>
      </c>
      <c r="B46" s="36" t="str">
        <f t="shared" si="0"/>
        <v/>
      </c>
      <c r="C46" s="37"/>
      <c r="D46" s="37"/>
      <c r="E46" s="37"/>
      <c r="F46" s="37"/>
      <c r="G46" s="177"/>
      <c r="H46" s="189">
        <v>41</v>
      </c>
      <c r="I46" s="190" t="str">
        <f t="shared" si="1"/>
        <v/>
      </c>
      <c r="J46" s="190" t="e">
        <f t="shared" si="5"/>
        <v>#NUM!</v>
      </c>
      <c r="K46" s="189" t="e">
        <f t="shared" si="2"/>
        <v>#NUM!</v>
      </c>
      <c r="L46" s="189"/>
      <c r="M46" s="191">
        <f t="shared" si="3"/>
        <v>0</v>
      </c>
      <c r="R46" s="177" t="e">
        <f>LOG($H$2,2)</f>
        <v>#NUM!</v>
      </c>
      <c r="T46" s="182">
        <f>LOG(H38,2)</f>
        <v>5.0443941193584534</v>
      </c>
      <c r="U46" s="182" t="e">
        <f>R46-T46</f>
        <v>#NUM!</v>
      </c>
    </row>
    <row r="47" spans="1:21" x14ac:dyDescent="0.25">
      <c r="A47" s="106">
        <f t="shared" si="4"/>
        <v>0</v>
      </c>
      <c r="B47" s="42" t="str">
        <f t="shared" si="0"/>
        <v/>
      </c>
      <c r="C47" s="43"/>
      <c r="D47" s="43"/>
      <c r="E47" s="43"/>
      <c r="F47" s="43"/>
      <c r="G47" s="177"/>
      <c r="H47" s="192">
        <v>42</v>
      </c>
      <c r="I47" s="193" t="str">
        <f t="shared" si="1"/>
        <v/>
      </c>
      <c r="J47" s="193" t="e">
        <f t="shared" si="5"/>
        <v>#NUM!</v>
      </c>
      <c r="K47" s="192" t="e">
        <f t="shared" si="2"/>
        <v>#NUM!</v>
      </c>
      <c r="L47" s="192"/>
      <c r="M47" s="194">
        <f t="shared" si="3"/>
        <v>0</v>
      </c>
    </row>
    <row r="48" spans="1:21" x14ac:dyDescent="0.25">
      <c r="A48" s="106">
        <f t="shared" si="4"/>
        <v>0</v>
      </c>
      <c r="B48" s="36" t="str">
        <f t="shared" si="0"/>
        <v/>
      </c>
      <c r="C48" s="37"/>
      <c r="D48" s="37"/>
      <c r="E48" s="37"/>
      <c r="F48" s="37"/>
      <c r="G48" s="177"/>
      <c r="H48" s="189">
        <v>43</v>
      </c>
      <c r="I48" s="190" t="str">
        <f t="shared" si="1"/>
        <v/>
      </c>
      <c r="J48" s="190" t="e">
        <f t="shared" si="5"/>
        <v>#NUM!</v>
      </c>
      <c r="K48" s="189" t="e">
        <f t="shared" si="2"/>
        <v>#NUM!</v>
      </c>
      <c r="L48" s="189"/>
      <c r="M48" s="191">
        <f t="shared" si="3"/>
        <v>0</v>
      </c>
    </row>
    <row r="49" spans="1:13" x14ac:dyDescent="0.25">
      <c r="A49" s="106">
        <f t="shared" si="4"/>
        <v>0</v>
      </c>
      <c r="B49" s="42" t="str">
        <f t="shared" si="0"/>
        <v/>
      </c>
      <c r="C49" s="43"/>
      <c r="D49" s="43"/>
      <c r="E49" s="43"/>
      <c r="F49" s="43"/>
      <c r="G49" s="177"/>
      <c r="H49" s="192">
        <v>44</v>
      </c>
      <c r="I49" s="193" t="str">
        <f t="shared" si="1"/>
        <v/>
      </c>
      <c r="J49" s="193" t="e">
        <f t="shared" si="5"/>
        <v>#NUM!</v>
      </c>
      <c r="K49" s="192" t="e">
        <f t="shared" si="2"/>
        <v>#NUM!</v>
      </c>
      <c r="L49" s="192"/>
      <c r="M49" s="194">
        <f t="shared" si="3"/>
        <v>0</v>
      </c>
    </row>
    <row r="50" spans="1:13" x14ac:dyDescent="0.25">
      <c r="A50" s="106">
        <f t="shared" si="4"/>
        <v>0</v>
      </c>
      <c r="B50" s="36" t="str">
        <f t="shared" si="0"/>
        <v/>
      </c>
      <c r="C50" s="37"/>
      <c r="D50" s="37"/>
      <c r="E50" s="37"/>
      <c r="F50" s="37"/>
      <c r="G50" s="177"/>
      <c r="H50" s="189">
        <v>45</v>
      </c>
      <c r="I50" s="190" t="str">
        <f t="shared" si="1"/>
        <v/>
      </c>
      <c r="J50" s="190" t="e">
        <f t="shared" si="5"/>
        <v>#NUM!</v>
      </c>
      <c r="K50" s="189" t="e">
        <f t="shared" si="2"/>
        <v>#NUM!</v>
      </c>
      <c r="L50" s="189"/>
      <c r="M50" s="191">
        <f t="shared" si="3"/>
        <v>0</v>
      </c>
    </row>
    <row r="51" spans="1:13" x14ac:dyDescent="0.25">
      <c r="A51" s="106">
        <f t="shared" si="4"/>
        <v>0</v>
      </c>
      <c r="B51" s="42" t="str">
        <f t="shared" si="0"/>
        <v/>
      </c>
      <c r="C51" s="43"/>
      <c r="D51" s="43"/>
      <c r="E51" s="43"/>
      <c r="F51" s="43"/>
      <c r="G51" s="177"/>
      <c r="H51" s="192">
        <v>46</v>
      </c>
      <c r="I51" s="193" t="str">
        <f t="shared" si="1"/>
        <v/>
      </c>
      <c r="J51" s="193" t="e">
        <f t="shared" si="5"/>
        <v>#NUM!</v>
      </c>
      <c r="K51" s="192" t="e">
        <f t="shared" si="2"/>
        <v>#NUM!</v>
      </c>
      <c r="L51" s="192"/>
      <c r="M51" s="194">
        <f t="shared" si="3"/>
        <v>0</v>
      </c>
    </row>
    <row r="52" spans="1:13" x14ac:dyDescent="0.25">
      <c r="A52" s="106">
        <f t="shared" si="4"/>
        <v>0</v>
      </c>
      <c r="B52" s="36" t="str">
        <f t="shared" si="0"/>
        <v/>
      </c>
      <c r="C52" s="37"/>
      <c r="D52" s="37"/>
      <c r="E52" s="37"/>
      <c r="F52" s="37"/>
      <c r="G52" s="177"/>
      <c r="H52" s="189">
        <v>47</v>
      </c>
      <c r="I52" s="190" t="str">
        <f t="shared" si="1"/>
        <v/>
      </c>
      <c r="J52" s="190" t="e">
        <f t="shared" si="5"/>
        <v>#NUM!</v>
      </c>
      <c r="K52" s="189" t="e">
        <f t="shared" si="2"/>
        <v>#NUM!</v>
      </c>
      <c r="L52" s="189"/>
      <c r="M52" s="191">
        <f t="shared" si="3"/>
        <v>0</v>
      </c>
    </row>
    <row r="53" spans="1:13" x14ac:dyDescent="0.25">
      <c r="A53" s="106">
        <f t="shared" si="4"/>
        <v>0</v>
      </c>
      <c r="B53" s="42" t="str">
        <f t="shared" si="0"/>
        <v/>
      </c>
      <c r="C53" s="43"/>
      <c r="D53" s="43"/>
      <c r="E53" s="43"/>
      <c r="F53" s="43"/>
      <c r="G53" s="177"/>
      <c r="H53" s="192">
        <v>48</v>
      </c>
      <c r="I53" s="193" t="str">
        <f t="shared" si="1"/>
        <v/>
      </c>
      <c r="J53" s="193" t="e">
        <f t="shared" si="5"/>
        <v>#NUM!</v>
      </c>
      <c r="K53" s="192" t="e">
        <f t="shared" si="2"/>
        <v>#NUM!</v>
      </c>
      <c r="L53" s="192"/>
      <c r="M53" s="194">
        <f t="shared" si="3"/>
        <v>0</v>
      </c>
    </row>
    <row r="54" spans="1:13" x14ac:dyDescent="0.25">
      <c r="A54" s="106">
        <f t="shared" si="4"/>
        <v>0</v>
      </c>
      <c r="B54" s="36" t="str">
        <f t="shared" si="0"/>
        <v/>
      </c>
      <c r="C54" s="37"/>
      <c r="D54" s="37"/>
      <c r="E54" s="37"/>
      <c r="F54" s="37"/>
      <c r="G54" s="177"/>
      <c r="H54" s="189">
        <v>49</v>
      </c>
      <c r="I54" s="190" t="str">
        <f t="shared" si="1"/>
        <v/>
      </c>
      <c r="J54" s="190" t="e">
        <f t="shared" si="5"/>
        <v>#NUM!</v>
      </c>
      <c r="K54" s="189" t="e">
        <f t="shared" si="2"/>
        <v>#NUM!</v>
      </c>
      <c r="L54" s="189"/>
      <c r="M54" s="191">
        <f t="shared" si="3"/>
        <v>0</v>
      </c>
    </row>
    <row r="55" spans="1:13" x14ac:dyDescent="0.25">
      <c r="A55" s="106">
        <f t="shared" si="4"/>
        <v>0</v>
      </c>
      <c r="B55" s="42" t="str">
        <f t="shared" si="0"/>
        <v/>
      </c>
      <c r="C55" s="43"/>
      <c r="D55" s="43"/>
      <c r="E55" s="43"/>
      <c r="F55" s="43"/>
      <c r="G55" s="177"/>
      <c r="H55" s="192">
        <v>50</v>
      </c>
      <c r="I55" s="193" t="str">
        <f t="shared" si="1"/>
        <v/>
      </c>
      <c r="J55" s="193" t="e">
        <f t="shared" si="5"/>
        <v>#NUM!</v>
      </c>
      <c r="K55" s="192" t="e">
        <f t="shared" si="2"/>
        <v>#NUM!</v>
      </c>
      <c r="L55" s="192"/>
      <c r="M55" s="194">
        <f t="shared" si="3"/>
        <v>0</v>
      </c>
    </row>
    <row r="56" spans="1:13" x14ac:dyDescent="0.25">
      <c r="A56" s="106">
        <f t="shared" si="4"/>
        <v>0</v>
      </c>
      <c r="B56" s="36" t="str">
        <f t="shared" si="0"/>
        <v/>
      </c>
      <c r="C56" s="37"/>
      <c r="D56" s="37"/>
      <c r="E56" s="37"/>
      <c r="F56" s="37"/>
      <c r="G56" s="177"/>
      <c r="H56" s="189">
        <v>51</v>
      </c>
      <c r="I56" s="190" t="str">
        <f t="shared" si="1"/>
        <v/>
      </c>
      <c r="J56" s="190" t="e">
        <f t="shared" si="5"/>
        <v>#NUM!</v>
      </c>
      <c r="K56" s="189" t="e">
        <f t="shared" si="2"/>
        <v>#NUM!</v>
      </c>
      <c r="L56" s="189"/>
      <c r="M56" s="191">
        <f t="shared" si="3"/>
        <v>0</v>
      </c>
    </row>
    <row r="57" spans="1:13" x14ac:dyDescent="0.25">
      <c r="A57" s="106">
        <f t="shared" si="4"/>
        <v>0</v>
      </c>
      <c r="B57" s="42" t="str">
        <f t="shared" si="0"/>
        <v/>
      </c>
      <c r="C57" s="43"/>
      <c r="D57" s="43"/>
      <c r="E57" s="43"/>
      <c r="F57" s="43"/>
      <c r="G57" s="177"/>
      <c r="H57" s="192">
        <v>52</v>
      </c>
      <c r="I57" s="193" t="str">
        <f t="shared" si="1"/>
        <v/>
      </c>
      <c r="J57" s="193" t="e">
        <f t="shared" si="5"/>
        <v>#NUM!</v>
      </c>
      <c r="K57" s="192" t="e">
        <f t="shared" si="2"/>
        <v>#NUM!</v>
      </c>
      <c r="L57" s="192"/>
      <c r="M57" s="194">
        <f t="shared" si="3"/>
        <v>0</v>
      </c>
    </row>
    <row r="58" spans="1:13" x14ac:dyDescent="0.25">
      <c r="A58" s="106">
        <f t="shared" si="4"/>
        <v>0</v>
      </c>
      <c r="B58" s="36" t="str">
        <f t="shared" si="0"/>
        <v/>
      </c>
      <c r="C58" s="37"/>
      <c r="D58" s="37"/>
      <c r="E58" s="37"/>
      <c r="F58" s="37"/>
      <c r="G58" s="177"/>
      <c r="H58" s="189">
        <v>53</v>
      </c>
      <c r="I58" s="190" t="str">
        <f t="shared" si="1"/>
        <v/>
      </c>
      <c r="J58" s="190" t="e">
        <f t="shared" si="5"/>
        <v>#NUM!</v>
      </c>
      <c r="K58" s="189" t="e">
        <f t="shared" si="2"/>
        <v>#NUM!</v>
      </c>
      <c r="L58" s="189"/>
      <c r="M58" s="191">
        <f t="shared" si="3"/>
        <v>0</v>
      </c>
    </row>
    <row r="59" spans="1:13" x14ac:dyDescent="0.25">
      <c r="A59" s="106">
        <f t="shared" si="4"/>
        <v>0</v>
      </c>
      <c r="B59" s="42" t="str">
        <f t="shared" si="0"/>
        <v/>
      </c>
      <c r="C59" s="43"/>
      <c r="D59" s="43"/>
      <c r="E59" s="43"/>
      <c r="F59" s="43"/>
      <c r="G59" s="177"/>
      <c r="H59" s="192">
        <v>54</v>
      </c>
      <c r="I59" s="193" t="str">
        <f t="shared" si="1"/>
        <v/>
      </c>
      <c r="J59" s="193" t="e">
        <f t="shared" si="5"/>
        <v>#NUM!</v>
      </c>
      <c r="K59" s="192" t="e">
        <f t="shared" si="2"/>
        <v>#NUM!</v>
      </c>
      <c r="L59" s="192"/>
      <c r="M59" s="194">
        <f t="shared" si="3"/>
        <v>0</v>
      </c>
    </row>
    <row r="60" spans="1:13" x14ac:dyDescent="0.25">
      <c r="A60" s="106">
        <f t="shared" si="4"/>
        <v>0</v>
      </c>
      <c r="B60" s="36" t="str">
        <f t="shared" si="0"/>
        <v/>
      </c>
      <c r="C60" s="37"/>
      <c r="D60" s="37"/>
      <c r="E60" s="37"/>
      <c r="F60" s="37"/>
      <c r="G60" s="177"/>
      <c r="H60" s="189">
        <v>55</v>
      </c>
      <c r="I60" s="190" t="str">
        <f t="shared" si="1"/>
        <v/>
      </c>
      <c r="J60" s="190" t="e">
        <f t="shared" si="5"/>
        <v>#NUM!</v>
      </c>
      <c r="K60" s="189" t="e">
        <f t="shared" si="2"/>
        <v>#NUM!</v>
      </c>
      <c r="L60" s="189"/>
      <c r="M60" s="191">
        <f t="shared" si="3"/>
        <v>0</v>
      </c>
    </row>
    <row r="61" spans="1:13" x14ac:dyDescent="0.25">
      <c r="A61" s="106">
        <f t="shared" si="4"/>
        <v>0</v>
      </c>
      <c r="B61" s="42" t="str">
        <f t="shared" si="0"/>
        <v/>
      </c>
      <c r="C61" s="43"/>
      <c r="D61" s="43"/>
      <c r="E61" s="43"/>
      <c r="F61" s="43"/>
      <c r="G61" s="177"/>
      <c r="H61" s="192">
        <v>56</v>
      </c>
      <c r="I61" s="193" t="str">
        <f t="shared" si="1"/>
        <v/>
      </c>
      <c r="J61" s="193" t="e">
        <f t="shared" si="5"/>
        <v>#NUM!</v>
      </c>
      <c r="K61" s="192" t="e">
        <f t="shared" si="2"/>
        <v>#NUM!</v>
      </c>
      <c r="L61" s="192"/>
      <c r="M61" s="194">
        <f t="shared" si="3"/>
        <v>0</v>
      </c>
    </row>
    <row r="62" spans="1:13" x14ac:dyDescent="0.25">
      <c r="A62" s="106">
        <f t="shared" si="4"/>
        <v>0</v>
      </c>
      <c r="B62" s="36" t="str">
        <f t="shared" si="0"/>
        <v/>
      </c>
      <c r="C62" s="37"/>
      <c r="D62" s="37"/>
      <c r="E62" s="37"/>
      <c r="F62" s="37"/>
      <c r="G62" s="177"/>
      <c r="H62" s="189">
        <v>57</v>
      </c>
      <c r="I62" s="190" t="str">
        <f t="shared" si="1"/>
        <v/>
      </c>
      <c r="J62" s="190" t="e">
        <f t="shared" si="5"/>
        <v>#NUM!</v>
      </c>
      <c r="K62" s="189" t="e">
        <f t="shared" si="2"/>
        <v>#NUM!</v>
      </c>
      <c r="L62" s="189"/>
      <c r="M62" s="191">
        <f t="shared" si="3"/>
        <v>0</v>
      </c>
    </row>
    <row r="63" spans="1:13" x14ac:dyDescent="0.25">
      <c r="A63" s="106">
        <f t="shared" si="4"/>
        <v>0</v>
      </c>
      <c r="B63" s="42" t="str">
        <f t="shared" si="0"/>
        <v/>
      </c>
      <c r="C63" s="43"/>
      <c r="D63" s="43"/>
      <c r="E63" s="43"/>
      <c r="F63" s="43"/>
      <c r="G63" s="177"/>
      <c r="H63" s="192">
        <v>58</v>
      </c>
      <c r="I63" s="193" t="str">
        <f t="shared" si="1"/>
        <v/>
      </c>
      <c r="J63" s="193" t="e">
        <f t="shared" si="5"/>
        <v>#NUM!</v>
      </c>
      <c r="K63" s="192" t="e">
        <f t="shared" si="2"/>
        <v>#NUM!</v>
      </c>
      <c r="L63" s="192"/>
      <c r="M63" s="194">
        <f t="shared" si="3"/>
        <v>0</v>
      </c>
    </row>
    <row r="64" spans="1:13" x14ac:dyDescent="0.25">
      <c r="A64" s="106">
        <f t="shared" si="4"/>
        <v>0</v>
      </c>
      <c r="B64" s="36" t="str">
        <f t="shared" si="0"/>
        <v/>
      </c>
      <c r="C64" s="37"/>
      <c r="D64" s="37"/>
      <c r="E64" s="37"/>
      <c r="F64" s="37"/>
      <c r="G64" s="177"/>
      <c r="H64" s="189">
        <v>59</v>
      </c>
      <c r="I64" s="190" t="str">
        <f t="shared" si="1"/>
        <v/>
      </c>
      <c r="J64" s="190" t="e">
        <f t="shared" si="5"/>
        <v>#NUM!</v>
      </c>
      <c r="K64" s="189" t="e">
        <f t="shared" si="2"/>
        <v>#NUM!</v>
      </c>
      <c r="L64" s="189"/>
      <c r="M64" s="191">
        <f t="shared" si="3"/>
        <v>0</v>
      </c>
    </row>
    <row r="65" spans="1:13" x14ac:dyDescent="0.25">
      <c r="A65" s="106">
        <f t="shared" si="4"/>
        <v>0</v>
      </c>
      <c r="B65" s="42" t="str">
        <f t="shared" si="0"/>
        <v/>
      </c>
      <c r="C65" s="43"/>
      <c r="D65" s="43"/>
      <c r="E65" s="43"/>
      <c r="F65" s="43"/>
      <c r="G65" s="177"/>
      <c r="H65" s="192">
        <v>60</v>
      </c>
      <c r="I65" s="193" t="str">
        <f t="shared" si="1"/>
        <v/>
      </c>
      <c r="J65" s="193" t="e">
        <f t="shared" si="5"/>
        <v>#NUM!</v>
      </c>
      <c r="K65" s="192" t="e">
        <f t="shared" si="2"/>
        <v>#NUM!</v>
      </c>
      <c r="L65" s="192"/>
      <c r="M65" s="194">
        <f t="shared" si="3"/>
        <v>0</v>
      </c>
    </row>
    <row r="66" spans="1:13" x14ac:dyDescent="0.25">
      <c r="A66" s="106">
        <f t="shared" si="4"/>
        <v>0</v>
      </c>
      <c r="B66" s="36"/>
      <c r="G66" s="177"/>
      <c r="H66" s="189">
        <v>61</v>
      </c>
      <c r="I66" s="190" t="str">
        <f t="shared" si="1"/>
        <v/>
      </c>
      <c r="J66" s="190" t="e">
        <f t="shared" si="5"/>
        <v>#NUM!</v>
      </c>
      <c r="K66" s="189" t="e">
        <f t="shared" si="2"/>
        <v>#NUM!</v>
      </c>
      <c r="L66" s="189"/>
      <c r="M66" s="191">
        <f t="shared" si="3"/>
        <v>0</v>
      </c>
    </row>
    <row r="67" spans="1:13" x14ac:dyDescent="0.25">
      <c r="A67" s="106">
        <f t="shared" si="4"/>
        <v>0</v>
      </c>
      <c r="B67" s="42"/>
      <c r="G67" s="177"/>
      <c r="H67" s="189">
        <v>62</v>
      </c>
      <c r="I67" s="190" t="str">
        <f t="shared" si="1"/>
        <v/>
      </c>
      <c r="J67" s="190" t="e">
        <f t="shared" si="5"/>
        <v>#NUM!</v>
      </c>
      <c r="K67" s="189" t="e">
        <f t="shared" si="2"/>
        <v>#NUM!</v>
      </c>
      <c r="L67" s="189"/>
      <c r="M67" s="191">
        <f t="shared" si="3"/>
        <v>0</v>
      </c>
    </row>
    <row r="68" spans="1:13" x14ac:dyDescent="0.25">
      <c r="A68" s="106">
        <f t="shared" si="4"/>
        <v>0</v>
      </c>
      <c r="B68" s="36"/>
      <c r="G68" s="177"/>
      <c r="H68" s="189">
        <v>63</v>
      </c>
      <c r="I68" s="190" t="str">
        <f t="shared" si="1"/>
        <v/>
      </c>
      <c r="J68" s="190" t="e">
        <f t="shared" si="5"/>
        <v>#NUM!</v>
      </c>
      <c r="K68" s="189" t="e">
        <f t="shared" si="2"/>
        <v>#NUM!</v>
      </c>
      <c r="L68" s="189"/>
      <c r="M68" s="191">
        <f t="shared" si="3"/>
        <v>0</v>
      </c>
    </row>
    <row r="69" spans="1:13" x14ac:dyDescent="0.25">
      <c r="A69" s="106">
        <f t="shared" si="4"/>
        <v>0</v>
      </c>
      <c r="B69" s="42"/>
      <c r="G69" s="177"/>
      <c r="H69" s="189">
        <v>64</v>
      </c>
      <c r="I69" s="190" t="str">
        <f t="shared" si="1"/>
        <v/>
      </c>
      <c r="J69" s="190" t="e">
        <f t="shared" si="5"/>
        <v>#NUM!</v>
      </c>
      <c r="K69" s="189" t="e">
        <f t="shared" si="2"/>
        <v>#NUM!</v>
      </c>
      <c r="L69" s="189"/>
      <c r="M69" s="191">
        <f t="shared" si="3"/>
        <v>0</v>
      </c>
    </row>
    <row r="70" spans="1:13" x14ac:dyDescent="0.25">
      <c r="A70" s="106">
        <f t="shared" si="4"/>
        <v>0</v>
      </c>
      <c r="G70" s="177"/>
      <c r="H70" s="189">
        <v>65</v>
      </c>
      <c r="I70" s="190" t="str">
        <f t="shared" ref="I70:I133" si="6">IF(H70&lt;$H$2+1,($I$2-($I$2-1)*(LOG(H70)/LOG($H$2))),"")</f>
        <v/>
      </c>
      <c r="J70" s="190" t="e">
        <f t="shared" si="5"/>
        <v>#NUM!</v>
      </c>
      <c r="K70" s="189" t="e">
        <f t="shared" ref="K70:K133" si="7">J70*$J$2</f>
        <v>#NUM!</v>
      </c>
      <c r="L70" s="189"/>
      <c r="M70" s="191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177"/>
      <c r="H71" s="189">
        <v>66</v>
      </c>
      <c r="I71" s="190" t="str">
        <f t="shared" si="6"/>
        <v/>
      </c>
      <c r="J71" s="190" t="e">
        <f t="shared" ref="J71:J134" si="10">INT(LOG($H$2,2))-ROUNDUP(LOG(H71,2),0)+IF(OR($H$2=1,$H$2=2,$H$2=4,$H$2=8,$H$2=16,$H$2=32,$H$2=64,$H$2=128,$H$2=256),0,1)</f>
        <v>#NUM!</v>
      </c>
      <c r="K71" s="189" t="e">
        <f t="shared" si="7"/>
        <v>#NUM!</v>
      </c>
      <c r="L71" s="189"/>
      <c r="M71" s="191">
        <f t="shared" si="8"/>
        <v>0</v>
      </c>
    </row>
    <row r="72" spans="1:13" x14ac:dyDescent="0.25">
      <c r="A72" s="106">
        <f t="shared" si="9"/>
        <v>0</v>
      </c>
      <c r="G72" s="177"/>
      <c r="H72" s="189">
        <v>67</v>
      </c>
      <c r="I72" s="190" t="str">
        <f t="shared" si="6"/>
        <v/>
      </c>
      <c r="J72" s="190" t="e">
        <f t="shared" si="10"/>
        <v>#NUM!</v>
      </c>
      <c r="K72" s="189" t="e">
        <f t="shared" si="7"/>
        <v>#NUM!</v>
      </c>
      <c r="L72" s="189"/>
      <c r="M72" s="191">
        <f t="shared" si="8"/>
        <v>0</v>
      </c>
    </row>
    <row r="73" spans="1:13" x14ac:dyDescent="0.25">
      <c r="A73" s="106">
        <f t="shared" si="9"/>
        <v>0</v>
      </c>
      <c r="G73" s="177"/>
      <c r="H73" s="189">
        <v>68</v>
      </c>
      <c r="I73" s="190" t="str">
        <f t="shared" si="6"/>
        <v/>
      </c>
      <c r="J73" s="190" t="e">
        <f t="shared" si="10"/>
        <v>#NUM!</v>
      </c>
      <c r="K73" s="189" t="e">
        <f t="shared" si="7"/>
        <v>#NUM!</v>
      </c>
      <c r="L73" s="189"/>
      <c r="M73" s="191">
        <f t="shared" si="8"/>
        <v>0</v>
      </c>
    </row>
    <row r="74" spans="1:13" x14ac:dyDescent="0.25">
      <c r="A74" s="106">
        <f t="shared" si="9"/>
        <v>0</v>
      </c>
      <c r="G74" s="177"/>
      <c r="H74" s="189">
        <v>69</v>
      </c>
      <c r="I74" s="190" t="str">
        <f t="shared" si="6"/>
        <v/>
      </c>
      <c r="J74" s="190" t="e">
        <f t="shared" si="10"/>
        <v>#NUM!</v>
      </c>
      <c r="K74" s="189" t="e">
        <f t="shared" si="7"/>
        <v>#NUM!</v>
      </c>
      <c r="L74" s="189"/>
      <c r="M74" s="191">
        <f t="shared" si="8"/>
        <v>0</v>
      </c>
    </row>
    <row r="75" spans="1:13" x14ac:dyDescent="0.25">
      <c r="A75" s="106">
        <f t="shared" si="9"/>
        <v>0</v>
      </c>
      <c r="G75" s="177"/>
      <c r="H75" s="189">
        <v>70</v>
      </c>
      <c r="I75" s="190" t="str">
        <f t="shared" si="6"/>
        <v/>
      </c>
      <c r="J75" s="190" t="e">
        <f t="shared" si="10"/>
        <v>#NUM!</v>
      </c>
      <c r="K75" s="189" t="e">
        <f t="shared" si="7"/>
        <v>#NUM!</v>
      </c>
      <c r="L75" s="189"/>
      <c r="M75" s="191">
        <f t="shared" si="8"/>
        <v>0</v>
      </c>
    </row>
    <row r="76" spans="1:13" x14ac:dyDescent="0.25">
      <c r="A76" s="106">
        <f t="shared" si="9"/>
        <v>0</v>
      </c>
      <c r="G76" s="177"/>
      <c r="H76" s="189">
        <v>71</v>
      </c>
      <c r="I76" s="190" t="str">
        <f t="shared" si="6"/>
        <v/>
      </c>
      <c r="J76" s="190" t="e">
        <f t="shared" si="10"/>
        <v>#NUM!</v>
      </c>
      <c r="K76" s="189" t="e">
        <f t="shared" si="7"/>
        <v>#NUM!</v>
      </c>
      <c r="L76" s="189"/>
      <c r="M76" s="191">
        <f t="shared" si="8"/>
        <v>0</v>
      </c>
    </row>
    <row r="77" spans="1:13" x14ac:dyDescent="0.25">
      <c r="A77" s="106">
        <f t="shared" si="9"/>
        <v>0</v>
      </c>
      <c r="G77" s="177"/>
      <c r="H77" s="189">
        <v>72</v>
      </c>
      <c r="I77" s="190" t="str">
        <f t="shared" si="6"/>
        <v/>
      </c>
      <c r="J77" s="190" t="e">
        <f t="shared" si="10"/>
        <v>#NUM!</v>
      </c>
      <c r="K77" s="189" t="e">
        <f t="shared" si="7"/>
        <v>#NUM!</v>
      </c>
      <c r="L77" s="189"/>
      <c r="M77" s="191">
        <f t="shared" si="8"/>
        <v>0</v>
      </c>
    </row>
    <row r="78" spans="1:13" x14ac:dyDescent="0.25">
      <c r="A78" s="106">
        <f t="shared" si="9"/>
        <v>0</v>
      </c>
      <c r="G78" s="177"/>
      <c r="H78" s="189">
        <v>73</v>
      </c>
      <c r="I78" s="190" t="str">
        <f t="shared" si="6"/>
        <v/>
      </c>
      <c r="J78" s="190" t="e">
        <f t="shared" si="10"/>
        <v>#NUM!</v>
      </c>
      <c r="K78" s="189" t="e">
        <f t="shared" si="7"/>
        <v>#NUM!</v>
      </c>
      <c r="L78" s="189"/>
      <c r="M78" s="191">
        <f t="shared" si="8"/>
        <v>0</v>
      </c>
    </row>
    <row r="79" spans="1:13" x14ac:dyDescent="0.25">
      <c r="A79" s="106">
        <f t="shared" si="9"/>
        <v>0</v>
      </c>
      <c r="G79" s="177"/>
      <c r="H79" s="189">
        <v>74</v>
      </c>
      <c r="I79" s="190" t="str">
        <f t="shared" si="6"/>
        <v/>
      </c>
      <c r="J79" s="190" t="e">
        <f t="shared" si="10"/>
        <v>#NUM!</v>
      </c>
      <c r="K79" s="189" t="e">
        <f t="shared" si="7"/>
        <v>#NUM!</v>
      </c>
      <c r="L79" s="189"/>
      <c r="M79" s="191">
        <f t="shared" si="8"/>
        <v>0</v>
      </c>
    </row>
    <row r="80" spans="1:13" x14ac:dyDescent="0.25">
      <c r="A80" s="102"/>
      <c r="G80" s="177"/>
      <c r="H80" s="189">
        <v>75</v>
      </c>
      <c r="I80" s="190" t="str">
        <f t="shared" si="6"/>
        <v/>
      </c>
      <c r="J80" s="190" t="e">
        <f t="shared" si="10"/>
        <v>#NUM!</v>
      </c>
      <c r="K80" s="189" t="e">
        <f t="shared" si="7"/>
        <v>#NUM!</v>
      </c>
      <c r="L80" s="189"/>
      <c r="M80" s="191">
        <f t="shared" si="8"/>
        <v>0</v>
      </c>
    </row>
    <row r="81" spans="1:13" x14ac:dyDescent="0.25">
      <c r="A81" s="206"/>
      <c r="G81" s="177"/>
      <c r="H81" s="189">
        <v>76</v>
      </c>
      <c r="I81" s="190" t="str">
        <f t="shared" si="6"/>
        <v/>
      </c>
      <c r="J81" s="190" t="e">
        <f t="shared" si="10"/>
        <v>#NUM!</v>
      </c>
      <c r="K81" s="189" t="e">
        <f t="shared" si="7"/>
        <v>#NUM!</v>
      </c>
      <c r="L81" s="189"/>
      <c r="M81" s="191">
        <f t="shared" si="8"/>
        <v>0</v>
      </c>
    </row>
    <row r="82" spans="1:13" x14ac:dyDescent="0.25">
      <c r="A82" s="206"/>
      <c r="G82" s="177"/>
      <c r="H82" s="189">
        <v>77</v>
      </c>
      <c r="I82" s="190" t="str">
        <f t="shared" si="6"/>
        <v/>
      </c>
      <c r="J82" s="190" t="e">
        <f t="shared" si="10"/>
        <v>#NUM!</v>
      </c>
      <c r="K82" s="189" t="e">
        <f t="shared" si="7"/>
        <v>#NUM!</v>
      </c>
      <c r="L82" s="189"/>
      <c r="M82" s="191">
        <f t="shared" si="8"/>
        <v>0</v>
      </c>
    </row>
    <row r="83" spans="1:13" x14ac:dyDescent="0.25">
      <c r="A83" s="206"/>
      <c r="G83" s="177"/>
      <c r="H83" s="189">
        <v>78</v>
      </c>
      <c r="I83" s="190" t="str">
        <f t="shared" si="6"/>
        <v/>
      </c>
      <c r="J83" s="190" t="e">
        <f t="shared" si="10"/>
        <v>#NUM!</v>
      </c>
      <c r="K83" s="189" t="e">
        <f t="shared" si="7"/>
        <v>#NUM!</v>
      </c>
      <c r="L83" s="189"/>
      <c r="M83" s="191">
        <f t="shared" si="8"/>
        <v>0</v>
      </c>
    </row>
    <row r="84" spans="1:13" x14ac:dyDescent="0.25">
      <c r="A84" s="206"/>
      <c r="G84" s="177"/>
      <c r="H84" s="189">
        <v>79</v>
      </c>
      <c r="I84" s="190" t="str">
        <f t="shared" si="6"/>
        <v/>
      </c>
      <c r="J84" s="190" t="e">
        <f t="shared" si="10"/>
        <v>#NUM!</v>
      </c>
      <c r="K84" s="189" t="e">
        <f t="shared" si="7"/>
        <v>#NUM!</v>
      </c>
      <c r="L84" s="189"/>
      <c r="M84" s="191">
        <f t="shared" si="8"/>
        <v>0</v>
      </c>
    </row>
    <row r="85" spans="1:13" x14ac:dyDescent="0.25">
      <c r="A85" s="206"/>
      <c r="G85" s="177"/>
      <c r="H85" s="189">
        <v>80</v>
      </c>
      <c r="I85" s="190" t="str">
        <f t="shared" si="6"/>
        <v/>
      </c>
      <c r="J85" s="190" t="e">
        <f t="shared" si="10"/>
        <v>#NUM!</v>
      </c>
      <c r="K85" s="189" t="e">
        <f t="shared" si="7"/>
        <v>#NUM!</v>
      </c>
      <c r="L85" s="189"/>
      <c r="M85" s="191">
        <f t="shared" si="8"/>
        <v>0</v>
      </c>
    </row>
    <row r="86" spans="1:13" x14ac:dyDescent="0.25">
      <c r="A86" s="206"/>
      <c r="G86" s="177"/>
      <c r="H86" s="189">
        <v>81</v>
      </c>
      <c r="I86" s="190" t="str">
        <f t="shared" si="6"/>
        <v/>
      </c>
      <c r="J86" s="190" t="e">
        <f t="shared" si="10"/>
        <v>#NUM!</v>
      </c>
      <c r="K86" s="189" t="e">
        <f t="shared" si="7"/>
        <v>#NUM!</v>
      </c>
      <c r="L86" s="189"/>
      <c r="M86" s="191">
        <f t="shared" si="8"/>
        <v>0</v>
      </c>
    </row>
    <row r="87" spans="1:13" x14ac:dyDescent="0.25">
      <c r="A87" s="206"/>
      <c r="G87" s="177"/>
      <c r="H87" s="189">
        <v>82</v>
      </c>
      <c r="I87" s="190" t="str">
        <f t="shared" si="6"/>
        <v/>
      </c>
      <c r="J87" s="190" t="e">
        <f t="shared" si="10"/>
        <v>#NUM!</v>
      </c>
      <c r="K87" s="189" t="e">
        <f t="shared" si="7"/>
        <v>#NUM!</v>
      </c>
      <c r="L87" s="189"/>
      <c r="M87" s="191">
        <f t="shared" si="8"/>
        <v>0</v>
      </c>
    </row>
    <row r="88" spans="1:13" x14ac:dyDescent="0.25">
      <c r="A88" s="206"/>
      <c r="G88" s="177"/>
      <c r="H88" s="189">
        <v>83</v>
      </c>
      <c r="I88" s="190" t="str">
        <f t="shared" si="6"/>
        <v/>
      </c>
      <c r="J88" s="190" t="e">
        <f t="shared" si="10"/>
        <v>#NUM!</v>
      </c>
      <c r="K88" s="189" t="e">
        <f t="shared" si="7"/>
        <v>#NUM!</v>
      </c>
      <c r="L88" s="189"/>
      <c r="M88" s="191">
        <f t="shared" si="8"/>
        <v>0</v>
      </c>
    </row>
    <row r="89" spans="1:13" x14ac:dyDescent="0.25">
      <c r="A89" s="206"/>
      <c r="G89" s="177"/>
      <c r="H89" s="189">
        <v>84</v>
      </c>
      <c r="I89" s="190" t="str">
        <f t="shared" si="6"/>
        <v/>
      </c>
      <c r="J89" s="190" t="e">
        <f t="shared" si="10"/>
        <v>#NUM!</v>
      </c>
      <c r="K89" s="189" t="e">
        <f t="shared" si="7"/>
        <v>#NUM!</v>
      </c>
      <c r="L89" s="189"/>
      <c r="M89" s="191">
        <f t="shared" si="8"/>
        <v>0</v>
      </c>
    </row>
    <row r="90" spans="1:13" x14ac:dyDescent="0.25">
      <c r="A90" s="206"/>
      <c r="G90" s="177"/>
      <c r="H90" s="189">
        <v>85</v>
      </c>
      <c r="I90" s="190" t="str">
        <f t="shared" si="6"/>
        <v/>
      </c>
      <c r="J90" s="190" t="e">
        <f t="shared" si="10"/>
        <v>#NUM!</v>
      </c>
      <c r="K90" s="189" t="e">
        <f t="shared" si="7"/>
        <v>#NUM!</v>
      </c>
      <c r="L90" s="189"/>
      <c r="M90" s="191">
        <f t="shared" si="8"/>
        <v>0</v>
      </c>
    </row>
    <row r="91" spans="1:13" x14ac:dyDescent="0.25">
      <c r="A91" s="206"/>
      <c r="G91" s="177"/>
      <c r="H91" s="189">
        <v>86</v>
      </c>
      <c r="I91" s="190" t="str">
        <f t="shared" si="6"/>
        <v/>
      </c>
      <c r="J91" s="190" t="e">
        <f t="shared" si="10"/>
        <v>#NUM!</v>
      </c>
      <c r="K91" s="189" t="e">
        <f t="shared" si="7"/>
        <v>#NUM!</v>
      </c>
      <c r="L91" s="189"/>
      <c r="M91" s="191">
        <f t="shared" si="8"/>
        <v>0</v>
      </c>
    </row>
    <row r="92" spans="1:13" x14ac:dyDescent="0.25">
      <c r="A92" s="206"/>
      <c r="G92" s="177"/>
      <c r="H92" s="189">
        <v>87</v>
      </c>
      <c r="I92" s="190" t="str">
        <f t="shared" si="6"/>
        <v/>
      </c>
      <c r="J92" s="190" t="e">
        <f t="shared" si="10"/>
        <v>#NUM!</v>
      </c>
      <c r="K92" s="189" t="e">
        <f t="shared" si="7"/>
        <v>#NUM!</v>
      </c>
      <c r="L92" s="189"/>
      <c r="M92" s="191">
        <f t="shared" si="8"/>
        <v>0</v>
      </c>
    </row>
    <row r="93" spans="1:13" x14ac:dyDescent="0.25">
      <c r="A93" s="206"/>
      <c r="G93" s="177"/>
      <c r="H93" s="189">
        <v>88</v>
      </c>
      <c r="I93" s="190" t="str">
        <f t="shared" si="6"/>
        <v/>
      </c>
      <c r="J93" s="190" t="e">
        <f t="shared" si="10"/>
        <v>#NUM!</v>
      </c>
      <c r="K93" s="189" t="e">
        <f t="shared" si="7"/>
        <v>#NUM!</v>
      </c>
      <c r="L93" s="189"/>
      <c r="M93" s="191">
        <f t="shared" si="8"/>
        <v>0</v>
      </c>
    </row>
    <row r="94" spans="1:13" x14ac:dyDescent="0.25">
      <c r="A94" s="206"/>
      <c r="G94" s="177"/>
      <c r="H94" s="189">
        <v>89</v>
      </c>
      <c r="I94" s="190" t="str">
        <f t="shared" si="6"/>
        <v/>
      </c>
      <c r="J94" s="190" t="e">
        <f t="shared" si="10"/>
        <v>#NUM!</v>
      </c>
      <c r="K94" s="189" t="e">
        <f t="shared" si="7"/>
        <v>#NUM!</v>
      </c>
      <c r="L94" s="189"/>
      <c r="M94" s="191">
        <f t="shared" si="8"/>
        <v>0</v>
      </c>
    </row>
    <row r="95" spans="1:13" x14ac:dyDescent="0.25">
      <c r="A95" s="206"/>
      <c r="G95" s="177"/>
      <c r="H95" s="189">
        <v>90</v>
      </c>
      <c r="I95" s="190" t="str">
        <f t="shared" si="6"/>
        <v/>
      </c>
      <c r="J95" s="190" t="e">
        <f t="shared" si="10"/>
        <v>#NUM!</v>
      </c>
      <c r="K95" s="189" t="e">
        <f t="shared" si="7"/>
        <v>#NUM!</v>
      </c>
      <c r="L95" s="189"/>
      <c r="M95" s="191">
        <f t="shared" si="8"/>
        <v>0</v>
      </c>
    </row>
    <row r="96" spans="1:13" x14ac:dyDescent="0.25">
      <c r="A96" s="206"/>
      <c r="G96" s="177"/>
      <c r="H96" s="189">
        <v>91</v>
      </c>
      <c r="I96" s="190" t="str">
        <f t="shared" si="6"/>
        <v/>
      </c>
      <c r="J96" s="190" t="e">
        <f t="shared" si="10"/>
        <v>#NUM!</v>
      </c>
      <c r="K96" s="189" t="e">
        <f t="shared" si="7"/>
        <v>#NUM!</v>
      </c>
      <c r="L96" s="189"/>
      <c r="M96" s="191">
        <f t="shared" si="8"/>
        <v>0</v>
      </c>
    </row>
    <row r="97" spans="1:13" x14ac:dyDescent="0.25">
      <c r="A97" s="206"/>
      <c r="G97" s="177"/>
      <c r="H97" s="189">
        <v>92</v>
      </c>
      <c r="I97" s="190" t="str">
        <f t="shared" si="6"/>
        <v/>
      </c>
      <c r="J97" s="190" t="e">
        <f t="shared" si="10"/>
        <v>#NUM!</v>
      </c>
      <c r="K97" s="189" t="e">
        <f t="shared" si="7"/>
        <v>#NUM!</v>
      </c>
      <c r="L97" s="189"/>
      <c r="M97" s="191">
        <f t="shared" si="8"/>
        <v>0</v>
      </c>
    </row>
    <row r="98" spans="1:13" x14ac:dyDescent="0.25">
      <c r="A98" s="206"/>
      <c r="G98" s="177"/>
      <c r="H98" s="189">
        <v>93</v>
      </c>
      <c r="I98" s="190" t="str">
        <f t="shared" si="6"/>
        <v/>
      </c>
      <c r="J98" s="190" t="e">
        <f t="shared" si="10"/>
        <v>#NUM!</v>
      </c>
      <c r="K98" s="189" t="e">
        <f t="shared" si="7"/>
        <v>#NUM!</v>
      </c>
      <c r="L98" s="189"/>
      <c r="M98" s="191">
        <f t="shared" si="8"/>
        <v>0</v>
      </c>
    </row>
    <row r="99" spans="1:13" x14ac:dyDescent="0.25">
      <c r="A99" s="206"/>
      <c r="G99" s="177"/>
      <c r="H99" s="189">
        <v>94</v>
      </c>
      <c r="I99" s="190" t="str">
        <f t="shared" si="6"/>
        <v/>
      </c>
      <c r="J99" s="190" t="e">
        <f t="shared" si="10"/>
        <v>#NUM!</v>
      </c>
      <c r="K99" s="189" t="e">
        <f t="shared" si="7"/>
        <v>#NUM!</v>
      </c>
      <c r="L99" s="189"/>
      <c r="M99" s="191">
        <f t="shared" si="8"/>
        <v>0</v>
      </c>
    </row>
    <row r="100" spans="1:13" x14ac:dyDescent="0.25">
      <c r="A100" s="206"/>
      <c r="G100" s="177"/>
      <c r="H100" s="189">
        <v>95</v>
      </c>
      <c r="I100" s="190" t="str">
        <f t="shared" si="6"/>
        <v/>
      </c>
      <c r="J100" s="190" t="e">
        <f t="shared" si="10"/>
        <v>#NUM!</v>
      </c>
      <c r="K100" s="189" t="e">
        <f t="shared" si="7"/>
        <v>#NUM!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90" t="e">
        <f t="shared" si="10"/>
        <v>#NUM!</v>
      </c>
      <c r="K101" s="189" t="e">
        <f t="shared" si="7"/>
        <v>#NUM!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90" t="e">
        <f t="shared" si="10"/>
        <v>#NUM!</v>
      </c>
      <c r="K102" s="189" t="e">
        <f t="shared" si="7"/>
        <v>#NUM!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90" t="e">
        <f t="shared" si="10"/>
        <v>#NUM!</v>
      </c>
      <c r="K103" s="189" t="e">
        <f t="shared" si="7"/>
        <v>#NUM!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90" t="e">
        <f t="shared" si="10"/>
        <v>#NUM!</v>
      </c>
      <c r="K104" s="189" t="e">
        <f t="shared" si="7"/>
        <v>#NUM!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90" t="e">
        <f t="shared" si="10"/>
        <v>#NUM!</v>
      </c>
      <c r="K105" s="189" t="e">
        <f t="shared" si="7"/>
        <v>#NUM!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90" t="e">
        <f t="shared" si="10"/>
        <v>#NUM!</v>
      </c>
      <c r="K106" s="189" t="e">
        <f t="shared" si="7"/>
        <v>#NUM!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90" t="e">
        <f t="shared" si="10"/>
        <v>#NUM!</v>
      </c>
      <c r="K107" s="189" t="e">
        <f t="shared" si="7"/>
        <v>#NUM!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90" t="e">
        <f t="shared" si="10"/>
        <v>#NUM!</v>
      </c>
      <c r="K108" s="189" t="e">
        <f t="shared" si="7"/>
        <v>#NUM!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90" t="e">
        <f t="shared" si="10"/>
        <v>#NUM!</v>
      </c>
      <c r="K109" s="189" t="e">
        <f t="shared" si="7"/>
        <v>#NUM!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90" t="e">
        <f t="shared" si="10"/>
        <v>#NUM!</v>
      </c>
      <c r="K110" s="189" t="e">
        <f t="shared" si="7"/>
        <v>#NUM!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90" t="e">
        <f t="shared" si="10"/>
        <v>#NUM!</v>
      </c>
      <c r="K111" s="189" t="e">
        <f t="shared" si="7"/>
        <v>#NUM!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90" t="e">
        <f t="shared" si="10"/>
        <v>#NUM!</v>
      </c>
      <c r="K112" s="189" t="e">
        <f t="shared" si="7"/>
        <v>#NUM!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90" t="e">
        <f t="shared" si="10"/>
        <v>#NUM!</v>
      </c>
      <c r="K113" s="189" t="e">
        <f t="shared" si="7"/>
        <v>#NUM!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90" t="e">
        <f t="shared" si="10"/>
        <v>#NUM!</v>
      </c>
      <c r="K114" s="189" t="e">
        <f t="shared" si="7"/>
        <v>#NUM!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90" t="e">
        <f t="shared" si="10"/>
        <v>#NUM!</v>
      </c>
      <c r="K115" s="189" t="e">
        <f t="shared" si="7"/>
        <v>#NUM!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90" t="e">
        <f t="shared" si="10"/>
        <v>#NUM!</v>
      </c>
      <c r="K116" s="189" t="e">
        <f t="shared" si="7"/>
        <v>#NUM!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90" t="e">
        <f t="shared" si="10"/>
        <v>#NUM!</v>
      </c>
      <c r="K117" s="189" t="e">
        <f t="shared" si="7"/>
        <v>#NUM!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90" t="e">
        <f t="shared" si="10"/>
        <v>#NUM!</v>
      </c>
      <c r="K118" s="189" t="e">
        <f t="shared" si="7"/>
        <v>#NUM!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90" t="e">
        <f t="shared" si="10"/>
        <v>#NUM!</v>
      </c>
      <c r="K119" s="189" t="e">
        <f t="shared" si="7"/>
        <v>#NUM!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90" t="e">
        <f t="shared" si="10"/>
        <v>#NUM!</v>
      </c>
      <c r="K120" s="189" t="e">
        <f t="shared" si="7"/>
        <v>#NUM!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90" t="e">
        <f t="shared" si="10"/>
        <v>#NUM!</v>
      </c>
      <c r="K121" s="189" t="e">
        <f t="shared" si="7"/>
        <v>#NUM!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90" t="e">
        <f t="shared" si="10"/>
        <v>#NUM!</v>
      </c>
      <c r="K122" s="189" t="e">
        <f t="shared" si="7"/>
        <v>#NUM!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90" t="e">
        <f t="shared" si="10"/>
        <v>#NUM!</v>
      </c>
      <c r="K123" s="189" t="e">
        <f t="shared" si="7"/>
        <v>#NUM!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90" t="e">
        <f t="shared" si="10"/>
        <v>#NUM!</v>
      </c>
      <c r="K124" s="189" t="e">
        <f t="shared" si="7"/>
        <v>#NUM!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90" t="e">
        <f t="shared" si="10"/>
        <v>#NUM!</v>
      </c>
      <c r="K125" s="189" t="e">
        <f t="shared" si="7"/>
        <v>#NUM!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90" t="e">
        <f t="shared" si="10"/>
        <v>#NUM!</v>
      </c>
      <c r="K126" s="189" t="e">
        <f t="shared" si="7"/>
        <v>#NUM!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90" t="e">
        <f t="shared" si="10"/>
        <v>#NUM!</v>
      </c>
      <c r="K127" s="189" t="e">
        <f t="shared" si="7"/>
        <v>#NUM!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90" t="e">
        <f t="shared" si="10"/>
        <v>#NUM!</v>
      </c>
      <c r="K128" s="189" t="e">
        <f t="shared" si="7"/>
        <v>#NUM!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90" t="e">
        <f t="shared" si="10"/>
        <v>#NUM!</v>
      </c>
      <c r="K129" s="189" t="e">
        <f t="shared" si="7"/>
        <v>#NUM!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90" t="e">
        <f t="shared" si="10"/>
        <v>#NUM!</v>
      </c>
      <c r="K130" s="189" t="e">
        <f t="shared" si="7"/>
        <v>#NUM!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90" t="e">
        <f t="shared" si="10"/>
        <v>#NUM!</v>
      </c>
      <c r="K131" s="189" t="e">
        <f t="shared" si="7"/>
        <v>#NUM!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90" t="e">
        <f t="shared" si="10"/>
        <v>#NUM!</v>
      </c>
      <c r="K132" s="189" t="e">
        <f t="shared" si="7"/>
        <v>#NUM!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90" t="e">
        <f t="shared" si="10"/>
        <v>#NUM!</v>
      </c>
      <c r="K133" s="189" t="e">
        <f t="shared" si="7"/>
        <v>#NUM!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1">IF(H134&lt;$H$2+1,($I$2-($I$2-1)*(LOG(H134)/LOG($H$2))),"")</f>
        <v/>
      </c>
      <c r="J134" s="190" t="e">
        <f t="shared" si="10"/>
        <v>#NUM!</v>
      </c>
      <c r="K134" s="189" t="e">
        <f t="shared" ref="K134:K197" si="12">J134*$J$2</f>
        <v>#NUM!</v>
      </c>
      <c r="L134" s="189"/>
      <c r="M134" s="191">
        <f t="shared" ref="M134:M197" si="13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1"/>
        <v/>
      </c>
      <c r="J135" s="190" t="e">
        <f t="shared" ref="J135:J198" si="14">INT(LOG($H$2,2))-ROUNDUP(LOG(H135,2),0)+IF(OR($H$2=1,$H$2=2,$H$2=4,$H$2=8,$H$2=16,$H$2=32,$H$2=64,$H$2=128,$H$2=256),0,1)</f>
        <v>#NUM!</v>
      </c>
      <c r="K135" s="189" t="e">
        <f t="shared" si="12"/>
        <v>#NUM!</v>
      </c>
      <c r="L135" s="189"/>
      <c r="M135" s="191">
        <f t="shared" si="13"/>
        <v>0</v>
      </c>
    </row>
    <row r="136" spans="1:13" x14ac:dyDescent="0.25">
      <c r="A136" s="206"/>
      <c r="G136" s="177"/>
      <c r="H136" s="189">
        <v>131</v>
      </c>
      <c r="I136" s="190" t="str">
        <f t="shared" si="11"/>
        <v/>
      </c>
      <c r="J136" s="190" t="e">
        <f t="shared" si="14"/>
        <v>#NUM!</v>
      </c>
      <c r="K136" s="189" t="e">
        <f t="shared" si="12"/>
        <v>#NUM!</v>
      </c>
      <c r="L136" s="189"/>
      <c r="M136" s="191">
        <f t="shared" si="13"/>
        <v>0</v>
      </c>
    </row>
    <row r="137" spans="1:13" x14ac:dyDescent="0.25">
      <c r="A137" s="206"/>
      <c r="G137" s="177"/>
      <c r="H137" s="189">
        <v>132</v>
      </c>
      <c r="I137" s="190" t="str">
        <f t="shared" si="11"/>
        <v/>
      </c>
      <c r="J137" s="190" t="e">
        <f t="shared" si="14"/>
        <v>#NUM!</v>
      </c>
      <c r="K137" s="189" t="e">
        <f t="shared" si="12"/>
        <v>#NUM!</v>
      </c>
      <c r="L137" s="189"/>
      <c r="M137" s="191">
        <f t="shared" si="13"/>
        <v>0</v>
      </c>
    </row>
    <row r="138" spans="1:13" x14ac:dyDescent="0.25">
      <c r="A138" s="206"/>
      <c r="G138" s="177"/>
      <c r="H138" s="189">
        <v>133</v>
      </c>
      <c r="I138" s="190" t="str">
        <f t="shared" si="11"/>
        <v/>
      </c>
      <c r="J138" s="190" t="e">
        <f t="shared" si="14"/>
        <v>#NUM!</v>
      </c>
      <c r="K138" s="189" t="e">
        <f t="shared" si="12"/>
        <v>#NUM!</v>
      </c>
      <c r="L138" s="189"/>
      <c r="M138" s="191">
        <f t="shared" si="13"/>
        <v>0</v>
      </c>
    </row>
    <row r="139" spans="1:13" x14ac:dyDescent="0.25">
      <c r="A139" s="206"/>
      <c r="G139" s="177"/>
      <c r="H139" s="189">
        <v>134</v>
      </c>
      <c r="I139" s="190" t="str">
        <f t="shared" si="11"/>
        <v/>
      </c>
      <c r="J139" s="190" t="e">
        <f t="shared" si="14"/>
        <v>#NUM!</v>
      </c>
      <c r="K139" s="189" t="e">
        <f t="shared" si="12"/>
        <v>#NUM!</v>
      </c>
      <c r="L139" s="189"/>
      <c r="M139" s="191">
        <f t="shared" si="13"/>
        <v>0</v>
      </c>
    </row>
    <row r="140" spans="1:13" x14ac:dyDescent="0.25">
      <c r="A140" s="206"/>
      <c r="G140" s="177"/>
      <c r="H140" s="189">
        <v>135</v>
      </c>
      <c r="I140" s="190" t="str">
        <f t="shared" si="11"/>
        <v/>
      </c>
      <c r="J140" s="190" t="e">
        <f t="shared" si="14"/>
        <v>#NUM!</v>
      </c>
      <c r="K140" s="189" t="e">
        <f t="shared" si="12"/>
        <v>#NUM!</v>
      </c>
      <c r="L140" s="189"/>
      <c r="M140" s="191">
        <f t="shared" si="13"/>
        <v>0</v>
      </c>
    </row>
    <row r="141" spans="1:13" x14ac:dyDescent="0.25">
      <c r="A141" s="206"/>
      <c r="G141" s="177"/>
      <c r="H141" s="189">
        <v>136</v>
      </c>
      <c r="I141" s="190" t="str">
        <f t="shared" si="11"/>
        <v/>
      </c>
      <c r="J141" s="190" t="e">
        <f t="shared" si="14"/>
        <v>#NUM!</v>
      </c>
      <c r="K141" s="189" t="e">
        <f t="shared" si="12"/>
        <v>#NUM!</v>
      </c>
      <c r="L141" s="189"/>
      <c r="M141" s="191">
        <f t="shared" si="13"/>
        <v>0</v>
      </c>
    </row>
    <row r="142" spans="1:13" x14ac:dyDescent="0.25">
      <c r="A142" s="206"/>
      <c r="G142" s="177"/>
      <c r="H142" s="189">
        <v>137</v>
      </c>
      <c r="I142" s="190" t="str">
        <f t="shared" si="11"/>
        <v/>
      </c>
      <c r="J142" s="190" t="e">
        <f t="shared" si="14"/>
        <v>#NUM!</v>
      </c>
      <c r="K142" s="189" t="e">
        <f t="shared" si="12"/>
        <v>#NUM!</v>
      </c>
      <c r="L142" s="189"/>
      <c r="M142" s="191">
        <f t="shared" si="13"/>
        <v>0</v>
      </c>
    </row>
    <row r="143" spans="1:13" x14ac:dyDescent="0.25">
      <c r="A143" s="206"/>
      <c r="G143" s="177"/>
      <c r="H143" s="189">
        <v>138</v>
      </c>
      <c r="I143" s="190" t="str">
        <f t="shared" si="11"/>
        <v/>
      </c>
      <c r="J143" s="190" t="e">
        <f t="shared" si="14"/>
        <v>#NUM!</v>
      </c>
      <c r="K143" s="189" t="e">
        <f t="shared" si="12"/>
        <v>#NUM!</v>
      </c>
      <c r="L143" s="189"/>
      <c r="M143" s="191">
        <f t="shared" si="13"/>
        <v>0</v>
      </c>
    </row>
    <row r="144" spans="1:13" x14ac:dyDescent="0.25">
      <c r="A144" s="206"/>
      <c r="G144" s="177"/>
      <c r="H144" s="189">
        <v>139</v>
      </c>
      <c r="I144" s="190" t="str">
        <f t="shared" si="11"/>
        <v/>
      </c>
      <c r="J144" s="190" t="e">
        <f t="shared" si="14"/>
        <v>#NUM!</v>
      </c>
      <c r="K144" s="189" t="e">
        <f t="shared" si="12"/>
        <v>#NUM!</v>
      </c>
      <c r="L144" s="189"/>
      <c r="M144" s="191">
        <f t="shared" si="13"/>
        <v>0</v>
      </c>
    </row>
    <row r="145" spans="1:13" x14ac:dyDescent="0.25">
      <c r="A145" s="206"/>
      <c r="G145" s="177"/>
      <c r="H145" s="189">
        <v>140</v>
      </c>
      <c r="I145" s="190" t="str">
        <f t="shared" si="11"/>
        <v/>
      </c>
      <c r="J145" s="190" t="e">
        <f t="shared" si="14"/>
        <v>#NUM!</v>
      </c>
      <c r="K145" s="189" t="e">
        <f t="shared" si="12"/>
        <v>#NUM!</v>
      </c>
      <c r="L145" s="189"/>
      <c r="M145" s="191">
        <f t="shared" si="13"/>
        <v>0</v>
      </c>
    </row>
    <row r="146" spans="1:13" x14ac:dyDescent="0.25">
      <c r="A146" s="206"/>
      <c r="G146" s="177"/>
      <c r="H146" s="189">
        <v>141</v>
      </c>
      <c r="I146" s="190" t="str">
        <f t="shared" si="11"/>
        <v/>
      </c>
      <c r="J146" s="190" t="e">
        <f t="shared" si="14"/>
        <v>#NUM!</v>
      </c>
      <c r="K146" s="189" t="e">
        <f t="shared" si="12"/>
        <v>#NUM!</v>
      </c>
      <c r="L146" s="189"/>
      <c r="M146" s="191">
        <f t="shared" si="13"/>
        <v>0</v>
      </c>
    </row>
    <row r="147" spans="1:13" x14ac:dyDescent="0.25">
      <c r="A147" s="206"/>
      <c r="G147" s="177"/>
      <c r="H147" s="189">
        <v>142</v>
      </c>
      <c r="I147" s="190" t="str">
        <f t="shared" si="11"/>
        <v/>
      </c>
      <c r="J147" s="190" t="e">
        <f t="shared" si="14"/>
        <v>#NUM!</v>
      </c>
      <c r="K147" s="189" t="e">
        <f t="shared" si="12"/>
        <v>#NUM!</v>
      </c>
      <c r="L147" s="189"/>
      <c r="M147" s="191">
        <f t="shared" si="13"/>
        <v>0</v>
      </c>
    </row>
    <row r="148" spans="1:13" x14ac:dyDescent="0.25">
      <c r="A148" s="206"/>
      <c r="G148" s="177"/>
      <c r="H148" s="189">
        <v>143</v>
      </c>
      <c r="I148" s="190" t="str">
        <f t="shared" si="11"/>
        <v/>
      </c>
      <c r="J148" s="190" t="e">
        <f t="shared" si="14"/>
        <v>#NUM!</v>
      </c>
      <c r="K148" s="189" t="e">
        <f t="shared" si="12"/>
        <v>#NUM!</v>
      </c>
      <c r="L148" s="189"/>
      <c r="M148" s="191">
        <f t="shared" si="13"/>
        <v>0</v>
      </c>
    </row>
    <row r="149" spans="1:13" x14ac:dyDescent="0.25">
      <c r="A149" s="206"/>
      <c r="G149" s="177"/>
      <c r="H149" s="189">
        <v>144</v>
      </c>
      <c r="I149" s="190" t="str">
        <f t="shared" si="11"/>
        <v/>
      </c>
      <c r="J149" s="190" t="e">
        <f t="shared" si="14"/>
        <v>#NUM!</v>
      </c>
      <c r="K149" s="189" t="e">
        <f t="shared" si="12"/>
        <v>#NUM!</v>
      </c>
      <c r="L149" s="189"/>
      <c r="M149" s="191">
        <f t="shared" si="13"/>
        <v>0</v>
      </c>
    </row>
    <row r="150" spans="1:13" x14ac:dyDescent="0.25">
      <c r="A150" s="206"/>
      <c r="G150" s="177"/>
      <c r="H150" s="189">
        <v>145</v>
      </c>
      <c r="I150" s="190" t="str">
        <f t="shared" si="11"/>
        <v/>
      </c>
      <c r="J150" s="190" t="e">
        <f t="shared" si="14"/>
        <v>#NUM!</v>
      </c>
      <c r="K150" s="189" t="e">
        <f t="shared" si="12"/>
        <v>#NUM!</v>
      </c>
      <c r="L150" s="189"/>
      <c r="M150" s="191">
        <f t="shared" si="13"/>
        <v>0</v>
      </c>
    </row>
    <row r="151" spans="1:13" x14ac:dyDescent="0.25">
      <c r="A151" s="206"/>
      <c r="G151" s="177"/>
      <c r="H151" s="189">
        <v>146</v>
      </c>
      <c r="I151" s="190" t="str">
        <f t="shared" si="11"/>
        <v/>
      </c>
      <c r="J151" s="190" t="e">
        <f t="shared" si="14"/>
        <v>#NUM!</v>
      </c>
      <c r="K151" s="189" t="e">
        <f t="shared" si="12"/>
        <v>#NUM!</v>
      </c>
      <c r="L151" s="189"/>
      <c r="M151" s="191">
        <f t="shared" si="13"/>
        <v>0</v>
      </c>
    </row>
    <row r="152" spans="1:13" x14ac:dyDescent="0.25">
      <c r="A152" s="206"/>
      <c r="G152" s="177"/>
      <c r="H152" s="189">
        <v>147</v>
      </c>
      <c r="I152" s="190" t="str">
        <f t="shared" si="11"/>
        <v/>
      </c>
      <c r="J152" s="190" t="e">
        <f t="shared" si="14"/>
        <v>#NUM!</v>
      </c>
      <c r="K152" s="189" t="e">
        <f t="shared" si="12"/>
        <v>#NUM!</v>
      </c>
      <c r="L152" s="189"/>
      <c r="M152" s="191">
        <f t="shared" si="13"/>
        <v>0</v>
      </c>
    </row>
    <row r="153" spans="1:13" x14ac:dyDescent="0.25">
      <c r="A153" s="206"/>
      <c r="G153" s="177"/>
      <c r="H153" s="189">
        <v>148</v>
      </c>
      <c r="I153" s="190" t="str">
        <f t="shared" si="11"/>
        <v/>
      </c>
      <c r="J153" s="190" t="e">
        <f t="shared" si="14"/>
        <v>#NUM!</v>
      </c>
      <c r="K153" s="189" t="e">
        <f t="shared" si="12"/>
        <v>#NUM!</v>
      </c>
      <c r="L153" s="189"/>
      <c r="M153" s="191">
        <f t="shared" si="13"/>
        <v>0</v>
      </c>
    </row>
    <row r="154" spans="1:13" x14ac:dyDescent="0.25">
      <c r="A154" s="206"/>
      <c r="G154" s="177"/>
      <c r="H154" s="189">
        <v>149</v>
      </c>
      <c r="I154" s="190" t="str">
        <f t="shared" si="11"/>
        <v/>
      </c>
      <c r="J154" s="190" t="e">
        <f t="shared" si="14"/>
        <v>#NUM!</v>
      </c>
      <c r="K154" s="189" t="e">
        <f t="shared" si="12"/>
        <v>#NUM!</v>
      </c>
      <c r="L154" s="189"/>
      <c r="M154" s="191">
        <f t="shared" si="13"/>
        <v>0</v>
      </c>
    </row>
    <row r="155" spans="1:13" x14ac:dyDescent="0.25">
      <c r="A155" s="206"/>
      <c r="G155" s="177"/>
      <c r="H155" s="189">
        <v>150</v>
      </c>
      <c r="I155" s="190" t="str">
        <f t="shared" si="11"/>
        <v/>
      </c>
      <c r="J155" s="190" t="e">
        <f t="shared" si="14"/>
        <v>#NUM!</v>
      </c>
      <c r="K155" s="189" t="e">
        <f t="shared" si="12"/>
        <v>#NUM!</v>
      </c>
      <c r="L155" s="189"/>
      <c r="M155" s="191">
        <f t="shared" si="13"/>
        <v>0</v>
      </c>
    </row>
    <row r="156" spans="1:13" x14ac:dyDescent="0.25">
      <c r="A156" s="206"/>
      <c r="G156" s="177"/>
      <c r="H156" s="189">
        <v>151</v>
      </c>
      <c r="I156" s="190" t="str">
        <f t="shared" si="11"/>
        <v/>
      </c>
      <c r="J156" s="190" t="e">
        <f t="shared" si="14"/>
        <v>#NUM!</v>
      </c>
      <c r="K156" s="189" t="e">
        <f t="shared" si="12"/>
        <v>#NUM!</v>
      </c>
      <c r="L156" s="189"/>
      <c r="M156" s="191">
        <f t="shared" si="13"/>
        <v>0</v>
      </c>
    </row>
    <row r="157" spans="1:13" x14ac:dyDescent="0.25">
      <c r="A157" s="206"/>
      <c r="G157" s="177"/>
      <c r="H157" s="189">
        <v>152</v>
      </c>
      <c r="I157" s="190" t="str">
        <f t="shared" si="11"/>
        <v/>
      </c>
      <c r="J157" s="190" t="e">
        <f t="shared" si="14"/>
        <v>#NUM!</v>
      </c>
      <c r="K157" s="189" t="e">
        <f t="shared" si="12"/>
        <v>#NUM!</v>
      </c>
      <c r="L157" s="189"/>
      <c r="M157" s="191">
        <f t="shared" si="13"/>
        <v>0</v>
      </c>
    </row>
    <row r="158" spans="1:13" x14ac:dyDescent="0.25">
      <c r="A158" s="206"/>
      <c r="G158" s="177"/>
      <c r="H158" s="189">
        <v>153</v>
      </c>
      <c r="I158" s="190" t="str">
        <f t="shared" si="11"/>
        <v/>
      </c>
      <c r="J158" s="190" t="e">
        <f t="shared" si="14"/>
        <v>#NUM!</v>
      </c>
      <c r="K158" s="189" t="e">
        <f t="shared" si="12"/>
        <v>#NUM!</v>
      </c>
      <c r="L158" s="189"/>
      <c r="M158" s="191">
        <f t="shared" si="13"/>
        <v>0</v>
      </c>
    </row>
    <row r="159" spans="1:13" x14ac:dyDescent="0.25">
      <c r="A159" s="206"/>
      <c r="G159" s="177"/>
      <c r="H159" s="189">
        <v>154</v>
      </c>
      <c r="I159" s="190" t="str">
        <f t="shared" si="11"/>
        <v/>
      </c>
      <c r="J159" s="190" t="e">
        <f t="shared" si="14"/>
        <v>#NUM!</v>
      </c>
      <c r="K159" s="189" t="e">
        <f t="shared" si="12"/>
        <v>#NUM!</v>
      </c>
      <c r="L159" s="189"/>
      <c r="M159" s="191">
        <f t="shared" si="13"/>
        <v>0</v>
      </c>
    </row>
    <row r="160" spans="1:13" x14ac:dyDescent="0.25">
      <c r="A160" s="206"/>
      <c r="G160" s="177"/>
      <c r="H160" s="189">
        <v>155</v>
      </c>
      <c r="I160" s="190" t="str">
        <f t="shared" si="11"/>
        <v/>
      </c>
      <c r="J160" s="190" t="e">
        <f t="shared" si="14"/>
        <v>#NUM!</v>
      </c>
      <c r="K160" s="189" t="e">
        <f t="shared" si="12"/>
        <v>#NUM!</v>
      </c>
      <c r="L160" s="189"/>
      <c r="M160" s="191">
        <f t="shared" si="13"/>
        <v>0</v>
      </c>
    </row>
    <row r="161" spans="1:13" x14ac:dyDescent="0.25">
      <c r="A161" s="206"/>
      <c r="G161" s="177"/>
      <c r="H161" s="189">
        <v>156</v>
      </c>
      <c r="I161" s="190" t="str">
        <f t="shared" si="11"/>
        <v/>
      </c>
      <c r="J161" s="190" t="e">
        <f t="shared" si="14"/>
        <v>#NUM!</v>
      </c>
      <c r="K161" s="189" t="e">
        <f t="shared" si="12"/>
        <v>#NUM!</v>
      </c>
      <c r="L161" s="189"/>
      <c r="M161" s="191">
        <f t="shared" si="13"/>
        <v>0</v>
      </c>
    </row>
    <row r="162" spans="1:13" x14ac:dyDescent="0.25">
      <c r="A162" s="206"/>
      <c r="G162" s="177"/>
      <c r="H162" s="189">
        <v>157</v>
      </c>
      <c r="I162" s="190" t="str">
        <f t="shared" si="11"/>
        <v/>
      </c>
      <c r="J162" s="190" t="e">
        <f t="shared" si="14"/>
        <v>#NUM!</v>
      </c>
      <c r="K162" s="189" t="e">
        <f t="shared" si="12"/>
        <v>#NUM!</v>
      </c>
      <c r="L162" s="189"/>
      <c r="M162" s="191">
        <f t="shared" si="13"/>
        <v>0</v>
      </c>
    </row>
    <row r="163" spans="1:13" x14ac:dyDescent="0.25">
      <c r="A163" s="206"/>
      <c r="G163" s="177"/>
      <c r="H163" s="189">
        <v>158</v>
      </c>
      <c r="I163" s="190" t="str">
        <f t="shared" si="11"/>
        <v/>
      </c>
      <c r="J163" s="190" t="e">
        <f t="shared" si="14"/>
        <v>#NUM!</v>
      </c>
      <c r="K163" s="189" t="e">
        <f t="shared" si="12"/>
        <v>#NUM!</v>
      </c>
      <c r="L163" s="189"/>
      <c r="M163" s="191">
        <f t="shared" si="13"/>
        <v>0</v>
      </c>
    </row>
    <row r="164" spans="1:13" x14ac:dyDescent="0.25">
      <c r="A164" s="206"/>
      <c r="G164" s="177"/>
      <c r="H164" s="189">
        <v>159</v>
      </c>
      <c r="I164" s="190" t="str">
        <f t="shared" si="11"/>
        <v/>
      </c>
      <c r="J164" s="190" t="e">
        <f t="shared" si="14"/>
        <v>#NUM!</v>
      </c>
      <c r="K164" s="189" t="e">
        <f t="shared" si="12"/>
        <v>#NUM!</v>
      </c>
      <c r="L164" s="189"/>
      <c r="M164" s="191">
        <f t="shared" si="13"/>
        <v>0</v>
      </c>
    </row>
    <row r="165" spans="1:13" x14ac:dyDescent="0.25">
      <c r="A165" s="206"/>
      <c r="G165" s="177"/>
      <c r="H165" s="189">
        <v>160</v>
      </c>
      <c r="I165" s="190" t="str">
        <f t="shared" si="11"/>
        <v/>
      </c>
      <c r="J165" s="190" t="e">
        <f t="shared" si="14"/>
        <v>#NUM!</v>
      </c>
      <c r="K165" s="189" t="e">
        <f t="shared" si="12"/>
        <v>#NUM!</v>
      </c>
      <c r="L165" s="189"/>
      <c r="M165" s="191">
        <f t="shared" si="13"/>
        <v>0</v>
      </c>
    </row>
    <row r="166" spans="1:13" x14ac:dyDescent="0.25">
      <c r="A166" s="206"/>
      <c r="G166" s="177"/>
      <c r="H166" s="189">
        <v>161</v>
      </c>
      <c r="I166" s="190" t="str">
        <f t="shared" si="11"/>
        <v/>
      </c>
      <c r="J166" s="190" t="e">
        <f t="shared" si="14"/>
        <v>#NUM!</v>
      </c>
      <c r="K166" s="189" t="e">
        <f t="shared" si="12"/>
        <v>#NUM!</v>
      </c>
      <c r="L166" s="189"/>
      <c r="M166" s="191">
        <f t="shared" si="13"/>
        <v>0</v>
      </c>
    </row>
    <row r="167" spans="1:13" x14ac:dyDescent="0.25">
      <c r="A167" s="206"/>
      <c r="G167" s="177"/>
      <c r="H167" s="189">
        <v>162</v>
      </c>
      <c r="I167" s="190" t="str">
        <f t="shared" si="11"/>
        <v/>
      </c>
      <c r="J167" s="190" t="e">
        <f t="shared" si="14"/>
        <v>#NUM!</v>
      </c>
      <c r="K167" s="189" t="e">
        <f t="shared" si="12"/>
        <v>#NUM!</v>
      </c>
      <c r="L167" s="189"/>
      <c r="M167" s="191">
        <f t="shared" si="13"/>
        <v>0</v>
      </c>
    </row>
    <row r="168" spans="1:13" x14ac:dyDescent="0.25">
      <c r="A168" s="206"/>
      <c r="G168" s="177"/>
      <c r="H168" s="189">
        <v>163</v>
      </c>
      <c r="I168" s="190" t="str">
        <f t="shared" si="11"/>
        <v/>
      </c>
      <c r="J168" s="190" t="e">
        <f t="shared" si="14"/>
        <v>#NUM!</v>
      </c>
      <c r="K168" s="189" t="e">
        <f t="shared" si="12"/>
        <v>#NUM!</v>
      </c>
      <c r="L168" s="189"/>
      <c r="M168" s="191">
        <f t="shared" si="13"/>
        <v>0</v>
      </c>
    </row>
    <row r="169" spans="1:13" x14ac:dyDescent="0.25">
      <c r="A169" s="206"/>
      <c r="C169" s="205" t="s">
        <v>53</v>
      </c>
      <c r="G169" s="177"/>
      <c r="H169" s="189">
        <v>164</v>
      </c>
      <c r="I169" s="190" t="str">
        <f t="shared" si="11"/>
        <v/>
      </c>
      <c r="J169" s="190" t="e">
        <f t="shared" si="14"/>
        <v>#NUM!</v>
      </c>
      <c r="K169" s="189" t="e">
        <f t="shared" si="12"/>
        <v>#NUM!</v>
      </c>
      <c r="L169" s="189"/>
      <c r="M169" s="191">
        <f t="shared" si="13"/>
        <v>0</v>
      </c>
    </row>
    <row r="170" spans="1:13" x14ac:dyDescent="0.25">
      <c r="A170" s="206"/>
      <c r="G170" s="177"/>
      <c r="H170" s="189">
        <v>165</v>
      </c>
      <c r="I170" s="190" t="str">
        <f t="shared" si="11"/>
        <v/>
      </c>
      <c r="J170" s="190" t="e">
        <f t="shared" si="14"/>
        <v>#NUM!</v>
      </c>
      <c r="K170" s="189" t="e">
        <f t="shared" si="12"/>
        <v>#NUM!</v>
      </c>
      <c r="L170" s="189"/>
      <c r="M170" s="191">
        <f t="shared" si="13"/>
        <v>0</v>
      </c>
    </row>
    <row r="171" spans="1:13" x14ac:dyDescent="0.25">
      <c r="A171" s="206"/>
      <c r="G171" s="177"/>
      <c r="H171" s="189">
        <v>166</v>
      </c>
      <c r="I171" s="190" t="str">
        <f t="shared" si="11"/>
        <v/>
      </c>
      <c r="J171" s="190" t="e">
        <f t="shared" si="14"/>
        <v>#NUM!</v>
      </c>
      <c r="K171" s="189" t="e">
        <f t="shared" si="12"/>
        <v>#NUM!</v>
      </c>
      <c r="L171" s="189"/>
      <c r="M171" s="191">
        <f t="shared" si="13"/>
        <v>0</v>
      </c>
    </row>
    <row r="172" spans="1:13" x14ac:dyDescent="0.25">
      <c r="A172" s="206"/>
      <c r="G172" s="177"/>
      <c r="H172" s="189">
        <v>167</v>
      </c>
      <c r="I172" s="190" t="str">
        <f t="shared" si="11"/>
        <v/>
      </c>
      <c r="J172" s="190" t="e">
        <f t="shared" si="14"/>
        <v>#NUM!</v>
      </c>
      <c r="K172" s="189" t="e">
        <f t="shared" si="12"/>
        <v>#NUM!</v>
      </c>
      <c r="L172" s="189"/>
      <c r="M172" s="191">
        <f t="shared" si="13"/>
        <v>0</v>
      </c>
    </row>
    <row r="173" spans="1:13" x14ac:dyDescent="0.25">
      <c r="A173" s="206"/>
      <c r="G173" s="177"/>
      <c r="H173" s="189">
        <v>168</v>
      </c>
      <c r="I173" s="190" t="str">
        <f t="shared" si="11"/>
        <v/>
      </c>
      <c r="J173" s="190" t="e">
        <f t="shared" si="14"/>
        <v>#NUM!</v>
      </c>
      <c r="K173" s="189" t="e">
        <f t="shared" si="12"/>
        <v>#NUM!</v>
      </c>
      <c r="L173" s="189"/>
      <c r="M173" s="191">
        <f t="shared" si="13"/>
        <v>0</v>
      </c>
    </row>
    <row r="174" spans="1:13" x14ac:dyDescent="0.25">
      <c r="A174" s="206"/>
      <c r="G174" s="177"/>
      <c r="H174" s="189">
        <v>169</v>
      </c>
      <c r="I174" s="190" t="str">
        <f t="shared" si="11"/>
        <v/>
      </c>
      <c r="J174" s="190" t="e">
        <f t="shared" si="14"/>
        <v>#NUM!</v>
      </c>
      <c r="K174" s="189" t="e">
        <f t="shared" si="12"/>
        <v>#NUM!</v>
      </c>
      <c r="L174" s="189"/>
      <c r="M174" s="191">
        <f t="shared" si="13"/>
        <v>0</v>
      </c>
    </row>
    <row r="175" spans="1:13" x14ac:dyDescent="0.25">
      <c r="A175" s="206"/>
      <c r="G175" s="177"/>
      <c r="H175" s="189">
        <v>170</v>
      </c>
      <c r="I175" s="190" t="str">
        <f t="shared" si="11"/>
        <v/>
      </c>
      <c r="J175" s="190" t="e">
        <f t="shared" si="14"/>
        <v>#NUM!</v>
      </c>
      <c r="K175" s="189" t="e">
        <f t="shared" si="12"/>
        <v>#NUM!</v>
      </c>
      <c r="L175" s="189"/>
      <c r="M175" s="191">
        <f t="shared" si="13"/>
        <v>0</v>
      </c>
    </row>
    <row r="176" spans="1:13" x14ac:dyDescent="0.25">
      <c r="A176" s="206"/>
      <c r="G176" s="177"/>
      <c r="H176" s="189">
        <v>171</v>
      </c>
      <c r="I176" s="190" t="str">
        <f t="shared" si="11"/>
        <v/>
      </c>
      <c r="J176" s="190" t="e">
        <f t="shared" si="14"/>
        <v>#NUM!</v>
      </c>
      <c r="K176" s="189" t="e">
        <f t="shared" si="12"/>
        <v>#NUM!</v>
      </c>
      <c r="L176" s="189"/>
      <c r="M176" s="191">
        <f t="shared" si="13"/>
        <v>0</v>
      </c>
    </row>
    <row r="177" spans="1:13" x14ac:dyDescent="0.25">
      <c r="A177" s="206"/>
      <c r="G177" s="177"/>
      <c r="H177" s="189">
        <v>172</v>
      </c>
      <c r="I177" s="190" t="str">
        <f t="shared" si="11"/>
        <v/>
      </c>
      <c r="J177" s="190" t="e">
        <f t="shared" si="14"/>
        <v>#NUM!</v>
      </c>
      <c r="K177" s="189" t="e">
        <f t="shared" si="12"/>
        <v>#NUM!</v>
      </c>
      <c r="L177" s="189"/>
      <c r="M177" s="191">
        <f t="shared" si="13"/>
        <v>0</v>
      </c>
    </row>
    <row r="178" spans="1:13" x14ac:dyDescent="0.25">
      <c r="A178" s="206"/>
      <c r="G178" s="177"/>
      <c r="H178" s="189">
        <v>173</v>
      </c>
      <c r="I178" s="190" t="str">
        <f t="shared" si="11"/>
        <v/>
      </c>
      <c r="J178" s="190" t="e">
        <f t="shared" si="14"/>
        <v>#NUM!</v>
      </c>
      <c r="K178" s="189" t="e">
        <f t="shared" si="12"/>
        <v>#NUM!</v>
      </c>
      <c r="L178" s="189"/>
      <c r="M178" s="191">
        <f t="shared" si="13"/>
        <v>0</v>
      </c>
    </row>
    <row r="179" spans="1:13" x14ac:dyDescent="0.25">
      <c r="A179" s="206"/>
      <c r="G179" s="177"/>
      <c r="H179" s="189">
        <v>174</v>
      </c>
      <c r="I179" s="190" t="str">
        <f t="shared" si="11"/>
        <v/>
      </c>
      <c r="J179" s="190" t="e">
        <f t="shared" si="14"/>
        <v>#NUM!</v>
      </c>
      <c r="K179" s="189" t="e">
        <f t="shared" si="12"/>
        <v>#NUM!</v>
      </c>
      <c r="L179" s="189"/>
      <c r="M179" s="191">
        <f t="shared" si="13"/>
        <v>0</v>
      </c>
    </row>
    <row r="180" spans="1:13" x14ac:dyDescent="0.25">
      <c r="A180" s="206"/>
      <c r="G180" s="177"/>
      <c r="H180" s="189">
        <v>175</v>
      </c>
      <c r="I180" s="190" t="str">
        <f t="shared" si="11"/>
        <v/>
      </c>
      <c r="J180" s="190" t="e">
        <f t="shared" si="14"/>
        <v>#NUM!</v>
      </c>
      <c r="K180" s="189" t="e">
        <f t="shared" si="12"/>
        <v>#NUM!</v>
      </c>
      <c r="L180" s="189"/>
      <c r="M180" s="191">
        <f t="shared" si="13"/>
        <v>0</v>
      </c>
    </row>
    <row r="181" spans="1:13" x14ac:dyDescent="0.25">
      <c r="A181" s="206"/>
      <c r="G181" s="177"/>
      <c r="H181" s="189">
        <v>176</v>
      </c>
      <c r="I181" s="190" t="str">
        <f t="shared" si="11"/>
        <v/>
      </c>
      <c r="J181" s="190" t="e">
        <f t="shared" si="14"/>
        <v>#NUM!</v>
      </c>
      <c r="K181" s="189" t="e">
        <f t="shared" si="12"/>
        <v>#NUM!</v>
      </c>
      <c r="L181" s="189"/>
      <c r="M181" s="191">
        <f t="shared" si="13"/>
        <v>0</v>
      </c>
    </row>
    <row r="182" spans="1:13" x14ac:dyDescent="0.25">
      <c r="A182" s="206"/>
      <c r="G182" s="177"/>
      <c r="H182" s="189">
        <v>177</v>
      </c>
      <c r="I182" s="190" t="str">
        <f t="shared" si="11"/>
        <v/>
      </c>
      <c r="J182" s="190" t="e">
        <f t="shared" si="14"/>
        <v>#NUM!</v>
      </c>
      <c r="K182" s="189" t="e">
        <f t="shared" si="12"/>
        <v>#NUM!</v>
      </c>
      <c r="L182" s="189"/>
      <c r="M182" s="191">
        <f t="shared" si="13"/>
        <v>0</v>
      </c>
    </row>
    <row r="183" spans="1:13" x14ac:dyDescent="0.25">
      <c r="A183" s="206"/>
      <c r="G183" s="177"/>
      <c r="H183" s="189">
        <v>178</v>
      </c>
      <c r="I183" s="190" t="str">
        <f t="shared" si="11"/>
        <v/>
      </c>
      <c r="J183" s="190" t="e">
        <f t="shared" si="14"/>
        <v>#NUM!</v>
      </c>
      <c r="K183" s="189" t="e">
        <f t="shared" si="12"/>
        <v>#NUM!</v>
      </c>
      <c r="L183" s="189"/>
      <c r="M183" s="191">
        <f t="shared" si="13"/>
        <v>0</v>
      </c>
    </row>
    <row r="184" spans="1:13" x14ac:dyDescent="0.25">
      <c r="A184" s="206"/>
      <c r="G184" s="177"/>
      <c r="H184" s="189">
        <v>179</v>
      </c>
      <c r="I184" s="190" t="str">
        <f t="shared" si="11"/>
        <v/>
      </c>
      <c r="J184" s="190" t="e">
        <f t="shared" si="14"/>
        <v>#NUM!</v>
      </c>
      <c r="K184" s="189" t="e">
        <f t="shared" si="12"/>
        <v>#NUM!</v>
      </c>
      <c r="L184" s="189"/>
      <c r="M184" s="191">
        <f t="shared" si="13"/>
        <v>0</v>
      </c>
    </row>
    <row r="185" spans="1:13" x14ac:dyDescent="0.25">
      <c r="A185" s="206"/>
      <c r="G185" s="177"/>
      <c r="H185" s="189">
        <v>180</v>
      </c>
      <c r="I185" s="190" t="str">
        <f t="shared" si="11"/>
        <v/>
      </c>
      <c r="J185" s="190" t="e">
        <f t="shared" si="14"/>
        <v>#NUM!</v>
      </c>
      <c r="K185" s="189" t="e">
        <f t="shared" si="12"/>
        <v>#NUM!</v>
      </c>
      <c r="L185" s="189"/>
      <c r="M185" s="191">
        <f t="shared" si="13"/>
        <v>0</v>
      </c>
    </row>
    <row r="186" spans="1:13" x14ac:dyDescent="0.25">
      <c r="A186" s="206"/>
      <c r="G186" s="177"/>
      <c r="H186" s="189">
        <v>181</v>
      </c>
      <c r="I186" s="190" t="str">
        <f t="shared" si="11"/>
        <v/>
      </c>
      <c r="J186" s="190" t="e">
        <f t="shared" si="14"/>
        <v>#NUM!</v>
      </c>
      <c r="K186" s="189" t="e">
        <f t="shared" si="12"/>
        <v>#NUM!</v>
      </c>
      <c r="L186" s="189"/>
      <c r="M186" s="191">
        <f t="shared" si="13"/>
        <v>0</v>
      </c>
    </row>
    <row r="187" spans="1:13" x14ac:dyDescent="0.25">
      <c r="A187" s="206"/>
      <c r="G187" s="177"/>
      <c r="H187" s="189">
        <v>182</v>
      </c>
      <c r="I187" s="190" t="str">
        <f t="shared" si="11"/>
        <v/>
      </c>
      <c r="J187" s="190" t="e">
        <f t="shared" si="14"/>
        <v>#NUM!</v>
      </c>
      <c r="K187" s="189" t="e">
        <f t="shared" si="12"/>
        <v>#NUM!</v>
      </c>
      <c r="L187" s="189"/>
      <c r="M187" s="191">
        <f t="shared" si="13"/>
        <v>0</v>
      </c>
    </row>
    <row r="188" spans="1:13" x14ac:dyDescent="0.25">
      <c r="A188" s="206"/>
      <c r="G188" s="177"/>
      <c r="H188" s="189">
        <v>183</v>
      </c>
      <c r="I188" s="190" t="str">
        <f t="shared" si="11"/>
        <v/>
      </c>
      <c r="J188" s="190" t="e">
        <f t="shared" si="14"/>
        <v>#NUM!</v>
      </c>
      <c r="K188" s="189" t="e">
        <f t="shared" si="12"/>
        <v>#NUM!</v>
      </c>
      <c r="L188" s="189"/>
      <c r="M188" s="191">
        <f t="shared" si="13"/>
        <v>0</v>
      </c>
    </row>
    <row r="189" spans="1:13" x14ac:dyDescent="0.25">
      <c r="A189" s="206"/>
      <c r="G189" s="177"/>
      <c r="H189" s="189">
        <v>184</v>
      </c>
      <c r="I189" s="190" t="str">
        <f t="shared" si="11"/>
        <v/>
      </c>
      <c r="J189" s="190" t="e">
        <f t="shared" si="14"/>
        <v>#NUM!</v>
      </c>
      <c r="K189" s="189" t="e">
        <f t="shared" si="12"/>
        <v>#NUM!</v>
      </c>
      <c r="L189" s="189"/>
      <c r="M189" s="191">
        <f t="shared" si="13"/>
        <v>0</v>
      </c>
    </row>
    <row r="190" spans="1:13" x14ac:dyDescent="0.25">
      <c r="A190" s="206"/>
      <c r="G190" s="177"/>
      <c r="H190" s="189">
        <v>185</v>
      </c>
      <c r="I190" s="190" t="str">
        <f t="shared" si="11"/>
        <v/>
      </c>
      <c r="J190" s="190" t="e">
        <f t="shared" si="14"/>
        <v>#NUM!</v>
      </c>
      <c r="K190" s="189" t="e">
        <f t="shared" si="12"/>
        <v>#NUM!</v>
      </c>
      <c r="L190" s="189"/>
      <c r="M190" s="191">
        <f t="shared" si="13"/>
        <v>0</v>
      </c>
    </row>
    <row r="191" spans="1:13" x14ac:dyDescent="0.25">
      <c r="A191" s="206"/>
      <c r="G191" s="177"/>
      <c r="H191" s="189">
        <v>186</v>
      </c>
      <c r="I191" s="190" t="str">
        <f t="shared" si="11"/>
        <v/>
      </c>
      <c r="J191" s="190" t="e">
        <f t="shared" si="14"/>
        <v>#NUM!</v>
      </c>
      <c r="K191" s="189" t="e">
        <f t="shared" si="12"/>
        <v>#NUM!</v>
      </c>
      <c r="L191" s="189"/>
      <c r="M191" s="191">
        <f t="shared" si="13"/>
        <v>0</v>
      </c>
    </row>
    <row r="192" spans="1:13" x14ac:dyDescent="0.25">
      <c r="A192" s="206"/>
      <c r="G192" s="177"/>
      <c r="H192" s="189">
        <v>187</v>
      </c>
      <c r="I192" s="190" t="str">
        <f t="shared" si="11"/>
        <v/>
      </c>
      <c r="J192" s="190" t="e">
        <f t="shared" si="14"/>
        <v>#NUM!</v>
      </c>
      <c r="K192" s="189" t="e">
        <f t="shared" si="12"/>
        <v>#NUM!</v>
      </c>
      <c r="L192" s="189"/>
      <c r="M192" s="191">
        <f t="shared" si="13"/>
        <v>0</v>
      </c>
    </row>
    <row r="193" spans="1:13" x14ac:dyDescent="0.25">
      <c r="A193" s="206"/>
      <c r="G193" s="177"/>
      <c r="H193" s="189">
        <v>188</v>
      </c>
      <c r="I193" s="190" t="str">
        <f t="shared" si="11"/>
        <v/>
      </c>
      <c r="J193" s="190" t="e">
        <f t="shared" si="14"/>
        <v>#NUM!</v>
      </c>
      <c r="K193" s="189" t="e">
        <f t="shared" si="12"/>
        <v>#NUM!</v>
      </c>
      <c r="L193" s="189"/>
      <c r="M193" s="191">
        <f t="shared" si="13"/>
        <v>0</v>
      </c>
    </row>
    <row r="194" spans="1:13" x14ac:dyDescent="0.25">
      <c r="A194" s="206"/>
      <c r="G194" s="177"/>
      <c r="H194" s="189">
        <v>189</v>
      </c>
      <c r="I194" s="190" t="str">
        <f t="shared" si="11"/>
        <v/>
      </c>
      <c r="J194" s="190" t="e">
        <f t="shared" si="14"/>
        <v>#NUM!</v>
      </c>
      <c r="K194" s="189" t="e">
        <f t="shared" si="12"/>
        <v>#NUM!</v>
      </c>
      <c r="L194" s="189"/>
      <c r="M194" s="191">
        <f t="shared" si="13"/>
        <v>0</v>
      </c>
    </row>
    <row r="195" spans="1:13" x14ac:dyDescent="0.25">
      <c r="A195" s="206"/>
      <c r="G195" s="177"/>
      <c r="H195" s="189">
        <v>190</v>
      </c>
      <c r="I195" s="190" t="str">
        <f t="shared" si="11"/>
        <v/>
      </c>
      <c r="J195" s="190" t="e">
        <f t="shared" si="14"/>
        <v>#NUM!</v>
      </c>
      <c r="K195" s="189" t="e">
        <f t="shared" si="12"/>
        <v>#NUM!</v>
      </c>
      <c r="L195" s="189"/>
      <c r="M195" s="191">
        <f t="shared" si="13"/>
        <v>0</v>
      </c>
    </row>
    <row r="196" spans="1:13" x14ac:dyDescent="0.25">
      <c r="A196" s="206"/>
      <c r="G196" s="177"/>
      <c r="H196" s="189">
        <v>191</v>
      </c>
      <c r="I196" s="190" t="str">
        <f t="shared" si="11"/>
        <v/>
      </c>
      <c r="J196" s="190" t="e">
        <f t="shared" si="14"/>
        <v>#NUM!</v>
      </c>
      <c r="K196" s="189" t="e">
        <f t="shared" si="12"/>
        <v>#NUM!</v>
      </c>
      <c r="L196" s="189"/>
      <c r="M196" s="191">
        <f t="shared" si="13"/>
        <v>0</v>
      </c>
    </row>
    <row r="197" spans="1:13" x14ac:dyDescent="0.25">
      <c r="A197" s="206"/>
      <c r="G197" s="177"/>
      <c r="H197" s="189">
        <v>192</v>
      </c>
      <c r="I197" s="190" t="str">
        <f t="shared" si="11"/>
        <v/>
      </c>
      <c r="J197" s="190" t="e">
        <f t="shared" si="14"/>
        <v>#NUM!</v>
      </c>
      <c r="K197" s="189" t="e">
        <f t="shared" si="12"/>
        <v>#NUM!</v>
      </c>
      <c r="L197" s="189"/>
      <c r="M197" s="191">
        <f t="shared" si="13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5">IF(H198&lt;$H$2+1,($I$2-($I$2-1)*(LOG(H198)/LOG($H$2))),"")</f>
        <v/>
      </c>
      <c r="J198" s="190" t="e">
        <f t="shared" si="14"/>
        <v>#NUM!</v>
      </c>
      <c r="K198" s="189" t="e">
        <f t="shared" ref="K198:K261" si="16">J198*$J$2</f>
        <v>#NUM!</v>
      </c>
      <c r="L198" s="189"/>
      <c r="M198" s="191">
        <f t="shared" ref="M198:M261" si="17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5"/>
        <v/>
      </c>
      <c r="J199" s="190" t="e">
        <f t="shared" ref="J199:J262" si="18">INT(LOG($H$2,2))-ROUNDUP(LOG(H199,2),0)+IF(OR($H$2=1,$H$2=2,$H$2=4,$H$2=8,$H$2=16,$H$2=32,$H$2=64,$H$2=128,$H$2=256),0,1)</f>
        <v>#NUM!</v>
      </c>
      <c r="K199" s="189" t="e">
        <f t="shared" si="16"/>
        <v>#NUM!</v>
      </c>
      <c r="L199" s="189"/>
      <c r="M199" s="191">
        <f t="shared" si="17"/>
        <v>0</v>
      </c>
    </row>
    <row r="200" spans="1:13" x14ac:dyDescent="0.25">
      <c r="A200" s="206"/>
      <c r="G200" s="177"/>
      <c r="H200" s="189">
        <v>195</v>
      </c>
      <c r="I200" s="190" t="str">
        <f t="shared" si="15"/>
        <v/>
      </c>
      <c r="J200" s="190" t="e">
        <f t="shared" si="18"/>
        <v>#NUM!</v>
      </c>
      <c r="K200" s="189" t="e">
        <f t="shared" si="16"/>
        <v>#NUM!</v>
      </c>
      <c r="L200" s="189"/>
      <c r="M200" s="191">
        <f t="shared" si="17"/>
        <v>0</v>
      </c>
    </row>
    <row r="201" spans="1:13" x14ac:dyDescent="0.25">
      <c r="A201" s="206"/>
      <c r="G201" s="177"/>
      <c r="H201" s="189">
        <v>196</v>
      </c>
      <c r="I201" s="190" t="str">
        <f t="shared" si="15"/>
        <v/>
      </c>
      <c r="J201" s="190" t="e">
        <f t="shared" si="18"/>
        <v>#NUM!</v>
      </c>
      <c r="K201" s="189" t="e">
        <f t="shared" si="16"/>
        <v>#NUM!</v>
      </c>
      <c r="L201" s="189"/>
      <c r="M201" s="191">
        <f t="shared" si="17"/>
        <v>0</v>
      </c>
    </row>
    <row r="202" spans="1:13" x14ac:dyDescent="0.25">
      <c r="A202" s="206"/>
      <c r="G202" s="177"/>
      <c r="H202" s="189">
        <v>197</v>
      </c>
      <c r="I202" s="190" t="str">
        <f t="shared" si="15"/>
        <v/>
      </c>
      <c r="J202" s="190" t="e">
        <f t="shared" si="18"/>
        <v>#NUM!</v>
      </c>
      <c r="K202" s="189" t="e">
        <f t="shared" si="16"/>
        <v>#NUM!</v>
      </c>
      <c r="L202" s="189"/>
      <c r="M202" s="191">
        <f t="shared" si="17"/>
        <v>0</v>
      </c>
    </row>
    <row r="203" spans="1:13" x14ac:dyDescent="0.25">
      <c r="A203" s="206"/>
      <c r="G203" s="177"/>
      <c r="H203" s="189">
        <v>198</v>
      </c>
      <c r="I203" s="190" t="str">
        <f t="shared" si="15"/>
        <v/>
      </c>
      <c r="J203" s="190" t="e">
        <f t="shared" si="18"/>
        <v>#NUM!</v>
      </c>
      <c r="K203" s="189" t="e">
        <f t="shared" si="16"/>
        <v>#NUM!</v>
      </c>
      <c r="L203" s="189"/>
      <c r="M203" s="191">
        <f t="shared" si="17"/>
        <v>0</v>
      </c>
    </row>
    <row r="204" spans="1:13" x14ac:dyDescent="0.25">
      <c r="A204" s="206"/>
      <c r="G204" s="177"/>
      <c r="H204" s="189">
        <v>199</v>
      </c>
      <c r="I204" s="190" t="str">
        <f t="shared" si="15"/>
        <v/>
      </c>
      <c r="J204" s="190" t="e">
        <f t="shared" si="18"/>
        <v>#NUM!</v>
      </c>
      <c r="K204" s="189" t="e">
        <f t="shared" si="16"/>
        <v>#NUM!</v>
      </c>
      <c r="L204" s="189"/>
      <c r="M204" s="191">
        <f t="shared" si="17"/>
        <v>0</v>
      </c>
    </row>
    <row r="205" spans="1:13" x14ac:dyDescent="0.25">
      <c r="A205" s="206"/>
      <c r="G205" s="177"/>
      <c r="H205" s="189">
        <v>200</v>
      </c>
      <c r="I205" s="190" t="str">
        <f t="shared" si="15"/>
        <v/>
      </c>
      <c r="J205" s="190" t="e">
        <f t="shared" si="18"/>
        <v>#NUM!</v>
      </c>
      <c r="K205" s="189" t="e">
        <f t="shared" si="16"/>
        <v>#NUM!</v>
      </c>
      <c r="L205" s="189"/>
      <c r="M205" s="191">
        <f t="shared" si="17"/>
        <v>0</v>
      </c>
    </row>
    <row r="206" spans="1:13" x14ac:dyDescent="0.25">
      <c r="A206" s="206"/>
      <c r="G206" s="177"/>
      <c r="H206" s="189">
        <v>201</v>
      </c>
      <c r="I206" s="190" t="str">
        <f t="shared" si="15"/>
        <v/>
      </c>
      <c r="J206" s="190" t="e">
        <f t="shared" si="18"/>
        <v>#NUM!</v>
      </c>
      <c r="K206" s="189" t="e">
        <f t="shared" si="16"/>
        <v>#NUM!</v>
      </c>
      <c r="L206" s="189"/>
      <c r="M206" s="191">
        <f t="shared" si="17"/>
        <v>0</v>
      </c>
    </row>
    <row r="207" spans="1:13" x14ac:dyDescent="0.25">
      <c r="A207" s="206"/>
      <c r="G207" s="177"/>
      <c r="H207" s="189">
        <v>202</v>
      </c>
      <c r="I207" s="190" t="str">
        <f t="shared" si="15"/>
        <v/>
      </c>
      <c r="J207" s="190" t="e">
        <f t="shared" si="18"/>
        <v>#NUM!</v>
      </c>
      <c r="K207" s="189" t="e">
        <f t="shared" si="16"/>
        <v>#NUM!</v>
      </c>
      <c r="L207" s="189"/>
      <c r="M207" s="191">
        <f t="shared" si="17"/>
        <v>0</v>
      </c>
    </row>
    <row r="208" spans="1:13" x14ac:dyDescent="0.25">
      <c r="A208" s="206"/>
      <c r="G208" s="177"/>
      <c r="H208" s="189">
        <v>203</v>
      </c>
      <c r="I208" s="190" t="str">
        <f t="shared" si="15"/>
        <v/>
      </c>
      <c r="J208" s="190" t="e">
        <f t="shared" si="18"/>
        <v>#NUM!</v>
      </c>
      <c r="K208" s="189" t="e">
        <f t="shared" si="16"/>
        <v>#NUM!</v>
      </c>
      <c r="L208" s="189"/>
      <c r="M208" s="191">
        <f t="shared" si="17"/>
        <v>0</v>
      </c>
    </row>
    <row r="209" spans="1:13" x14ac:dyDescent="0.25">
      <c r="A209" s="206"/>
      <c r="G209" s="177"/>
      <c r="H209" s="189">
        <v>204</v>
      </c>
      <c r="I209" s="190" t="str">
        <f t="shared" si="15"/>
        <v/>
      </c>
      <c r="J209" s="190" t="e">
        <f t="shared" si="18"/>
        <v>#NUM!</v>
      </c>
      <c r="K209" s="189" t="e">
        <f t="shared" si="16"/>
        <v>#NUM!</v>
      </c>
      <c r="L209" s="189"/>
      <c r="M209" s="191">
        <f t="shared" si="17"/>
        <v>0</v>
      </c>
    </row>
    <row r="210" spans="1:13" x14ac:dyDescent="0.25">
      <c r="A210" s="206"/>
      <c r="G210" s="177"/>
      <c r="H210" s="189">
        <v>205</v>
      </c>
      <c r="I210" s="190" t="str">
        <f t="shared" si="15"/>
        <v/>
      </c>
      <c r="J210" s="190" t="e">
        <f t="shared" si="18"/>
        <v>#NUM!</v>
      </c>
      <c r="K210" s="189" t="e">
        <f t="shared" si="16"/>
        <v>#NUM!</v>
      </c>
      <c r="L210" s="189"/>
      <c r="M210" s="191">
        <f t="shared" si="17"/>
        <v>0</v>
      </c>
    </row>
    <row r="211" spans="1:13" x14ac:dyDescent="0.25">
      <c r="A211" s="206"/>
      <c r="G211" s="177"/>
      <c r="H211" s="189">
        <v>206</v>
      </c>
      <c r="I211" s="190" t="str">
        <f t="shared" si="15"/>
        <v/>
      </c>
      <c r="J211" s="190" t="e">
        <f t="shared" si="18"/>
        <v>#NUM!</v>
      </c>
      <c r="K211" s="189" t="e">
        <f t="shared" si="16"/>
        <v>#NUM!</v>
      </c>
      <c r="L211" s="189"/>
      <c r="M211" s="191">
        <f t="shared" si="17"/>
        <v>0</v>
      </c>
    </row>
    <row r="212" spans="1:13" x14ac:dyDescent="0.25">
      <c r="A212" s="206"/>
      <c r="G212" s="177"/>
      <c r="H212" s="189">
        <v>207</v>
      </c>
      <c r="I212" s="190" t="str">
        <f t="shared" si="15"/>
        <v/>
      </c>
      <c r="J212" s="190" t="e">
        <f t="shared" si="18"/>
        <v>#NUM!</v>
      </c>
      <c r="K212" s="189" t="e">
        <f t="shared" si="16"/>
        <v>#NUM!</v>
      </c>
      <c r="L212" s="189"/>
      <c r="M212" s="191">
        <f t="shared" si="17"/>
        <v>0</v>
      </c>
    </row>
    <row r="213" spans="1:13" x14ac:dyDescent="0.25">
      <c r="A213" s="206"/>
      <c r="G213" s="177"/>
      <c r="H213" s="189">
        <v>208</v>
      </c>
      <c r="I213" s="190" t="str">
        <f t="shared" si="15"/>
        <v/>
      </c>
      <c r="J213" s="190" t="e">
        <f t="shared" si="18"/>
        <v>#NUM!</v>
      </c>
      <c r="K213" s="189" t="e">
        <f t="shared" si="16"/>
        <v>#NUM!</v>
      </c>
      <c r="L213" s="189"/>
      <c r="M213" s="191">
        <f t="shared" si="17"/>
        <v>0</v>
      </c>
    </row>
    <row r="214" spans="1:13" x14ac:dyDescent="0.25">
      <c r="A214" s="206"/>
      <c r="G214" s="177"/>
      <c r="H214" s="189">
        <v>209</v>
      </c>
      <c r="I214" s="190" t="str">
        <f t="shared" si="15"/>
        <v/>
      </c>
      <c r="J214" s="190" t="e">
        <f t="shared" si="18"/>
        <v>#NUM!</v>
      </c>
      <c r="K214" s="189" t="e">
        <f t="shared" si="16"/>
        <v>#NUM!</v>
      </c>
      <c r="L214" s="189"/>
      <c r="M214" s="191">
        <f t="shared" si="17"/>
        <v>0</v>
      </c>
    </row>
    <row r="215" spans="1:13" x14ac:dyDescent="0.25">
      <c r="A215" s="206"/>
      <c r="G215" s="177"/>
      <c r="H215" s="189">
        <v>210</v>
      </c>
      <c r="I215" s="190" t="str">
        <f t="shared" si="15"/>
        <v/>
      </c>
      <c r="J215" s="190" t="e">
        <f t="shared" si="18"/>
        <v>#NUM!</v>
      </c>
      <c r="K215" s="189" t="e">
        <f t="shared" si="16"/>
        <v>#NUM!</v>
      </c>
      <c r="L215" s="189"/>
      <c r="M215" s="191">
        <f t="shared" si="17"/>
        <v>0</v>
      </c>
    </row>
    <row r="216" spans="1:13" x14ac:dyDescent="0.25">
      <c r="A216" s="206"/>
      <c r="G216" s="177"/>
      <c r="H216" s="189">
        <v>211</v>
      </c>
      <c r="I216" s="190" t="str">
        <f t="shared" si="15"/>
        <v/>
      </c>
      <c r="J216" s="190" t="e">
        <f t="shared" si="18"/>
        <v>#NUM!</v>
      </c>
      <c r="K216" s="189" t="e">
        <f t="shared" si="16"/>
        <v>#NUM!</v>
      </c>
      <c r="L216" s="189"/>
      <c r="M216" s="191">
        <f t="shared" si="17"/>
        <v>0</v>
      </c>
    </row>
    <row r="217" spans="1:13" x14ac:dyDescent="0.25">
      <c r="A217" s="206"/>
      <c r="G217" s="177"/>
      <c r="H217" s="189">
        <v>212</v>
      </c>
      <c r="I217" s="190" t="str">
        <f t="shared" si="15"/>
        <v/>
      </c>
      <c r="J217" s="190" t="e">
        <f t="shared" si="18"/>
        <v>#NUM!</v>
      </c>
      <c r="K217" s="189" t="e">
        <f t="shared" si="16"/>
        <v>#NUM!</v>
      </c>
      <c r="L217" s="189"/>
      <c r="M217" s="191">
        <f t="shared" si="17"/>
        <v>0</v>
      </c>
    </row>
    <row r="218" spans="1:13" x14ac:dyDescent="0.25">
      <c r="A218" s="206"/>
      <c r="G218" s="177"/>
      <c r="H218" s="189">
        <v>213</v>
      </c>
      <c r="I218" s="190" t="str">
        <f t="shared" si="15"/>
        <v/>
      </c>
      <c r="J218" s="190" t="e">
        <f t="shared" si="18"/>
        <v>#NUM!</v>
      </c>
      <c r="K218" s="189" t="e">
        <f t="shared" si="16"/>
        <v>#NUM!</v>
      </c>
      <c r="L218" s="189"/>
      <c r="M218" s="191">
        <f t="shared" si="17"/>
        <v>0</v>
      </c>
    </row>
    <row r="219" spans="1:13" x14ac:dyDescent="0.25">
      <c r="A219" s="206"/>
      <c r="G219" s="177"/>
      <c r="H219" s="189">
        <v>214</v>
      </c>
      <c r="I219" s="190" t="str">
        <f t="shared" si="15"/>
        <v/>
      </c>
      <c r="J219" s="190" t="e">
        <f t="shared" si="18"/>
        <v>#NUM!</v>
      </c>
      <c r="K219" s="189" t="e">
        <f t="shared" si="16"/>
        <v>#NUM!</v>
      </c>
      <c r="L219" s="189"/>
      <c r="M219" s="191">
        <f t="shared" si="17"/>
        <v>0</v>
      </c>
    </row>
    <row r="220" spans="1:13" x14ac:dyDescent="0.25">
      <c r="A220" s="206"/>
      <c r="G220" s="177"/>
      <c r="H220" s="189">
        <v>215</v>
      </c>
      <c r="I220" s="190" t="str">
        <f t="shared" si="15"/>
        <v/>
      </c>
      <c r="J220" s="190" t="e">
        <f t="shared" si="18"/>
        <v>#NUM!</v>
      </c>
      <c r="K220" s="189" t="e">
        <f t="shared" si="16"/>
        <v>#NUM!</v>
      </c>
      <c r="L220" s="189"/>
      <c r="M220" s="191">
        <f t="shared" si="17"/>
        <v>0</v>
      </c>
    </row>
    <row r="221" spans="1:13" x14ac:dyDescent="0.25">
      <c r="A221" s="206"/>
      <c r="G221" s="177"/>
      <c r="H221" s="189">
        <v>216</v>
      </c>
      <c r="I221" s="190" t="str">
        <f t="shared" si="15"/>
        <v/>
      </c>
      <c r="J221" s="190" t="e">
        <f t="shared" si="18"/>
        <v>#NUM!</v>
      </c>
      <c r="K221" s="189" t="e">
        <f t="shared" si="16"/>
        <v>#NUM!</v>
      </c>
      <c r="L221" s="189"/>
      <c r="M221" s="191">
        <f t="shared" si="17"/>
        <v>0</v>
      </c>
    </row>
    <row r="222" spans="1:13" x14ac:dyDescent="0.25">
      <c r="A222" s="206"/>
      <c r="G222" s="177"/>
      <c r="H222" s="189">
        <v>217</v>
      </c>
      <c r="I222" s="190" t="str">
        <f t="shared" si="15"/>
        <v/>
      </c>
      <c r="J222" s="190" t="e">
        <f t="shared" si="18"/>
        <v>#NUM!</v>
      </c>
      <c r="K222" s="189" t="e">
        <f t="shared" si="16"/>
        <v>#NUM!</v>
      </c>
      <c r="L222" s="189"/>
      <c r="M222" s="191">
        <f t="shared" si="17"/>
        <v>0</v>
      </c>
    </row>
    <row r="223" spans="1:13" x14ac:dyDescent="0.25">
      <c r="A223" s="206"/>
      <c r="G223" s="177"/>
      <c r="H223" s="189">
        <v>218</v>
      </c>
      <c r="I223" s="190" t="str">
        <f t="shared" si="15"/>
        <v/>
      </c>
      <c r="J223" s="190" t="e">
        <f t="shared" si="18"/>
        <v>#NUM!</v>
      </c>
      <c r="K223" s="189" t="e">
        <f t="shared" si="16"/>
        <v>#NUM!</v>
      </c>
      <c r="L223" s="189"/>
      <c r="M223" s="191">
        <f t="shared" si="17"/>
        <v>0</v>
      </c>
    </row>
    <row r="224" spans="1:13" x14ac:dyDescent="0.25">
      <c r="A224" s="206"/>
      <c r="G224" s="177"/>
      <c r="H224" s="189">
        <v>219</v>
      </c>
      <c r="I224" s="190" t="str">
        <f t="shared" si="15"/>
        <v/>
      </c>
      <c r="J224" s="190" t="e">
        <f t="shared" si="18"/>
        <v>#NUM!</v>
      </c>
      <c r="K224" s="189" t="e">
        <f t="shared" si="16"/>
        <v>#NUM!</v>
      </c>
      <c r="L224" s="189"/>
      <c r="M224" s="191">
        <f t="shared" si="17"/>
        <v>0</v>
      </c>
    </row>
    <row r="225" spans="1:13" x14ac:dyDescent="0.25">
      <c r="A225" s="206"/>
      <c r="G225" s="177"/>
      <c r="H225" s="189">
        <v>220</v>
      </c>
      <c r="I225" s="190" t="str">
        <f t="shared" si="15"/>
        <v/>
      </c>
      <c r="J225" s="190" t="e">
        <f t="shared" si="18"/>
        <v>#NUM!</v>
      </c>
      <c r="K225" s="189" t="e">
        <f t="shared" si="16"/>
        <v>#NUM!</v>
      </c>
      <c r="L225" s="189"/>
      <c r="M225" s="191">
        <f t="shared" si="17"/>
        <v>0</v>
      </c>
    </row>
    <row r="226" spans="1:13" x14ac:dyDescent="0.25">
      <c r="A226" s="206"/>
      <c r="G226" s="177"/>
      <c r="H226" s="189">
        <v>221</v>
      </c>
      <c r="I226" s="190" t="str">
        <f t="shared" si="15"/>
        <v/>
      </c>
      <c r="J226" s="190" t="e">
        <f t="shared" si="18"/>
        <v>#NUM!</v>
      </c>
      <c r="K226" s="189" t="e">
        <f t="shared" si="16"/>
        <v>#NUM!</v>
      </c>
      <c r="L226" s="189"/>
      <c r="M226" s="191">
        <f t="shared" si="17"/>
        <v>0</v>
      </c>
    </row>
    <row r="227" spans="1:13" x14ac:dyDescent="0.25">
      <c r="A227" s="206"/>
      <c r="G227" s="177"/>
      <c r="H227" s="189">
        <v>222</v>
      </c>
      <c r="I227" s="190" t="str">
        <f t="shared" si="15"/>
        <v/>
      </c>
      <c r="J227" s="190" t="e">
        <f t="shared" si="18"/>
        <v>#NUM!</v>
      </c>
      <c r="K227" s="189" t="e">
        <f t="shared" si="16"/>
        <v>#NUM!</v>
      </c>
      <c r="L227" s="189"/>
      <c r="M227" s="191">
        <f t="shared" si="17"/>
        <v>0</v>
      </c>
    </row>
    <row r="228" spans="1:13" x14ac:dyDescent="0.25">
      <c r="A228" s="206"/>
      <c r="G228" s="177"/>
      <c r="H228" s="189">
        <v>223</v>
      </c>
      <c r="I228" s="190" t="str">
        <f t="shared" si="15"/>
        <v/>
      </c>
      <c r="J228" s="190" t="e">
        <f t="shared" si="18"/>
        <v>#NUM!</v>
      </c>
      <c r="K228" s="189" t="e">
        <f t="shared" si="16"/>
        <v>#NUM!</v>
      </c>
      <c r="L228" s="189"/>
      <c r="M228" s="191">
        <f t="shared" si="17"/>
        <v>0</v>
      </c>
    </row>
    <row r="229" spans="1:13" x14ac:dyDescent="0.25">
      <c r="A229" s="206"/>
      <c r="G229" s="177"/>
      <c r="H229" s="189">
        <v>224</v>
      </c>
      <c r="I229" s="190" t="str">
        <f t="shared" si="15"/>
        <v/>
      </c>
      <c r="J229" s="190" t="e">
        <f t="shared" si="18"/>
        <v>#NUM!</v>
      </c>
      <c r="K229" s="189" t="e">
        <f t="shared" si="16"/>
        <v>#NUM!</v>
      </c>
      <c r="L229" s="189"/>
      <c r="M229" s="191">
        <f t="shared" si="17"/>
        <v>0</v>
      </c>
    </row>
    <row r="230" spans="1:13" x14ac:dyDescent="0.25">
      <c r="A230" s="206"/>
      <c r="G230" s="177"/>
      <c r="H230" s="189">
        <v>225</v>
      </c>
      <c r="I230" s="190" t="str">
        <f t="shared" si="15"/>
        <v/>
      </c>
      <c r="J230" s="190" t="e">
        <f t="shared" si="18"/>
        <v>#NUM!</v>
      </c>
      <c r="K230" s="189" t="e">
        <f t="shared" si="16"/>
        <v>#NUM!</v>
      </c>
      <c r="L230" s="189"/>
      <c r="M230" s="191">
        <f t="shared" si="17"/>
        <v>0</v>
      </c>
    </row>
    <row r="231" spans="1:13" x14ac:dyDescent="0.25">
      <c r="A231" s="206"/>
      <c r="G231" s="177"/>
      <c r="H231" s="189">
        <v>226</v>
      </c>
      <c r="I231" s="190" t="str">
        <f t="shared" si="15"/>
        <v/>
      </c>
      <c r="J231" s="190" t="e">
        <f t="shared" si="18"/>
        <v>#NUM!</v>
      </c>
      <c r="K231" s="189" t="e">
        <f t="shared" si="16"/>
        <v>#NUM!</v>
      </c>
      <c r="L231" s="189"/>
      <c r="M231" s="191">
        <f t="shared" si="17"/>
        <v>0</v>
      </c>
    </row>
    <row r="232" spans="1:13" x14ac:dyDescent="0.25">
      <c r="A232" s="206"/>
      <c r="G232" s="177"/>
      <c r="H232" s="189">
        <v>227</v>
      </c>
      <c r="I232" s="190" t="str">
        <f t="shared" si="15"/>
        <v/>
      </c>
      <c r="J232" s="190" t="e">
        <f t="shared" si="18"/>
        <v>#NUM!</v>
      </c>
      <c r="K232" s="189" t="e">
        <f t="shared" si="16"/>
        <v>#NUM!</v>
      </c>
      <c r="L232" s="189"/>
      <c r="M232" s="191">
        <f t="shared" si="17"/>
        <v>0</v>
      </c>
    </row>
    <row r="233" spans="1:13" x14ac:dyDescent="0.25">
      <c r="A233" s="206"/>
      <c r="G233" s="177"/>
      <c r="H233" s="189">
        <v>228</v>
      </c>
      <c r="I233" s="190" t="str">
        <f t="shared" si="15"/>
        <v/>
      </c>
      <c r="J233" s="190" t="e">
        <f t="shared" si="18"/>
        <v>#NUM!</v>
      </c>
      <c r="K233" s="189" t="e">
        <f t="shared" si="16"/>
        <v>#NUM!</v>
      </c>
      <c r="L233" s="189"/>
      <c r="M233" s="191">
        <f t="shared" si="17"/>
        <v>0</v>
      </c>
    </row>
    <row r="234" spans="1:13" x14ac:dyDescent="0.25">
      <c r="A234" s="206"/>
      <c r="G234" s="177"/>
      <c r="H234" s="189">
        <v>229</v>
      </c>
      <c r="I234" s="190" t="str">
        <f t="shared" si="15"/>
        <v/>
      </c>
      <c r="J234" s="190" t="e">
        <f t="shared" si="18"/>
        <v>#NUM!</v>
      </c>
      <c r="K234" s="189" t="e">
        <f t="shared" si="16"/>
        <v>#NUM!</v>
      </c>
      <c r="L234" s="189"/>
      <c r="M234" s="191">
        <f t="shared" si="17"/>
        <v>0</v>
      </c>
    </row>
    <row r="235" spans="1:13" x14ac:dyDescent="0.25">
      <c r="A235" s="206"/>
      <c r="G235" s="177"/>
      <c r="H235" s="189">
        <v>230</v>
      </c>
      <c r="I235" s="190" t="str">
        <f t="shared" si="15"/>
        <v/>
      </c>
      <c r="J235" s="190" t="e">
        <f t="shared" si="18"/>
        <v>#NUM!</v>
      </c>
      <c r="K235" s="189" t="e">
        <f t="shared" si="16"/>
        <v>#NUM!</v>
      </c>
      <c r="L235" s="189"/>
      <c r="M235" s="191">
        <f t="shared" si="17"/>
        <v>0</v>
      </c>
    </row>
    <row r="236" spans="1:13" x14ac:dyDescent="0.25">
      <c r="A236" s="206"/>
      <c r="G236" s="177"/>
      <c r="H236" s="189">
        <v>231</v>
      </c>
      <c r="I236" s="190" t="str">
        <f t="shared" si="15"/>
        <v/>
      </c>
      <c r="J236" s="190" t="e">
        <f t="shared" si="18"/>
        <v>#NUM!</v>
      </c>
      <c r="K236" s="189" t="e">
        <f t="shared" si="16"/>
        <v>#NUM!</v>
      </c>
      <c r="L236" s="189"/>
      <c r="M236" s="191">
        <f t="shared" si="17"/>
        <v>0</v>
      </c>
    </row>
    <row r="237" spans="1:13" x14ac:dyDescent="0.25">
      <c r="A237" s="206"/>
      <c r="G237" s="177"/>
      <c r="H237" s="189">
        <v>232</v>
      </c>
      <c r="I237" s="190" t="str">
        <f t="shared" si="15"/>
        <v/>
      </c>
      <c r="J237" s="190" t="e">
        <f t="shared" si="18"/>
        <v>#NUM!</v>
      </c>
      <c r="K237" s="189" t="e">
        <f t="shared" si="16"/>
        <v>#NUM!</v>
      </c>
      <c r="L237" s="189"/>
      <c r="M237" s="191">
        <f t="shared" si="17"/>
        <v>0</v>
      </c>
    </row>
    <row r="238" spans="1:13" x14ac:dyDescent="0.25">
      <c r="A238" s="206"/>
      <c r="G238" s="177"/>
      <c r="H238" s="189">
        <v>233</v>
      </c>
      <c r="I238" s="190" t="str">
        <f t="shared" si="15"/>
        <v/>
      </c>
      <c r="J238" s="190" t="e">
        <f t="shared" si="18"/>
        <v>#NUM!</v>
      </c>
      <c r="K238" s="189" t="e">
        <f t="shared" si="16"/>
        <v>#NUM!</v>
      </c>
      <c r="L238" s="189"/>
      <c r="M238" s="191">
        <f t="shared" si="17"/>
        <v>0</v>
      </c>
    </row>
    <row r="239" spans="1:13" x14ac:dyDescent="0.25">
      <c r="A239" s="206"/>
      <c r="G239" s="177"/>
      <c r="H239" s="189">
        <v>234</v>
      </c>
      <c r="I239" s="190" t="str">
        <f t="shared" si="15"/>
        <v/>
      </c>
      <c r="J239" s="190" t="e">
        <f t="shared" si="18"/>
        <v>#NUM!</v>
      </c>
      <c r="K239" s="189" t="e">
        <f t="shared" si="16"/>
        <v>#NUM!</v>
      </c>
      <c r="L239" s="189"/>
      <c r="M239" s="191">
        <f t="shared" si="17"/>
        <v>0</v>
      </c>
    </row>
    <row r="240" spans="1:13" x14ac:dyDescent="0.25">
      <c r="A240" s="206"/>
      <c r="G240" s="177"/>
      <c r="H240" s="189">
        <v>235</v>
      </c>
      <c r="I240" s="190" t="str">
        <f t="shared" si="15"/>
        <v/>
      </c>
      <c r="J240" s="190" t="e">
        <f t="shared" si="18"/>
        <v>#NUM!</v>
      </c>
      <c r="K240" s="189" t="e">
        <f t="shared" si="16"/>
        <v>#NUM!</v>
      </c>
      <c r="L240" s="189"/>
      <c r="M240" s="191">
        <f t="shared" si="17"/>
        <v>0</v>
      </c>
    </row>
    <row r="241" spans="1:13" x14ac:dyDescent="0.25">
      <c r="A241" s="206"/>
      <c r="G241" s="177"/>
      <c r="H241" s="189">
        <v>236</v>
      </c>
      <c r="I241" s="190" t="str">
        <f t="shared" si="15"/>
        <v/>
      </c>
      <c r="J241" s="190" t="e">
        <f t="shared" si="18"/>
        <v>#NUM!</v>
      </c>
      <c r="K241" s="189" t="e">
        <f t="shared" si="16"/>
        <v>#NUM!</v>
      </c>
      <c r="L241" s="189"/>
      <c r="M241" s="191">
        <f t="shared" si="17"/>
        <v>0</v>
      </c>
    </row>
    <row r="242" spans="1:13" x14ac:dyDescent="0.25">
      <c r="A242" s="206"/>
      <c r="G242" s="177"/>
      <c r="H242" s="189">
        <v>237</v>
      </c>
      <c r="I242" s="190" t="str">
        <f t="shared" si="15"/>
        <v/>
      </c>
      <c r="J242" s="190" t="e">
        <f t="shared" si="18"/>
        <v>#NUM!</v>
      </c>
      <c r="K242" s="189" t="e">
        <f t="shared" si="16"/>
        <v>#NUM!</v>
      </c>
      <c r="L242" s="189"/>
      <c r="M242" s="191">
        <f t="shared" si="17"/>
        <v>0</v>
      </c>
    </row>
    <row r="243" spans="1:13" x14ac:dyDescent="0.25">
      <c r="A243" s="206"/>
      <c r="G243" s="177"/>
      <c r="H243" s="189">
        <v>238</v>
      </c>
      <c r="I243" s="190" t="str">
        <f t="shared" si="15"/>
        <v/>
      </c>
      <c r="J243" s="190" t="e">
        <f t="shared" si="18"/>
        <v>#NUM!</v>
      </c>
      <c r="K243" s="189" t="e">
        <f t="shared" si="16"/>
        <v>#NUM!</v>
      </c>
      <c r="L243" s="189"/>
      <c r="M243" s="191">
        <f t="shared" si="17"/>
        <v>0</v>
      </c>
    </row>
    <row r="244" spans="1:13" x14ac:dyDescent="0.25">
      <c r="A244" s="206"/>
      <c r="G244" s="177"/>
      <c r="H244" s="189">
        <v>239</v>
      </c>
      <c r="I244" s="190" t="str">
        <f t="shared" si="15"/>
        <v/>
      </c>
      <c r="J244" s="190" t="e">
        <f t="shared" si="18"/>
        <v>#NUM!</v>
      </c>
      <c r="K244" s="189" t="e">
        <f t="shared" si="16"/>
        <v>#NUM!</v>
      </c>
      <c r="L244" s="189"/>
      <c r="M244" s="191">
        <f t="shared" si="17"/>
        <v>0</v>
      </c>
    </row>
    <row r="245" spans="1:13" x14ac:dyDescent="0.25">
      <c r="A245" s="206"/>
      <c r="G245" s="177"/>
      <c r="H245" s="189">
        <v>240</v>
      </c>
      <c r="I245" s="190" t="str">
        <f t="shared" si="15"/>
        <v/>
      </c>
      <c r="J245" s="190" t="e">
        <f t="shared" si="18"/>
        <v>#NUM!</v>
      </c>
      <c r="K245" s="189" t="e">
        <f t="shared" si="16"/>
        <v>#NUM!</v>
      </c>
      <c r="L245" s="189"/>
      <c r="M245" s="191">
        <f t="shared" si="17"/>
        <v>0</v>
      </c>
    </row>
    <row r="246" spans="1:13" x14ac:dyDescent="0.25">
      <c r="A246" s="206"/>
      <c r="G246" s="177"/>
      <c r="H246" s="189">
        <v>241</v>
      </c>
      <c r="I246" s="190" t="str">
        <f t="shared" si="15"/>
        <v/>
      </c>
      <c r="J246" s="190" t="e">
        <f t="shared" si="18"/>
        <v>#NUM!</v>
      </c>
      <c r="K246" s="189" t="e">
        <f t="shared" si="16"/>
        <v>#NUM!</v>
      </c>
      <c r="L246" s="189"/>
      <c r="M246" s="191">
        <f t="shared" si="17"/>
        <v>0</v>
      </c>
    </row>
    <row r="247" spans="1:13" x14ac:dyDescent="0.25">
      <c r="A247" s="206"/>
      <c r="G247" s="177"/>
      <c r="H247" s="189">
        <v>242</v>
      </c>
      <c r="I247" s="190" t="str">
        <f t="shared" si="15"/>
        <v/>
      </c>
      <c r="J247" s="190" t="e">
        <f t="shared" si="18"/>
        <v>#NUM!</v>
      </c>
      <c r="K247" s="189" t="e">
        <f t="shared" si="16"/>
        <v>#NUM!</v>
      </c>
      <c r="L247" s="189"/>
      <c r="M247" s="191">
        <f t="shared" si="17"/>
        <v>0</v>
      </c>
    </row>
    <row r="248" spans="1:13" x14ac:dyDescent="0.25">
      <c r="A248" s="206"/>
      <c r="G248" s="177"/>
      <c r="H248" s="189">
        <v>243</v>
      </c>
      <c r="I248" s="190" t="str">
        <f t="shared" si="15"/>
        <v/>
      </c>
      <c r="J248" s="190" t="e">
        <f t="shared" si="18"/>
        <v>#NUM!</v>
      </c>
      <c r="K248" s="189" t="e">
        <f t="shared" si="16"/>
        <v>#NUM!</v>
      </c>
      <c r="L248" s="189"/>
      <c r="M248" s="191">
        <f t="shared" si="17"/>
        <v>0</v>
      </c>
    </row>
    <row r="249" spans="1:13" x14ac:dyDescent="0.25">
      <c r="A249" s="206"/>
      <c r="G249" s="177"/>
      <c r="H249" s="189">
        <v>244</v>
      </c>
      <c r="I249" s="190" t="str">
        <f t="shared" si="15"/>
        <v/>
      </c>
      <c r="J249" s="190" t="e">
        <f t="shared" si="18"/>
        <v>#NUM!</v>
      </c>
      <c r="K249" s="189" t="e">
        <f t="shared" si="16"/>
        <v>#NUM!</v>
      </c>
      <c r="L249" s="189"/>
      <c r="M249" s="191">
        <f t="shared" si="17"/>
        <v>0</v>
      </c>
    </row>
    <row r="250" spans="1:13" x14ac:dyDescent="0.25">
      <c r="A250" s="206"/>
      <c r="G250" s="177"/>
      <c r="H250" s="189">
        <v>245</v>
      </c>
      <c r="I250" s="190" t="str">
        <f t="shared" si="15"/>
        <v/>
      </c>
      <c r="J250" s="190" t="e">
        <f t="shared" si="18"/>
        <v>#NUM!</v>
      </c>
      <c r="K250" s="189" t="e">
        <f t="shared" si="16"/>
        <v>#NUM!</v>
      </c>
      <c r="L250" s="189"/>
      <c r="M250" s="191">
        <f t="shared" si="17"/>
        <v>0</v>
      </c>
    </row>
    <row r="251" spans="1:13" x14ac:dyDescent="0.25">
      <c r="A251" s="206"/>
      <c r="G251" s="177"/>
      <c r="H251" s="189">
        <v>246</v>
      </c>
      <c r="I251" s="190" t="str">
        <f t="shared" si="15"/>
        <v/>
      </c>
      <c r="J251" s="190" t="e">
        <f t="shared" si="18"/>
        <v>#NUM!</v>
      </c>
      <c r="K251" s="189" t="e">
        <f t="shared" si="16"/>
        <v>#NUM!</v>
      </c>
      <c r="L251" s="189"/>
      <c r="M251" s="191">
        <f t="shared" si="17"/>
        <v>0</v>
      </c>
    </row>
    <row r="252" spans="1:13" x14ac:dyDescent="0.25">
      <c r="A252" s="206"/>
      <c r="G252" s="177"/>
      <c r="H252" s="189">
        <v>247</v>
      </c>
      <c r="I252" s="190" t="str">
        <f t="shared" si="15"/>
        <v/>
      </c>
      <c r="J252" s="190" t="e">
        <f t="shared" si="18"/>
        <v>#NUM!</v>
      </c>
      <c r="K252" s="189" t="e">
        <f t="shared" si="16"/>
        <v>#NUM!</v>
      </c>
      <c r="L252" s="189"/>
      <c r="M252" s="191">
        <f t="shared" si="17"/>
        <v>0</v>
      </c>
    </row>
    <row r="253" spans="1:13" x14ac:dyDescent="0.25">
      <c r="A253" s="206"/>
      <c r="G253" s="177"/>
      <c r="H253" s="189">
        <v>248</v>
      </c>
      <c r="I253" s="190" t="str">
        <f t="shared" si="15"/>
        <v/>
      </c>
      <c r="J253" s="190" t="e">
        <f t="shared" si="18"/>
        <v>#NUM!</v>
      </c>
      <c r="K253" s="189" t="e">
        <f t="shared" si="16"/>
        <v>#NUM!</v>
      </c>
      <c r="L253" s="189"/>
      <c r="M253" s="191">
        <f t="shared" si="17"/>
        <v>0</v>
      </c>
    </row>
    <row r="254" spans="1:13" x14ac:dyDescent="0.25">
      <c r="A254" s="206"/>
      <c r="G254" s="177"/>
      <c r="H254" s="189">
        <v>249</v>
      </c>
      <c r="I254" s="190" t="str">
        <f t="shared" si="15"/>
        <v/>
      </c>
      <c r="J254" s="190" t="e">
        <f t="shared" si="18"/>
        <v>#NUM!</v>
      </c>
      <c r="K254" s="189" t="e">
        <f t="shared" si="16"/>
        <v>#NUM!</v>
      </c>
      <c r="L254" s="189"/>
      <c r="M254" s="191">
        <f t="shared" si="17"/>
        <v>0</v>
      </c>
    </row>
    <row r="255" spans="1:13" x14ac:dyDescent="0.25">
      <c r="A255" s="206"/>
      <c r="G255" s="177"/>
      <c r="H255" s="189">
        <v>250</v>
      </c>
      <c r="I255" s="190" t="str">
        <f t="shared" si="15"/>
        <v/>
      </c>
      <c r="J255" s="190" t="e">
        <f t="shared" si="18"/>
        <v>#NUM!</v>
      </c>
      <c r="K255" s="189" t="e">
        <f t="shared" si="16"/>
        <v>#NUM!</v>
      </c>
      <c r="L255" s="189"/>
      <c r="M255" s="191">
        <f t="shared" si="17"/>
        <v>0</v>
      </c>
    </row>
    <row r="256" spans="1:13" x14ac:dyDescent="0.25">
      <c r="A256" s="206"/>
      <c r="G256" s="177"/>
      <c r="H256" s="189">
        <v>251</v>
      </c>
      <c r="I256" s="190" t="str">
        <f t="shared" si="15"/>
        <v/>
      </c>
      <c r="J256" s="190" t="e">
        <f t="shared" si="18"/>
        <v>#NUM!</v>
      </c>
      <c r="K256" s="189" t="e">
        <f t="shared" si="16"/>
        <v>#NUM!</v>
      </c>
      <c r="L256" s="189"/>
      <c r="M256" s="191">
        <f t="shared" si="17"/>
        <v>0</v>
      </c>
    </row>
    <row r="257" spans="1:13" x14ac:dyDescent="0.25">
      <c r="A257" s="206"/>
      <c r="G257" s="177"/>
      <c r="H257" s="189">
        <v>252</v>
      </c>
      <c r="I257" s="190" t="str">
        <f t="shared" si="15"/>
        <v/>
      </c>
      <c r="J257" s="190" t="e">
        <f t="shared" si="18"/>
        <v>#NUM!</v>
      </c>
      <c r="K257" s="189" t="e">
        <f t="shared" si="16"/>
        <v>#NUM!</v>
      </c>
      <c r="L257" s="189"/>
      <c r="M257" s="191">
        <f t="shared" si="17"/>
        <v>0</v>
      </c>
    </row>
    <row r="258" spans="1:13" x14ac:dyDescent="0.25">
      <c r="A258" s="206"/>
      <c r="G258" s="177"/>
      <c r="H258" s="189">
        <v>253</v>
      </c>
      <c r="I258" s="190" t="str">
        <f t="shared" si="15"/>
        <v/>
      </c>
      <c r="J258" s="190" t="e">
        <f t="shared" si="18"/>
        <v>#NUM!</v>
      </c>
      <c r="K258" s="189" t="e">
        <f t="shared" si="16"/>
        <v>#NUM!</v>
      </c>
      <c r="L258" s="189"/>
      <c r="M258" s="191">
        <f t="shared" si="17"/>
        <v>0</v>
      </c>
    </row>
    <row r="259" spans="1:13" x14ac:dyDescent="0.25">
      <c r="A259" s="206"/>
      <c r="G259" s="177"/>
      <c r="H259" s="189">
        <v>254</v>
      </c>
      <c r="I259" s="190" t="str">
        <f t="shared" si="15"/>
        <v/>
      </c>
      <c r="J259" s="190" t="e">
        <f t="shared" si="18"/>
        <v>#NUM!</v>
      </c>
      <c r="K259" s="189" t="e">
        <f t="shared" si="16"/>
        <v>#NUM!</v>
      </c>
      <c r="L259" s="189"/>
      <c r="M259" s="191">
        <f t="shared" si="17"/>
        <v>0</v>
      </c>
    </row>
    <row r="260" spans="1:13" x14ac:dyDescent="0.25">
      <c r="A260" s="206"/>
      <c r="G260" s="177"/>
      <c r="H260" s="189">
        <v>255</v>
      </c>
      <c r="I260" s="190" t="str">
        <f t="shared" si="15"/>
        <v/>
      </c>
      <c r="J260" s="190" t="e">
        <f t="shared" si="18"/>
        <v>#NUM!</v>
      </c>
      <c r="K260" s="189" t="e">
        <f t="shared" si="16"/>
        <v>#NUM!</v>
      </c>
      <c r="L260" s="189"/>
      <c r="M260" s="191">
        <f t="shared" si="17"/>
        <v>0</v>
      </c>
    </row>
    <row r="261" spans="1:13" x14ac:dyDescent="0.25">
      <c r="A261" s="206"/>
      <c r="G261" s="177"/>
      <c r="H261" s="189">
        <v>256</v>
      </c>
      <c r="I261" s="190" t="str">
        <f t="shared" si="15"/>
        <v/>
      </c>
      <c r="J261" s="190" t="e">
        <f t="shared" si="18"/>
        <v>#NUM!</v>
      </c>
      <c r="K261" s="189" t="e">
        <f t="shared" si="16"/>
        <v>#NUM!</v>
      </c>
      <c r="L261" s="189"/>
      <c r="M261" s="191">
        <f t="shared" si="17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9">IF(H262&lt;$H$2+1,($I$2-($I$2-1)*(LOG(H262)/LOG($H$2))),"")</f>
        <v/>
      </c>
      <c r="J262" s="190" t="e">
        <f t="shared" si="18"/>
        <v>#NUM!</v>
      </c>
      <c r="K262" s="189" t="e">
        <f t="shared" ref="K262:K305" si="20">J262*$J$2</f>
        <v>#NUM!</v>
      </c>
      <c r="L262" s="189"/>
      <c r="M262" s="191">
        <f t="shared" ref="M262:M305" si="21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9"/>
        <v/>
      </c>
      <c r="J263" s="190" t="e">
        <f t="shared" ref="J263:J305" si="22">INT(LOG($H$2,2))-ROUNDUP(LOG(H263,2),0)+IF(OR($H$2=1,$H$2=2,$H$2=4,$H$2=8,$H$2=16,$H$2=32,$H$2=64,$H$2=128,$H$2=256),0,1)</f>
        <v>#NUM!</v>
      </c>
      <c r="K263" s="189" t="e">
        <f t="shared" si="20"/>
        <v>#NUM!</v>
      </c>
      <c r="L263" s="189"/>
      <c r="M263" s="191">
        <f t="shared" si="21"/>
        <v>0</v>
      </c>
    </row>
    <row r="264" spans="1:13" x14ac:dyDescent="0.25">
      <c r="A264" s="206"/>
      <c r="G264" s="177"/>
      <c r="H264" s="189">
        <v>259</v>
      </c>
      <c r="I264" s="190" t="str">
        <f t="shared" si="19"/>
        <v/>
      </c>
      <c r="J264" s="190" t="e">
        <f t="shared" si="22"/>
        <v>#NUM!</v>
      </c>
      <c r="K264" s="189" t="e">
        <f t="shared" si="20"/>
        <v>#NUM!</v>
      </c>
      <c r="L264" s="189"/>
      <c r="M264" s="191">
        <f t="shared" si="21"/>
        <v>0</v>
      </c>
    </row>
    <row r="265" spans="1:13" x14ac:dyDescent="0.25">
      <c r="A265" s="206"/>
      <c r="G265" s="177"/>
      <c r="H265" s="189">
        <v>260</v>
      </c>
      <c r="I265" s="190" t="str">
        <f t="shared" si="19"/>
        <v/>
      </c>
      <c r="J265" s="190" t="e">
        <f t="shared" si="22"/>
        <v>#NUM!</v>
      </c>
      <c r="K265" s="189" t="e">
        <f t="shared" si="20"/>
        <v>#NUM!</v>
      </c>
      <c r="L265" s="189"/>
      <c r="M265" s="191">
        <f t="shared" si="21"/>
        <v>0</v>
      </c>
    </row>
    <row r="266" spans="1:13" x14ac:dyDescent="0.25">
      <c r="A266" s="206"/>
      <c r="G266" s="177"/>
      <c r="H266" s="189">
        <v>261</v>
      </c>
      <c r="I266" s="190" t="str">
        <f t="shared" si="19"/>
        <v/>
      </c>
      <c r="J266" s="190" t="e">
        <f t="shared" si="22"/>
        <v>#NUM!</v>
      </c>
      <c r="K266" s="189" t="e">
        <f t="shared" si="20"/>
        <v>#NUM!</v>
      </c>
      <c r="L266" s="189"/>
      <c r="M266" s="191">
        <f t="shared" si="21"/>
        <v>0</v>
      </c>
    </row>
    <row r="267" spans="1:13" x14ac:dyDescent="0.25">
      <c r="A267" s="206"/>
      <c r="G267" s="177"/>
      <c r="H267" s="189">
        <v>262</v>
      </c>
      <c r="I267" s="190" t="str">
        <f t="shared" si="19"/>
        <v/>
      </c>
      <c r="J267" s="190" t="e">
        <f t="shared" si="22"/>
        <v>#NUM!</v>
      </c>
      <c r="K267" s="189" t="e">
        <f t="shared" si="20"/>
        <v>#NUM!</v>
      </c>
      <c r="L267" s="189"/>
      <c r="M267" s="191">
        <f t="shared" si="21"/>
        <v>0</v>
      </c>
    </row>
    <row r="268" spans="1:13" x14ac:dyDescent="0.25">
      <c r="A268" s="206"/>
      <c r="G268" s="177"/>
      <c r="H268" s="189">
        <v>263</v>
      </c>
      <c r="I268" s="190" t="str">
        <f t="shared" si="19"/>
        <v/>
      </c>
      <c r="J268" s="190" t="e">
        <f t="shared" si="22"/>
        <v>#NUM!</v>
      </c>
      <c r="K268" s="189" t="e">
        <f t="shared" si="20"/>
        <v>#NUM!</v>
      </c>
      <c r="L268" s="189"/>
      <c r="M268" s="191">
        <f t="shared" si="21"/>
        <v>0</v>
      </c>
    </row>
    <row r="269" spans="1:13" x14ac:dyDescent="0.25">
      <c r="A269" s="206"/>
      <c r="G269" s="177"/>
      <c r="H269" s="189">
        <v>264</v>
      </c>
      <c r="I269" s="190" t="str">
        <f t="shared" si="19"/>
        <v/>
      </c>
      <c r="J269" s="190" t="e">
        <f t="shared" si="22"/>
        <v>#NUM!</v>
      </c>
      <c r="K269" s="189" t="e">
        <f t="shared" si="20"/>
        <v>#NUM!</v>
      </c>
      <c r="L269" s="189"/>
      <c r="M269" s="191">
        <f t="shared" si="21"/>
        <v>0</v>
      </c>
    </row>
    <row r="270" spans="1:13" x14ac:dyDescent="0.25">
      <c r="A270" s="206"/>
      <c r="G270" s="177"/>
      <c r="H270" s="189">
        <v>265</v>
      </c>
      <c r="I270" s="190" t="str">
        <f t="shared" si="19"/>
        <v/>
      </c>
      <c r="J270" s="190" t="e">
        <f t="shared" si="22"/>
        <v>#NUM!</v>
      </c>
      <c r="K270" s="189" t="e">
        <f t="shared" si="20"/>
        <v>#NUM!</v>
      </c>
      <c r="L270" s="189"/>
      <c r="M270" s="191">
        <f t="shared" si="21"/>
        <v>0</v>
      </c>
    </row>
    <row r="271" spans="1:13" x14ac:dyDescent="0.25">
      <c r="A271" s="206"/>
      <c r="G271" s="177"/>
      <c r="H271" s="189">
        <v>266</v>
      </c>
      <c r="I271" s="190" t="str">
        <f t="shared" si="19"/>
        <v/>
      </c>
      <c r="J271" s="190" t="e">
        <f t="shared" si="22"/>
        <v>#NUM!</v>
      </c>
      <c r="K271" s="189" t="e">
        <f t="shared" si="20"/>
        <v>#NUM!</v>
      </c>
      <c r="L271" s="189"/>
      <c r="M271" s="191">
        <f t="shared" si="21"/>
        <v>0</v>
      </c>
    </row>
    <row r="272" spans="1:13" x14ac:dyDescent="0.25">
      <c r="A272" s="206"/>
      <c r="G272" s="177"/>
      <c r="H272" s="189">
        <v>267</v>
      </c>
      <c r="I272" s="190" t="str">
        <f t="shared" si="19"/>
        <v/>
      </c>
      <c r="J272" s="190" t="e">
        <f t="shared" si="22"/>
        <v>#NUM!</v>
      </c>
      <c r="K272" s="189" t="e">
        <f t="shared" si="20"/>
        <v>#NUM!</v>
      </c>
      <c r="L272" s="189"/>
      <c r="M272" s="191">
        <f t="shared" si="21"/>
        <v>0</v>
      </c>
    </row>
    <row r="273" spans="1:13" x14ac:dyDescent="0.25">
      <c r="A273" s="206"/>
      <c r="G273" s="177"/>
      <c r="H273" s="189">
        <v>268</v>
      </c>
      <c r="I273" s="190" t="str">
        <f t="shared" si="19"/>
        <v/>
      </c>
      <c r="J273" s="190" t="e">
        <f t="shared" si="22"/>
        <v>#NUM!</v>
      </c>
      <c r="K273" s="189" t="e">
        <f t="shared" si="20"/>
        <v>#NUM!</v>
      </c>
      <c r="L273" s="189"/>
      <c r="M273" s="191">
        <f t="shared" si="21"/>
        <v>0</v>
      </c>
    </row>
    <row r="274" spans="1:13" x14ac:dyDescent="0.25">
      <c r="A274" s="206"/>
      <c r="G274" s="177"/>
      <c r="H274" s="189">
        <v>269</v>
      </c>
      <c r="I274" s="190" t="str">
        <f t="shared" si="19"/>
        <v/>
      </c>
      <c r="J274" s="190" t="e">
        <f t="shared" si="22"/>
        <v>#NUM!</v>
      </c>
      <c r="K274" s="189" t="e">
        <f t="shared" si="20"/>
        <v>#NUM!</v>
      </c>
      <c r="L274" s="189"/>
      <c r="M274" s="191">
        <f t="shared" si="21"/>
        <v>0</v>
      </c>
    </row>
    <row r="275" spans="1:13" x14ac:dyDescent="0.25">
      <c r="A275" s="206"/>
      <c r="G275" s="177"/>
      <c r="H275" s="189">
        <v>270</v>
      </c>
      <c r="I275" s="190" t="str">
        <f t="shared" si="19"/>
        <v/>
      </c>
      <c r="J275" s="190" t="e">
        <f t="shared" si="22"/>
        <v>#NUM!</v>
      </c>
      <c r="K275" s="189" t="e">
        <f t="shared" si="20"/>
        <v>#NUM!</v>
      </c>
      <c r="L275" s="189"/>
      <c r="M275" s="191">
        <f t="shared" si="21"/>
        <v>0</v>
      </c>
    </row>
    <row r="276" spans="1:13" x14ac:dyDescent="0.25">
      <c r="A276" s="206"/>
      <c r="G276" s="177"/>
      <c r="H276" s="189">
        <v>271</v>
      </c>
      <c r="I276" s="190" t="str">
        <f t="shared" si="19"/>
        <v/>
      </c>
      <c r="J276" s="190" t="e">
        <f t="shared" si="22"/>
        <v>#NUM!</v>
      </c>
      <c r="K276" s="189" t="e">
        <f t="shared" si="20"/>
        <v>#NUM!</v>
      </c>
      <c r="L276" s="189"/>
      <c r="M276" s="191">
        <f t="shared" si="21"/>
        <v>0</v>
      </c>
    </row>
    <row r="277" spans="1:13" x14ac:dyDescent="0.25">
      <c r="A277" s="206"/>
      <c r="G277" s="177"/>
      <c r="H277" s="189">
        <v>272</v>
      </c>
      <c r="I277" s="190" t="str">
        <f t="shared" si="19"/>
        <v/>
      </c>
      <c r="J277" s="190" t="e">
        <f t="shared" si="22"/>
        <v>#NUM!</v>
      </c>
      <c r="K277" s="189" t="e">
        <f t="shared" si="20"/>
        <v>#NUM!</v>
      </c>
      <c r="L277" s="189"/>
      <c r="M277" s="191">
        <f t="shared" si="21"/>
        <v>0</v>
      </c>
    </row>
    <row r="278" spans="1:13" x14ac:dyDescent="0.25">
      <c r="A278" s="206"/>
      <c r="G278" s="177"/>
      <c r="H278" s="189">
        <v>273</v>
      </c>
      <c r="I278" s="190" t="str">
        <f t="shared" si="19"/>
        <v/>
      </c>
      <c r="J278" s="190" t="e">
        <f t="shared" si="22"/>
        <v>#NUM!</v>
      </c>
      <c r="K278" s="189" t="e">
        <f t="shared" si="20"/>
        <v>#NUM!</v>
      </c>
      <c r="L278" s="189"/>
      <c r="M278" s="191">
        <f t="shared" si="21"/>
        <v>0</v>
      </c>
    </row>
    <row r="279" spans="1:13" x14ac:dyDescent="0.25">
      <c r="A279" s="206"/>
      <c r="G279" s="177"/>
      <c r="H279" s="189">
        <v>274</v>
      </c>
      <c r="I279" s="190" t="str">
        <f t="shared" si="19"/>
        <v/>
      </c>
      <c r="J279" s="190" t="e">
        <f t="shared" si="22"/>
        <v>#NUM!</v>
      </c>
      <c r="K279" s="189" t="e">
        <f t="shared" si="20"/>
        <v>#NUM!</v>
      </c>
      <c r="L279" s="189"/>
      <c r="M279" s="191">
        <f t="shared" si="21"/>
        <v>0</v>
      </c>
    </row>
    <row r="280" spans="1:13" x14ac:dyDescent="0.25">
      <c r="A280" s="206"/>
      <c r="G280" s="177"/>
      <c r="H280" s="189">
        <v>275</v>
      </c>
      <c r="I280" s="190" t="str">
        <f t="shared" si="19"/>
        <v/>
      </c>
      <c r="J280" s="190" t="e">
        <f t="shared" si="22"/>
        <v>#NUM!</v>
      </c>
      <c r="K280" s="189" t="e">
        <f t="shared" si="20"/>
        <v>#NUM!</v>
      </c>
      <c r="L280" s="189"/>
      <c r="M280" s="191">
        <f t="shared" si="21"/>
        <v>0</v>
      </c>
    </row>
    <row r="281" spans="1:13" x14ac:dyDescent="0.25">
      <c r="A281" s="206"/>
      <c r="G281" s="177"/>
      <c r="H281" s="189">
        <v>276</v>
      </c>
      <c r="I281" s="190" t="str">
        <f t="shared" si="19"/>
        <v/>
      </c>
      <c r="J281" s="190" t="e">
        <f t="shared" si="22"/>
        <v>#NUM!</v>
      </c>
      <c r="K281" s="189" t="e">
        <f t="shared" si="20"/>
        <v>#NUM!</v>
      </c>
      <c r="L281" s="189"/>
      <c r="M281" s="191">
        <f t="shared" si="21"/>
        <v>0</v>
      </c>
    </row>
    <row r="282" spans="1:13" x14ac:dyDescent="0.25">
      <c r="A282" s="206"/>
      <c r="G282" s="177"/>
      <c r="H282" s="189">
        <v>277</v>
      </c>
      <c r="I282" s="190" t="str">
        <f t="shared" si="19"/>
        <v/>
      </c>
      <c r="J282" s="190" t="e">
        <f t="shared" si="22"/>
        <v>#NUM!</v>
      </c>
      <c r="K282" s="189" t="e">
        <f t="shared" si="20"/>
        <v>#NUM!</v>
      </c>
      <c r="L282" s="189"/>
      <c r="M282" s="191">
        <f t="shared" si="21"/>
        <v>0</v>
      </c>
    </row>
    <row r="283" spans="1:13" x14ac:dyDescent="0.25">
      <c r="A283" s="206"/>
      <c r="G283" s="177"/>
      <c r="H283" s="189">
        <v>278</v>
      </c>
      <c r="I283" s="190" t="str">
        <f t="shared" si="19"/>
        <v/>
      </c>
      <c r="J283" s="190" t="e">
        <f t="shared" si="22"/>
        <v>#NUM!</v>
      </c>
      <c r="K283" s="189" t="e">
        <f t="shared" si="20"/>
        <v>#NUM!</v>
      </c>
      <c r="L283" s="189"/>
      <c r="M283" s="191">
        <f t="shared" si="21"/>
        <v>0</v>
      </c>
    </row>
    <row r="284" spans="1:13" x14ac:dyDescent="0.25">
      <c r="A284" s="206"/>
      <c r="G284" s="177"/>
      <c r="H284" s="189">
        <v>279</v>
      </c>
      <c r="I284" s="190" t="str">
        <f t="shared" si="19"/>
        <v/>
      </c>
      <c r="J284" s="190" t="e">
        <f t="shared" si="22"/>
        <v>#NUM!</v>
      </c>
      <c r="K284" s="189" t="e">
        <f t="shared" si="20"/>
        <v>#NUM!</v>
      </c>
      <c r="L284" s="189"/>
      <c r="M284" s="191">
        <f t="shared" si="21"/>
        <v>0</v>
      </c>
    </row>
    <row r="285" spans="1:13" x14ac:dyDescent="0.25">
      <c r="A285" s="206"/>
      <c r="G285" s="177"/>
      <c r="H285" s="189">
        <v>280</v>
      </c>
      <c r="I285" s="190" t="str">
        <f t="shared" si="19"/>
        <v/>
      </c>
      <c r="J285" s="190" t="e">
        <f t="shared" si="22"/>
        <v>#NUM!</v>
      </c>
      <c r="K285" s="189" t="e">
        <f t="shared" si="20"/>
        <v>#NUM!</v>
      </c>
      <c r="L285" s="189"/>
      <c r="M285" s="191">
        <f t="shared" si="21"/>
        <v>0</v>
      </c>
    </row>
    <row r="286" spans="1:13" x14ac:dyDescent="0.25">
      <c r="A286" s="206"/>
      <c r="G286" s="177"/>
      <c r="H286" s="189">
        <v>281</v>
      </c>
      <c r="I286" s="190" t="str">
        <f t="shared" si="19"/>
        <v/>
      </c>
      <c r="J286" s="190" t="e">
        <f t="shared" si="22"/>
        <v>#NUM!</v>
      </c>
      <c r="K286" s="189" t="e">
        <f t="shared" si="20"/>
        <v>#NUM!</v>
      </c>
      <c r="L286" s="189"/>
      <c r="M286" s="191">
        <f t="shared" si="21"/>
        <v>0</v>
      </c>
    </row>
    <row r="287" spans="1:13" x14ac:dyDescent="0.25">
      <c r="A287" s="206"/>
      <c r="G287" s="177"/>
      <c r="H287" s="189">
        <v>282</v>
      </c>
      <c r="I287" s="190" t="str">
        <f t="shared" si="19"/>
        <v/>
      </c>
      <c r="J287" s="190" t="e">
        <f t="shared" si="22"/>
        <v>#NUM!</v>
      </c>
      <c r="K287" s="189" t="e">
        <f t="shared" si="20"/>
        <v>#NUM!</v>
      </c>
      <c r="L287" s="189"/>
      <c r="M287" s="191">
        <f t="shared" si="21"/>
        <v>0</v>
      </c>
    </row>
    <row r="288" spans="1:13" x14ac:dyDescent="0.25">
      <c r="A288" s="206"/>
      <c r="G288" s="177"/>
      <c r="H288" s="189">
        <v>283</v>
      </c>
      <c r="I288" s="190" t="str">
        <f t="shared" si="19"/>
        <v/>
      </c>
      <c r="J288" s="190" t="e">
        <f t="shared" si="22"/>
        <v>#NUM!</v>
      </c>
      <c r="K288" s="189" t="e">
        <f t="shared" si="20"/>
        <v>#NUM!</v>
      </c>
      <c r="L288" s="189"/>
      <c r="M288" s="191">
        <f t="shared" si="21"/>
        <v>0</v>
      </c>
    </row>
    <row r="289" spans="1:13" x14ac:dyDescent="0.25">
      <c r="A289" s="206"/>
      <c r="G289" s="177"/>
      <c r="H289" s="189">
        <v>284</v>
      </c>
      <c r="I289" s="190" t="str">
        <f t="shared" si="19"/>
        <v/>
      </c>
      <c r="J289" s="190" t="e">
        <f t="shared" si="22"/>
        <v>#NUM!</v>
      </c>
      <c r="K289" s="189" t="e">
        <f t="shared" si="20"/>
        <v>#NUM!</v>
      </c>
      <c r="L289" s="189"/>
      <c r="M289" s="191">
        <f t="shared" si="21"/>
        <v>0</v>
      </c>
    </row>
    <row r="290" spans="1:13" x14ac:dyDescent="0.25">
      <c r="A290" s="206"/>
      <c r="G290" s="177"/>
      <c r="H290" s="189">
        <v>285</v>
      </c>
      <c r="I290" s="190" t="str">
        <f t="shared" si="19"/>
        <v/>
      </c>
      <c r="J290" s="190" t="e">
        <f t="shared" si="22"/>
        <v>#NUM!</v>
      </c>
      <c r="K290" s="189" t="e">
        <f t="shared" si="20"/>
        <v>#NUM!</v>
      </c>
      <c r="L290" s="189"/>
      <c r="M290" s="191">
        <f t="shared" si="21"/>
        <v>0</v>
      </c>
    </row>
    <row r="291" spans="1:13" x14ac:dyDescent="0.25">
      <c r="A291" s="206"/>
      <c r="G291" s="177"/>
      <c r="H291" s="189">
        <v>286</v>
      </c>
      <c r="I291" s="190" t="str">
        <f t="shared" si="19"/>
        <v/>
      </c>
      <c r="J291" s="190" t="e">
        <f t="shared" si="22"/>
        <v>#NUM!</v>
      </c>
      <c r="K291" s="189" t="e">
        <f t="shared" si="20"/>
        <v>#NUM!</v>
      </c>
      <c r="L291" s="189"/>
      <c r="M291" s="191">
        <f t="shared" si="21"/>
        <v>0</v>
      </c>
    </row>
    <row r="292" spans="1:13" x14ac:dyDescent="0.25">
      <c r="A292" s="206"/>
      <c r="G292" s="177"/>
      <c r="H292" s="189">
        <v>287</v>
      </c>
      <c r="I292" s="190" t="str">
        <f t="shared" si="19"/>
        <v/>
      </c>
      <c r="J292" s="190" t="e">
        <f t="shared" si="22"/>
        <v>#NUM!</v>
      </c>
      <c r="K292" s="189" t="e">
        <f t="shared" si="20"/>
        <v>#NUM!</v>
      </c>
      <c r="L292" s="189"/>
      <c r="M292" s="191">
        <f t="shared" si="21"/>
        <v>0</v>
      </c>
    </row>
    <row r="293" spans="1:13" x14ac:dyDescent="0.25">
      <c r="A293" s="206"/>
      <c r="G293" s="177"/>
      <c r="H293" s="189">
        <v>288</v>
      </c>
      <c r="I293" s="190" t="str">
        <f t="shared" si="19"/>
        <v/>
      </c>
      <c r="J293" s="190" t="e">
        <f t="shared" si="22"/>
        <v>#NUM!</v>
      </c>
      <c r="K293" s="189" t="e">
        <f t="shared" si="20"/>
        <v>#NUM!</v>
      </c>
      <c r="L293" s="189"/>
      <c r="M293" s="191">
        <f t="shared" si="21"/>
        <v>0</v>
      </c>
    </row>
    <row r="294" spans="1:13" x14ac:dyDescent="0.25">
      <c r="A294" s="206"/>
      <c r="G294" s="177"/>
      <c r="H294" s="189">
        <v>289</v>
      </c>
      <c r="I294" s="190" t="str">
        <f t="shared" si="19"/>
        <v/>
      </c>
      <c r="J294" s="190" t="e">
        <f t="shared" si="22"/>
        <v>#NUM!</v>
      </c>
      <c r="K294" s="189" t="e">
        <f t="shared" si="20"/>
        <v>#NUM!</v>
      </c>
      <c r="L294" s="189"/>
      <c r="M294" s="191">
        <f t="shared" si="21"/>
        <v>0</v>
      </c>
    </row>
    <row r="295" spans="1:13" x14ac:dyDescent="0.25">
      <c r="A295" s="206"/>
      <c r="G295" s="177"/>
      <c r="H295" s="189">
        <v>290</v>
      </c>
      <c r="I295" s="190" t="str">
        <f t="shared" si="19"/>
        <v/>
      </c>
      <c r="J295" s="190" t="e">
        <f t="shared" si="22"/>
        <v>#NUM!</v>
      </c>
      <c r="K295" s="189" t="e">
        <f t="shared" si="20"/>
        <v>#NUM!</v>
      </c>
      <c r="L295" s="189"/>
      <c r="M295" s="191">
        <f t="shared" si="21"/>
        <v>0</v>
      </c>
    </row>
    <row r="296" spans="1:13" x14ac:dyDescent="0.25">
      <c r="A296" s="206"/>
      <c r="G296" s="177"/>
      <c r="H296" s="189">
        <v>291</v>
      </c>
      <c r="I296" s="190" t="str">
        <f t="shared" si="19"/>
        <v/>
      </c>
      <c r="J296" s="190" t="e">
        <f t="shared" si="22"/>
        <v>#NUM!</v>
      </c>
      <c r="K296" s="189" t="e">
        <f t="shared" si="20"/>
        <v>#NUM!</v>
      </c>
      <c r="L296" s="189"/>
      <c r="M296" s="191">
        <f t="shared" si="21"/>
        <v>0</v>
      </c>
    </row>
    <row r="297" spans="1:13" x14ac:dyDescent="0.25">
      <c r="A297" s="206"/>
      <c r="G297" s="177"/>
      <c r="H297" s="189">
        <v>292</v>
      </c>
      <c r="I297" s="190" t="str">
        <f t="shared" si="19"/>
        <v/>
      </c>
      <c r="J297" s="190" t="e">
        <f t="shared" si="22"/>
        <v>#NUM!</v>
      </c>
      <c r="K297" s="189" t="e">
        <f t="shared" si="20"/>
        <v>#NUM!</v>
      </c>
      <c r="L297" s="189"/>
      <c r="M297" s="191">
        <f t="shared" si="21"/>
        <v>0</v>
      </c>
    </row>
    <row r="298" spans="1:13" x14ac:dyDescent="0.25">
      <c r="A298" s="206"/>
      <c r="G298" s="177"/>
      <c r="H298" s="189">
        <v>293</v>
      </c>
      <c r="I298" s="190" t="str">
        <f t="shared" si="19"/>
        <v/>
      </c>
      <c r="J298" s="190" t="e">
        <f t="shared" si="22"/>
        <v>#NUM!</v>
      </c>
      <c r="K298" s="189" t="e">
        <f t="shared" si="20"/>
        <v>#NUM!</v>
      </c>
      <c r="L298" s="189"/>
      <c r="M298" s="191">
        <f t="shared" si="21"/>
        <v>0</v>
      </c>
    </row>
    <row r="299" spans="1:13" x14ac:dyDescent="0.25">
      <c r="A299" s="206"/>
      <c r="G299" s="177"/>
      <c r="H299" s="189">
        <v>294</v>
      </c>
      <c r="I299" s="190" t="str">
        <f t="shared" si="19"/>
        <v/>
      </c>
      <c r="J299" s="190" t="e">
        <f t="shared" si="22"/>
        <v>#NUM!</v>
      </c>
      <c r="K299" s="189" t="e">
        <f t="shared" si="20"/>
        <v>#NUM!</v>
      </c>
      <c r="L299" s="189"/>
      <c r="M299" s="191">
        <f t="shared" si="21"/>
        <v>0</v>
      </c>
    </row>
    <row r="300" spans="1:13" x14ac:dyDescent="0.25">
      <c r="A300" s="206"/>
      <c r="G300" s="177"/>
      <c r="H300" s="189">
        <v>295</v>
      </c>
      <c r="I300" s="190" t="str">
        <f t="shared" si="19"/>
        <v/>
      </c>
      <c r="J300" s="190" t="e">
        <f t="shared" si="22"/>
        <v>#NUM!</v>
      </c>
      <c r="K300" s="189" t="e">
        <f t="shared" si="20"/>
        <v>#NUM!</v>
      </c>
      <c r="L300" s="189"/>
      <c r="M300" s="191">
        <f t="shared" si="21"/>
        <v>0</v>
      </c>
    </row>
    <row r="301" spans="1:13" x14ac:dyDescent="0.25">
      <c r="A301" s="206"/>
      <c r="G301" s="177"/>
      <c r="H301" s="189">
        <v>296</v>
      </c>
      <c r="I301" s="190" t="str">
        <f t="shared" si="19"/>
        <v/>
      </c>
      <c r="J301" s="190" t="e">
        <f t="shared" si="22"/>
        <v>#NUM!</v>
      </c>
      <c r="K301" s="189" t="e">
        <f t="shared" si="20"/>
        <v>#NUM!</v>
      </c>
      <c r="L301" s="189"/>
      <c r="M301" s="191">
        <f t="shared" si="21"/>
        <v>0</v>
      </c>
    </row>
    <row r="302" spans="1:13" x14ac:dyDescent="0.25">
      <c r="A302" s="206"/>
      <c r="G302" s="177"/>
      <c r="H302" s="189">
        <v>297</v>
      </c>
      <c r="I302" s="190" t="str">
        <f t="shared" si="19"/>
        <v/>
      </c>
      <c r="J302" s="190" t="e">
        <f t="shared" si="22"/>
        <v>#NUM!</v>
      </c>
      <c r="K302" s="189" t="e">
        <f t="shared" si="20"/>
        <v>#NUM!</v>
      </c>
      <c r="L302" s="189"/>
      <c r="M302" s="191">
        <f t="shared" si="21"/>
        <v>0</v>
      </c>
    </row>
    <row r="303" spans="1:13" x14ac:dyDescent="0.25">
      <c r="A303" s="206"/>
      <c r="G303" s="177"/>
      <c r="H303" s="189">
        <v>298</v>
      </c>
      <c r="I303" s="190" t="str">
        <f t="shared" si="19"/>
        <v/>
      </c>
      <c r="J303" s="190" t="e">
        <f t="shared" si="22"/>
        <v>#NUM!</v>
      </c>
      <c r="K303" s="189" t="e">
        <f t="shared" si="20"/>
        <v>#NUM!</v>
      </c>
      <c r="L303" s="189"/>
      <c r="M303" s="191">
        <f t="shared" si="21"/>
        <v>0</v>
      </c>
    </row>
    <row r="304" spans="1:13" x14ac:dyDescent="0.25">
      <c r="A304" s="206"/>
      <c r="G304" s="177"/>
      <c r="H304" s="189">
        <v>299</v>
      </c>
      <c r="I304" s="190" t="str">
        <f t="shared" si="19"/>
        <v/>
      </c>
      <c r="J304" s="190" t="e">
        <f t="shared" si="22"/>
        <v>#NUM!</v>
      </c>
      <c r="K304" s="189" t="e">
        <f t="shared" si="20"/>
        <v>#NUM!</v>
      </c>
      <c r="L304" s="189"/>
      <c r="M304" s="191">
        <f t="shared" si="21"/>
        <v>0</v>
      </c>
    </row>
    <row r="305" spans="1:16" x14ac:dyDescent="0.25">
      <c r="A305" s="206"/>
      <c r="G305" s="177"/>
      <c r="H305" s="189">
        <v>300</v>
      </c>
      <c r="I305" s="190" t="str">
        <f t="shared" si="19"/>
        <v/>
      </c>
      <c r="J305" s="190" t="e">
        <f t="shared" si="22"/>
        <v>#NUM!</v>
      </c>
      <c r="K305" s="189" t="e">
        <f t="shared" si="20"/>
        <v>#NUM!</v>
      </c>
      <c r="L305" s="189"/>
      <c r="M305" s="191">
        <f t="shared" si="21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55A3C510-74C3-4A83-9F24-D9D9EE4212E9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A765-3697-421B-94E4-3E40E6E55E88}">
  <sheetPr>
    <tabColor rgb="FF92D050"/>
  </sheetPr>
  <dimension ref="A1:AL374"/>
  <sheetViews>
    <sheetView zoomScaleNormal="100" workbookViewId="0">
      <selection activeCell="F19" sqref="F19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26</v>
      </c>
      <c r="I1" s="179" t="s">
        <v>27</v>
      </c>
      <c r="J1" s="179" t="s">
        <v>28</v>
      </c>
      <c r="K1" s="180" t="s">
        <v>124</v>
      </c>
      <c r="L1" s="181"/>
      <c r="M1" s="181"/>
    </row>
    <row r="2" spans="1:36" x14ac:dyDescent="0.25">
      <c r="A2" s="177"/>
      <c r="B2" s="22" t="s">
        <v>30</v>
      </c>
      <c r="C2" s="135" t="s">
        <v>127</v>
      </c>
      <c r="D2" s="75"/>
      <c r="E2" s="23"/>
      <c r="F2" s="23"/>
      <c r="G2" s="23"/>
      <c r="H2" s="183">
        <v>0</v>
      </c>
      <c r="I2" s="184">
        <v>50</v>
      </c>
      <c r="J2" s="184">
        <v>10</v>
      </c>
      <c r="K2" s="211">
        <f>3*H2^(1/3)</f>
        <v>0</v>
      </c>
      <c r="L2" s="181"/>
      <c r="M2" s="181"/>
    </row>
    <row r="3" spans="1:36" x14ac:dyDescent="0.25">
      <c r="A3" s="177"/>
      <c r="B3" s="186" t="s">
        <v>32</v>
      </c>
      <c r="C3" s="76" t="s">
        <v>141</v>
      </c>
      <c r="D3" s="76"/>
      <c r="E3" s="28"/>
      <c r="F3" s="28"/>
      <c r="G3" s="28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81"/>
      <c r="I4" s="181"/>
      <c r="J4" s="212"/>
      <c r="K4" s="181"/>
      <c r="L4" s="181"/>
      <c r="M4" s="18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87" t="s">
        <v>40</v>
      </c>
      <c r="I5" s="188" t="s">
        <v>41</v>
      </c>
      <c r="J5" s="213" t="s">
        <v>42</v>
      </c>
      <c r="K5" s="188" t="s">
        <v>43</v>
      </c>
      <c r="L5" s="188" t="s">
        <v>44</v>
      </c>
      <c r="M5" s="187" t="s">
        <v>45</v>
      </c>
    </row>
    <row r="6" spans="1:36" ht="14.45" customHeight="1" x14ac:dyDescent="0.25">
      <c r="A6" s="102">
        <f>M6</f>
        <v>0</v>
      </c>
      <c r="B6" s="36" t="str">
        <f>IF(H6&gt;$H$2,"",(ROW()-5))</f>
        <v/>
      </c>
      <c r="C6" s="37"/>
      <c r="D6" s="37"/>
      <c r="E6" s="37"/>
      <c r="F6" s="37" t="s">
        <v>47</v>
      </c>
      <c r="G6" s="30"/>
      <c r="H6" s="189">
        <v>1</v>
      </c>
      <c r="I6" s="190" t="str">
        <f t="shared" ref="I6:I69" si="0">IF(H6&lt;$H$2+1,($I$2-($I$2-1)*(LOG(H6)/LOG($H$2))),"")</f>
        <v/>
      </c>
      <c r="J6" s="189" t="e">
        <f>INT(LOG($H$2,2))-ROUNDUP(LOG(H6,2),0)+IF(OR($H$2=1,$H$2=2,$H$2=4,$H$2=8,$H$2=16,$H$2=32,$H$2=64,$H$2=128,$H$2=256),0,1)</f>
        <v>#NUM!</v>
      </c>
      <c r="K6" s="189" t="e">
        <f t="shared" ref="K6:K69" si="1">J6*$J$2</f>
        <v>#NUM!</v>
      </c>
      <c r="L6" s="191">
        <f>3*K2</f>
        <v>0</v>
      </c>
      <c r="M6" s="191">
        <f t="shared" ref="M6:M69" si="2">IF(I6&lt;&gt;"",K6+I6+L6,0)</f>
        <v>0</v>
      </c>
    </row>
    <row r="7" spans="1:36" ht="14.45" customHeight="1" x14ac:dyDescent="0.25">
      <c r="A7" s="106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47</v>
      </c>
      <c r="G7" s="30"/>
      <c r="H7" s="192">
        <v>2</v>
      </c>
      <c r="I7" s="193" t="str">
        <f t="shared" si="0"/>
        <v/>
      </c>
      <c r="J7" s="192" t="e">
        <f t="shared" ref="J7:J70" si="5">INT(LOG($H$2,2))-ROUNDUP(LOG(H7,2),0)+IF(OR($H$2=1,$H$2=2,$H$2=4,$H$2=8,$H$2=16,$H$2=32,$H$2=64,$H$2=128,$H$2=256),0,1)</f>
        <v>#NUM!</v>
      </c>
      <c r="K7" s="192" t="e">
        <f t="shared" si="1"/>
        <v>#NUM!</v>
      </c>
      <c r="L7" s="194">
        <f>2*K2</f>
        <v>0</v>
      </c>
      <c r="M7" s="194">
        <f t="shared" si="2"/>
        <v>0</v>
      </c>
    </row>
    <row r="8" spans="1:36" ht="14.45" customHeight="1" x14ac:dyDescent="0.25">
      <c r="A8" s="102">
        <f t="shared" si="3"/>
        <v>0</v>
      </c>
      <c r="B8" s="36" t="str">
        <f t="shared" si="4"/>
        <v/>
      </c>
      <c r="C8" s="37"/>
      <c r="D8" s="37"/>
      <c r="E8" s="37"/>
      <c r="F8" s="37" t="s">
        <v>47</v>
      </c>
      <c r="G8" s="30"/>
      <c r="H8" s="189">
        <v>3</v>
      </c>
      <c r="I8" s="190" t="str">
        <f t="shared" si="0"/>
        <v/>
      </c>
      <c r="J8" s="189" t="e">
        <f t="shared" si="5"/>
        <v>#NUM!</v>
      </c>
      <c r="K8" s="189" t="e">
        <f t="shared" si="1"/>
        <v>#NUM!</v>
      </c>
      <c r="L8" s="191">
        <f>K2</f>
        <v>0</v>
      </c>
      <c r="M8" s="191">
        <f t="shared" si="2"/>
        <v>0</v>
      </c>
    </row>
    <row r="9" spans="1:36" s="182" customFormat="1" ht="14.45" customHeight="1" x14ac:dyDescent="0.25">
      <c r="A9" s="106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192">
        <v>3</v>
      </c>
      <c r="I9" s="193" t="str">
        <f t="shared" si="0"/>
        <v/>
      </c>
      <c r="J9" s="192" t="e">
        <f t="shared" si="5"/>
        <v>#NUM!</v>
      </c>
      <c r="K9" s="192" t="e">
        <f t="shared" si="1"/>
        <v>#NUM!</v>
      </c>
      <c r="L9" s="194">
        <f>K2</f>
        <v>0</v>
      </c>
      <c r="M9" s="194">
        <f t="shared" si="2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53</v>
      </c>
      <c r="AI9" s="182">
        <v>23</v>
      </c>
    </row>
    <row r="10" spans="1:36" ht="14.45" customHeight="1" x14ac:dyDescent="0.25">
      <c r="A10" s="102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189">
        <v>5</v>
      </c>
      <c r="I10" s="190" t="str">
        <f t="shared" si="0"/>
        <v/>
      </c>
      <c r="J10" s="189" t="e">
        <f t="shared" si="5"/>
        <v>#NUM!</v>
      </c>
      <c r="K10" s="189" t="e">
        <f t="shared" si="1"/>
        <v>#NUM!</v>
      </c>
      <c r="L10" s="189"/>
      <c r="M10" s="191">
        <f t="shared" si="2"/>
        <v>0</v>
      </c>
      <c r="V10" s="195"/>
      <c r="Z10" s="196"/>
      <c r="AA10" s="196"/>
      <c r="AG10" s="197"/>
      <c r="AH10" s="182" t="s">
        <v>55</v>
      </c>
      <c r="AI10" s="182">
        <v>45</v>
      </c>
    </row>
    <row r="11" spans="1:36" ht="14.45" customHeight="1" x14ac:dyDescent="0.25">
      <c r="A11" s="106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192">
        <v>6</v>
      </c>
      <c r="I11" s="193" t="str">
        <f t="shared" si="0"/>
        <v/>
      </c>
      <c r="J11" s="192" t="e">
        <f t="shared" si="5"/>
        <v>#NUM!</v>
      </c>
      <c r="K11" s="192" t="e">
        <f t="shared" si="1"/>
        <v>#NUM!</v>
      </c>
      <c r="L11" s="192"/>
      <c r="M11" s="194">
        <f t="shared" si="2"/>
        <v>0</v>
      </c>
      <c r="V11" s="198"/>
      <c r="Z11" s="196"/>
      <c r="AA11" s="196"/>
      <c r="AG11" s="197"/>
      <c r="AH11" s="182" t="s">
        <v>57</v>
      </c>
      <c r="AI11" s="182">
        <v>50</v>
      </c>
    </row>
    <row r="12" spans="1:36" ht="14.45" customHeight="1" x14ac:dyDescent="0.25">
      <c r="A12" s="102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189">
        <v>7</v>
      </c>
      <c r="I12" s="190" t="str">
        <f t="shared" si="0"/>
        <v/>
      </c>
      <c r="J12" s="189" t="e">
        <f t="shared" si="5"/>
        <v>#NUM!</v>
      </c>
      <c r="K12" s="189" t="e">
        <f t="shared" si="1"/>
        <v>#NUM!</v>
      </c>
      <c r="L12" s="189"/>
      <c r="M12" s="191">
        <f t="shared" si="2"/>
        <v>0</v>
      </c>
      <c r="Z12" s="196"/>
      <c r="AA12" s="196"/>
      <c r="AG12" s="197"/>
      <c r="AH12" s="182" t="s">
        <v>58</v>
      </c>
      <c r="AI12" s="182">
        <f>AI11-1</f>
        <v>49</v>
      </c>
    </row>
    <row r="13" spans="1:36" ht="14.45" customHeight="1" x14ac:dyDescent="0.25">
      <c r="A13" s="106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192">
        <v>8</v>
      </c>
      <c r="I13" s="193" t="str">
        <f t="shared" si="0"/>
        <v/>
      </c>
      <c r="J13" s="192" t="e">
        <f t="shared" si="5"/>
        <v>#NUM!</v>
      </c>
      <c r="K13" s="192" t="e">
        <f t="shared" si="1"/>
        <v>#NUM!</v>
      </c>
      <c r="L13" s="192"/>
      <c r="M13" s="194">
        <f t="shared" si="2"/>
        <v>0</v>
      </c>
      <c r="X13" s="195"/>
      <c r="AG13" s="197"/>
      <c r="AH13" s="182" t="s">
        <v>59</v>
      </c>
      <c r="AI13" s="182">
        <f>LOG(AI9)</f>
        <v>1.3617278360175928</v>
      </c>
    </row>
    <row r="14" spans="1:36" x14ac:dyDescent="0.25">
      <c r="A14" s="102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189">
        <v>9</v>
      </c>
      <c r="I14" s="190" t="str">
        <f t="shared" si="0"/>
        <v/>
      </c>
      <c r="J14" s="189" t="e">
        <f t="shared" si="5"/>
        <v>#NUM!</v>
      </c>
      <c r="K14" s="189" t="e">
        <f t="shared" si="1"/>
        <v>#NUM!</v>
      </c>
      <c r="L14" s="189"/>
      <c r="M14" s="191">
        <f t="shared" si="2"/>
        <v>0</v>
      </c>
      <c r="X14" s="199"/>
      <c r="Z14" s="196"/>
      <c r="AA14" s="196"/>
      <c r="AG14" s="197"/>
      <c r="AH14" s="182" t="s">
        <v>65</v>
      </c>
      <c r="AI14" s="182">
        <f>LOG(AI10)</f>
        <v>1.6532125137753437</v>
      </c>
    </row>
    <row r="15" spans="1:36" x14ac:dyDescent="0.25">
      <c r="A15" s="106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192">
        <v>10</v>
      </c>
      <c r="I15" s="193" t="str">
        <f t="shared" si="0"/>
        <v/>
      </c>
      <c r="J15" s="192" t="e">
        <f t="shared" si="5"/>
        <v>#NUM!</v>
      </c>
      <c r="K15" s="192" t="e">
        <f t="shared" si="1"/>
        <v>#NUM!</v>
      </c>
      <c r="L15" s="192"/>
      <c r="M15" s="194">
        <f t="shared" si="2"/>
        <v>0</v>
      </c>
      <c r="X15" s="195"/>
      <c r="Z15" s="196"/>
      <c r="AA15" s="196"/>
    </row>
    <row r="16" spans="1:36" x14ac:dyDescent="0.25">
      <c r="A16" s="102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189">
        <v>11</v>
      </c>
      <c r="I16" s="190" t="str">
        <f t="shared" si="0"/>
        <v/>
      </c>
      <c r="J16" s="189" t="e">
        <f t="shared" si="5"/>
        <v>#NUM!</v>
      </c>
      <c r="K16" s="189" t="e">
        <f t="shared" si="1"/>
        <v>#NUM!</v>
      </c>
      <c r="L16" s="189"/>
      <c r="M16" s="191">
        <f t="shared" si="2"/>
        <v>0</v>
      </c>
      <c r="R16" s="200"/>
      <c r="Z16" s="196"/>
      <c r="AA16" s="196"/>
      <c r="AH16" s="201" t="s">
        <v>61</v>
      </c>
      <c r="AI16" s="182">
        <f>AI11-AI12*AI13/AI14</f>
        <v>9.6393909380186855</v>
      </c>
      <c r="AJ16" s="182" t="s">
        <v>62</v>
      </c>
    </row>
    <row r="17" spans="1:19" x14ac:dyDescent="0.25">
      <c r="A17" s="106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192">
        <v>12</v>
      </c>
      <c r="I17" s="193" t="str">
        <f t="shared" si="0"/>
        <v/>
      </c>
      <c r="J17" s="192" t="e">
        <f t="shared" si="5"/>
        <v>#NUM!</v>
      </c>
      <c r="K17" s="192" t="e">
        <f t="shared" si="1"/>
        <v>#NUM!</v>
      </c>
      <c r="L17" s="192"/>
      <c r="M17" s="194">
        <f t="shared" si="2"/>
        <v>0</v>
      </c>
    </row>
    <row r="18" spans="1:19" x14ac:dyDescent="0.25">
      <c r="A18" s="102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189">
        <v>13</v>
      </c>
      <c r="I18" s="190" t="str">
        <f t="shared" si="0"/>
        <v/>
      </c>
      <c r="J18" s="189" t="e">
        <f t="shared" si="5"/>
        <v>#NUM!</v>
      </c>
      <c r="K18" s="189" t="e">
        <f t="shared" si="1"/>
        <v>#NUM!</v>
      </c>
      <c r="L18" s="189"/>
      <c r="M18" s="191">
        <f t="shared" si="2"/>
        <v>0</v>
      </c>
    </row>
    <row r="19" spans="1:19" x14ac:dyDescent="0.25">
      <c r="A19" s="106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192">
        <v>14</v>
      </c>
      <c r="I19" s="193" t="str">
        <f t="shared" si="0"/>
        <v/>
      </c>
      <c r="J19" s="192" t="e">
        <f t="shared" si="5"/>
        <v>#NUM!</v>
      </c>
      <c r="K19" s="192" t="e">
        <f t="shared" si="1"/>
        <v>#NUM!</v>
      </c>
      <c r="L19" s="192"/>
      <c r="M19" s="194">
        <f t="shared" si="2"/>
        <v>0</v>
      </c>
    </row>
    <row r="20" spans="1:19" x14ac:dyDescent="0.25">
      <c r="A20" s="102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189">
        <v>15</v>
      </c>
      <c r="I20" s="190" t="str">
        <f t="shared" si="0"/>
        <v/>
      </c>
      <c r="J20" s="189" t="e">
        <f t="shared" si="5"/>
        <v>#NUM!</v>
      </c>
      <c r="K20" s="189" t="e">
        <f t="shared" si="1"/>
        <v>#NUM!</v>
      </c>
      <c r="L20" s="189"/>
      <c r="M20" s="191">
        <f t="shared" si="2"/>
        <v>0</v>
      </c>
      <c r="R20" s="202"/>
      <c r="S20" s="203"/>
    </row>
    <row r="21" spans="1:19" x14ac:dyDescent="0.25">
      <c r="A21" s="106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192">
        <v>16</v>
      </c>
      <c r="I21" s="193" t="str">
        <f t="shared" si="0"/>
        <v/>
      </c>
      <c r="J21" s="192" t="e">
        <f t="shared" si="5"/>
        <v>#NUM!</v>
      </c>
      <c r="K21" s="192" t="e">
        <f t="shared" si="1"/>
        <v>#NUM!</v>
      </c>
      <c r="L21" s="192"/>
      <c r="M21" s="194">
        <f t="shared" si="2"/>
        <v>0</v>
      </c>
    </row>
    <row r="22" spans="1:19" x14ac:dyDescent="0.25">
      <c r="A22" s="102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189">
        <v>17</v>
      </c>
      <c r="I22" s="190" t="str">
        <f t="shared" si="0"/>
        <v/>
      </c>
      <c r="J22" s="189" t="e">
        <f t="shared" si="5"/>
        <v>#NUM!</v>
      </c>
      <c r="K22" s="189" t="e">
        <f t="shared" si="1"/>
        <v>#NUM!</v>
      </c>
      <c r="L22" s="189"/>
      <c r="M22" s="191">
        <f t="shared" si="2"/>
        <v>0</v>
      </c>
    </row>
    <row r="23" spans="1:19" x14ac:dyDescent="0.25">
      <c r="A23" s="106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192">
        <v>18</v>
      </c>
      <c r="I23" s="193" t="str">
        <f t="shared" si="0"/>
        <v/>
      </c>
      <c r="J23" s="192" t="e">
        <f t="shared" si="5"/>
        <v>#NUM!</v>
      </c>
      <c r="K23" s="192" t="e">
        <f t="shared" si="1"/>
        <v>#NUM!</v>
      </c>
      <c r="L23" s="192"/>
      <c r="M23" s="194">
        <f t="shared" si="2"/>
        <v>0</v>
      </c>
    </row>
    <row r="24" spans="1:19" x14ac:dyDescent="0.25">
      <c r="A24" s="102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189">
        <v>19</v>
      </c>
      <c r="I24" s="190" t="str">
        <f t="shared" si="0"/>
        <v/>
      </c>
      <c r="J24" s="189" t="e">
        <f t="shared" si="5"/>
        <v>#NUM!</v>
      </c>
      <c r="K24" s="189" t="e">
        <f t="shared" si="1"/>
        <v>#NUM!</v>
      </c>
      <c r="L24" s="189"/>
      <c r="M24" s="191">
        <f t="shared" si="2"/>
        <v>0</v>
      </c>
      <c r="R24" s="202"/>
      <c r="S24" s="203"/>
    </row>
    <row r="25" spans="1:19" x14ac:dyDescent="0.25">
      <c r="A25" s="106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192">
        <v>20</v>
      </c>
      <c r="I25" s="193" t="str">
        <f t="shared" si="0"/>
        <v/>
      </c>
      <c r="J25" s="192" t="e">
        <f t="shared" si="5"/>
        <v>#NUM!</v>
      </c>
      <c r="K25" s="192" t="e">
        <f t="shared" si="1"/>
        <v>#NUM!</v>
      </c>
      <c r="L25" s="192"/>
      <c r="M25" s="194">
        <f t="shared" si="2"/>
        <v>0</v>
      </c>
    </row>
    <row r="26" spans="1:19" x14ac:dyDescent="0.25">
      <c r="A26" s="102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189">
        <v>21</v>
      </c>
      <c r="I26" s="190" t="str">
        <f t="shared" si="0"/>
        <v/>
      </c>
      <c r="J26" s="189" t="e">
        <f t="shared" si="5"/>
        <v>#NUM!</v>
      </c>
      <c r="K26" s="189" t="e">
        <f t="shared" si="1"/>
        <v>#NUM!</v>
      </c>
      <c r="L26" s="189"/>
      <c r="M26" s="191">
        <f t="shared" si="2"/>
        <v>0</v>
      </c>
    </row>
    <row r="27" spans="1:19" x14ac:dyDescent="0.25">
      <c r="A27" s="106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192">
        <v>22</v>
      </c>
      <c r="I27" s="193" t="str">
        <f t="shared" si="0"/>
        <v/>
      </c>
      <c r="J27" s="192" t="e">
        <f t="shared" si="5"/>
        <v>#NUM!</v>
      </c>
      <c r="K27" s="192" t="e">
        <f t="shared" si="1"/>
        <v>#NUM!</v>
      </c>
      <c r="L27" s="192"/>
      <c r="M27" s="194">
        <f t="shared" si="2"/>
        <v>0</v>
      </c>
    </row>
    <row r="28" spans="1:19" x14ac:dyDescent="0.25">
      <c r="A28" s="102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189">
        <v>23</v>
      </c>
      <c r="I28" s="190" t="str">
        <f t="shared" si="0"/>
        <v/>
      </c>
      <c r="J28" s="189" t="e">
        <f t="shared" si="5"/>
        <v>#NUM!</v>
      </c>
      <c r="K28" s="189" t="e">
        <f t="shared" si="1"/>
        <v>#NUM!</v>
      </c>
      <c r="L28" s="189"/>
      <c r="M28" s="191">
        <f t="shared" si="2"/>
        <v>0</v>
      </c>
      <c r="R28" s="202"/>
      <c r="S28" s="203"/>
    </row>
    <row r="29" spans="1:19" x14ac:dyDescent="0.25">
      <c r="A29" s="106">
        <f t="shared" si="3"/>
        <v>0</v>
      </c>
      <c r="B29" s="42" t="str">
        <f t="shared" si="4"/>
        <v/>
      </c>
      <c r="C29" s="43"/>
      <c r="D29" s="43"/>
      <c r="E29" s="43"/>
      <c r="F29" s="43"/>
      <c r="G29" s="177"/>
      <c r="H29" s="192">
        <v>24</v>
      </c>
      <c r="I29" s="193" t="str">
        <f t="shared" si="0"/>
        <v/>
      </c>
      <c r="J29" s="192" t="e">
        <f t="shared" si="5"/>
        <v>#NUM!</v>
      </c>
      <c r="K29" s="192" t="e">
        <f t="shared" si="1"/>
        <v>#NUM!</v>
      </c>
      <c r="L29" s="192"/>
      <c r="M29" s="194">
        <f t="shared" si="2"/>
        <v>0</v>
      </c>
    </row>
    <row r="30" spans="1:19" x14ac:dyDescent="0.25">
      <c r="A30" s="102">
        <f t="shared" si="3"/>
        <v>0</v>
      </c>
      <c r="B30" s="36" t="str">
        <f t="shared" si="4"/>
        <v/>
      </c>
      <c r="C30" s="37"/>
      <c r="D30" s="37"/>
      <c r="E30" s="37"/>
      <c r="F30" s="37"/>
      <c r="G30" s="177"/>
      <c r="H30" s="189">
        <v>25</v>
      </c>
      <c r="I30" s="190" t="str">
        <f t="shared" si="0"/>
        <v/>
      </c>
      <c r="J30" s="189" t="e">
        <f t="shared" si="5"/>
        <v>#NUM!</v>
      </c>
      <c r="K30" s="189" t="e">
        <f t="shared" si="1"/>
        <v>#NUM!</v>
      </c>
      <c r="L30" s="189"/>
      <c r="M30" s="191">
        <f t="shared" si="2"/>
        <v>0</v>
      </c>
    </row>
    <row r="31" spans="1:19" x14ac:dyDescent="0.25">
      <c r="A31" s="106">
        <f t="shared" si="3"/>
        <v>0</v>
      </c>
      <c r="B31" s="42" t="str">
        <f t="shared" si="4"/>
        <v/>
      </c>
      <c r="C31" s="43"/>
      <c r="D31" s="43"/>
      <c r="E31" s="43"/>
      <c r="F31" s="43"/>
      <c r="G31" s="177"/>
      <c r="H31" s="192">
        <v>26</v>
      </c>
      <c r="I31" s="193" t="str">
        <f t="shared" si="0"/>
        <v/>
      </c>
      <c r="J31" s="192" t="e">
        <f t="shared" si="5"/>
        <v>#NUM!</v>
      </c>
      <c r="K31" s="192" t="e">
        <f t="shared" si="1"/>
        <v>#NUM!</v>
      </c>
      <c r="L31" s="192"/>
      <c r="M31" s="194">
        <f t="shared" si="2"/>
        <v>0</v>
      </c>
    </row>
    <row r="32" spans="1:19" x14ac:dyDescent="0.25">
      <c r="A32" s="102">
        <f t="shared" si="3"/>
        <v>0</v>
      </c>
      <c r="B32" s="36" t="str">
        <f t="shared" si="4"/>
        <v/>
      </c>
      <c r="C32" s="37"/>
      <c r="D32" s="37"/>
      <c r="E32" s="37"/>
      <c r="F32" s="37"/>
      <c r="G32" s="177"/>
      <c r="H32" s="189">
        <v>27</v>
      </c>
      <c r="I32" s="190" t="str">
        <f t="shared" si="0"/>
        <v/>
      </c>
      <c r="J32" s="189" t="e">
        <f t="shared" si="5"/>
        <v>#NUM!</v>
      </c>
      <c r="K32" s="189" t="e">
        <f t="shared" si="1"/>
        <v>#NUM!</v>
      </c>
      <c r="L32" s="189"/>
      <c r="M32" s="191">
        <f t="shared" si="2"/>
        <v>0</v>
      </c>
      <c r="R32" s="202"/>
      <c r="S32" s="203"/>
    </row>
    <row r="33" spans="1:21" x14ac:dyDescent="0.25">
      <c r="A33" s="106">
        <f t="shared" si="3"/>
        <v>0</v>
      </c>
      <c r="B33" s="42" t="str">
        <f t="shared" si="4"/>
        <v/>
      </c>
      <c r="C33" s="43"/>
      <c r="D33" s="43"/>
      <c r="E33" s="43"/>
      <c r="F33" s="43"/>
      <c r="G33" s="177"/>
      <c r="H33" s="192">
        <v>28</v>
      </c>
      <c r="I33" s="193" t="str">
        <f t="shared" si="0"/>
        <v/>
      </c>
      <c r="J33" s="192" t="e">
        <f t="shared" si="5"/>
        <v>#NUM!</v>
      </c>
      <c r="K33" s="192" t="e">
        <f t="shared" si="1"/>
        <v>#NUM!</v>
      </c>
      <c r="L33" s="192"/>
      <c r="M33" s="194">
        <f t="shared" si="2"/>
        <v>0</v>
      </c>
    </row>
    <row r="34" spans="1:21" x14ac:dyDescent="0.25">
      <c r="A34" s="102">
        <f t="shared" si="3"/>
        <v>0</v>
      </c>
      <c r="B34" s="36" t="str">
        <f t="shared" si="4"/>
        <v/>
      </c>
      <c r="C34" s="37"/>
      <c r="D34" s="37"/>
      <c r="E34" s="37"/>
      <c r="F34" s="37"/>
      <c r="G34" s="177"/>
      <c r="H34" s="189">
        <v>29</v>
      </c>
      <c r="I34" s="190" t="str">
        <f t="shared" si="0"/>
        <v/>
      </c>
      <c r="J34" s="189" t="e">
        <f t="shared" si="5"/>
        <v>#NUM!</v>
      </c>
      <c r="K34" s="189" t="e">
        <f t="shared" si="1"/>
        <v>#NUM!</v>
      </c>
      <c r="L34" s="189"/>
      <c r="M34" s="191">
        <f t="shared" si="2"/>
        <v>0</v>
      </c>
    </row>
    <row r="35" spans="1:21" x14ac:dyDescent="0.25">
      <c r="A35" s="106">
        <f t="shared" si="3"/>
        <v>0</v>
      </c>
      <c r="B35" s="42" t="str">
        <f t="shared" si="4"/>
        <v/>
      </c>
      <c r="C35" s="43"/>
      <c r="D35" s="43"/>
      <c r="E35" s="43"/>
      <c r="F35" s="43"/>
      <c r="G35" s="177"/>
      <c r="H35" s="192">
        <v>30</v>
      </c>
      <c r="I35" s="193" t="str">
        <f t="shared" si="0"/>
        <v/>
      </c>
      <c r="J35" s="192" t="e">
        <f t="shared" si="5"/>
        <v>#NUM!</v>
      </c>
      <c r="K35" s="192" t="e">
        <f t="shared" si="1"/>
        <v>#NUM!</v>
      </c>
      <c r="L35" s="192"/>
      <c r="M35" s="194">
        <f t="shared" si="2"/>
        <v>0</v>
      </c>
    </row>
    <row r="36" spans="1:21" x14ac:dyDescent="0.25">
      <c r="A36" s="102">
        <f t="shared" si="3"/>
        <v>0</v>
      </c>
      <c r="B36" s="36" t="str">
        <f t="shared" si="4"/>
        <v/>
      </c>
      <c r="C36" s="37"/>
      <c r="D36" s="37"/>
      <c r="E36" s="37"/>
      <c r="F36" s="37"/>
      <c r="G36" s="177"/>
      <c r="H36" s="189">
        <v>31</v>
      </c>
      <c r="I36" s="190" t="str">
        <f t="shared" si="0"/>
        <v/>
      </c>
      <c r="J36" s="189" t="e">
        <f t="shared" si="5"/>
        <v>#NUM!</v>
      </c>
      <c r="K36" s="189" t="e">
        <f t="shared" si="1"/>
        <v>#NUM!</v>
      </c>
      <c r="L36" s="189"/>
      <c r="M36" s="191">
        <f t="shared" si="2"/>
        <v>0</v>
      </c>
      <c r="R36" s="202"/>
      <c r="S36" s="203"/>
    </row>
    <row r="37" spans="1:21" x14ac:dyDescent="0.25">
      <c r="A37" s="106">
        <f t="shared" si="3"/>
        <v>0</v>
      </c>
      <c r="B37" s="42" t="str">
        <f t="shared" si="4"/>
        <v/>
      </c>
      <c r="C37" s="43"/>
      <c r="D37" s="43"/>
      <c r="E37" s="43"/>
      <c r="F37" s="43"/>
      <c r="G37" s="177"/>
      <c r="H37" s="192">
        <v>32</v>
      </c>
      <c r="I37" s="193" t="str">
        <f t="shared" si="0"/>
        <v/>
      </c>
      <c r="J37" s="192" t="e">
        <f t="shared" si="5"/>
        <v>#NUM!</v>
      </c>
      <c r="K37" s="192" t="e">
        <f t="shared" si="1"/>
        <v>#NUM!</v>
      </c>
      <c r="L37" s="192"/>
      <c r="M37" s="194">
        <f t="shared" si="2"/>
        <v>0</v>
      </c>
    </row>
    <row r="38" spans="1:21" x14ac:dyDescent="0.25">
      <c r="A38" s="102"/>
      <c r="B38" s="36" t="str">
        <f t="shared" si="4"/>
        <v/>
      </c>
      <c r="C38" s="37"/>
      <c r="D38" s="37"/>
      <c r="E38" s="37"/>
      <c r="F38" s="37"/>
      <c r="G38" s="177"/>
      <c r="H38" s="189">
        <v>33</v>
      </c>
      <c r="I38" s="190" t="str">
        <f t="shared" si="0"/>
        <v/>
      </c>
      <c r="J38" s="189" t="e">
        <f t="shared" si="5"/>
        <v>#NUM!</v>
      </c>
      <c r="K38" s="189" t="e">
        <f t="shared" si="1"/>
        <v>#NUM!</v>
      </c>
      <c r="L38" s="189"/>
      <c r="M38" s="191">
        <f t="shared" si="2"/>
        <v>0</v>
      </c>
    </row>
    <row r="39" spans="1:21" x14ac:dyDescent="0.25">
      <c r="A39" s="106"/>
      <c r="B39" s="42" t="str">
        <f t="shared" si="4"/>
        <v/>
      </c>
      <c r="C39" s="43"/>
      <c r="D39" s="43"/>
      <c r="E39" s="43"/>
      <c r="F39" s="43"/>
      <c r="G39" s="177"/>
      <c r="H39" s="192">
        <v>34</v>
      </c>
      <c r="I39" s="193" t="str">
        <f t="shared" si="0"/>
        <v/>
      </c>
      <c r="J39" s="192" t="e">
        <f t="shared" si="5"/>
        <v>#NUM!</v>
      </c>
      <c r="K39" s="192" t="e">
        <f t="shared" si="1"/>
        <v>#NUM!</v>
      </c>
      <c r="L39" s="192"/>
      <c r="M39" s="194">
        <f t="shared" si="2"/>
        <v>0</v>
      </c>
    </row>
    <row r="40" spans="1:21" x14ac:dyDescent="0.25">
      <c r="A40" s="102"/>
      <c r="B40" s="36" t="str">
        <f t="shared" si="4"/>
        <v/>
      </c>
      <c r="C40" s="37"/>
      <c r="D40" s="37"/>
      <c r="E40" s="37"/>
      <c r="F40" s="37"/>
      <c r="G40" s="177"/>
      <c r="H40" s="189">
        <v>35</v>
      </c>
      <c r="I40" s="190" t="str">
        <f t="shared" si="0"/>
        <v/>
      </c>
      <c r="J40" s="189" t="e">
        <f t="shared" si="5"/>
        <v>#NUM!</v>
      </c>
      <c r="K40" s="189" t="e">
        <f t="shared" si="1"/>
        <v>#NUM!</v>
      </c>
      <c r="L40" s="189"/>
      <c r="M40" s="191">
        <f t="shared" si="2"/>
        <v>0</v>
      </c>
    </row>
    <row r="41" spans="1:21" x14ac:dyDescent="0.25">
      <c r="A41" s="106"/>
      <c r="B41" s="42" t="str">
        <f t="shared" si="4"/>
        <v/>
      </c>
      <c r="C41" s="43"/>
      <c r="D41" s="43"/>
      <c r="E41" s="43"/>
      <c r="F41" s="43"/>
      <c r="G41" s="177"/>
      <c r="H41" s="192">
        <v>36</v>
      </c>
      <c r="I41" s="193" t="str">
        <f t="shared" si="0"/>
        <v/>
      </c>
      <c r="J41" s="192" t="e">
        <f t="shared" si="5"/>
        <v>#NUM!</v>
      </c>
      <c r="K41" s="192" t="e">
        <f t="shared" si="1"/>
        <v>#NUM!</v>
      </c>
      <c r="L41" s="192"/>
      <c r="M41" s="194">
        <f t="shared" si="2"/>
        <v>0</v>
      </c>
      <c r="S41" s="204"/>
    </row>
    <row r="42" spans="1:21" x14ac:dyDescent="0.25">
      <c r="A42" s="102"/>
      <c r="B42" s="36" t="str">
        <f t="shared" si="4"/>
        <v/>
      </c>
      <c r="C42" s="37"/>
      <c r="D42" s="37"/>
      <c r="E42" s="37"/>
      <c r="F42" s="37"/>
      <c r="G42" s="177"/>
      <c r="H42" s="189">
        <v>37</v>
      </c>
      <c r="I42" s="190" t="str">
        <f t="shared" si="0"/>
        <v/>
      </c>
      <c r="J42" s="189" t="e">
        <f t="shared" si="5"/>
        <v>#NUM!</v>
      </c>
      <c r="K42" s="189" t="e">
        <f t="shared" si="1"/>
        <v>#NUM!</v>
      </c>
      <c r="L42" s="189"/>
      <c r="M42" s="191">
        <f t="shared" si="2"/>
        <v>0</v>
      </c>
    </row>
    <row r="43" spans="1:21" x14ac:dyDescent="0.25">
      <c r="A43" s="106"/>
      <c r="B43" s="42" t="str">
        <f t="shared" si="4"/>
        <v/>
      </c>
      <c r="C43" s="43"/>
      <c r="D43" s="43"/>
      <c r="E43" s="43"/>
      <c r="F43" s="43"/>
      <c r="G43" s="177"/>
      <c r="H43" s="192">
        <v>38</v>
      </c>
      <c r="I43" s="193" t="str">
        <f t="shared" si="0"/>
        <v/>
      </c>
      <c r="J43" s="192" t="e">
        <f t="shared" si="5"/>
        <v>#NUM!</v>
      </c>
      <c r="K43" s="192" t="e">
        <f t="shared" si="1"/>
        <v>#NUM!</v>
      </c>
      <c r="L43" s="192"/>
      <c r="M43" s="194">
        <f t="shared" si="2"/>
        <v>0</v>
      </c>
    </row>
    <row r="44" spans="1:21" x14ac:dyDescent="0.25">
      <c r="A44" s="102"/>
      <c r="B44" s="36" t="str">
        <f t="shared" si="4"/>
        <v/>
      </c>
      <c r="C44" s="37"/>
      <c r="D44" s="37"/>
      <c r="E44" s="37"/>
      <c r="F44" s="37"/>
      <c r="G44" s="177"/>
      <c r="H44" s="189">
        <v>39</v>
      </c>
      <c r="I44" s="190" t="str">
        <f t="shared" si="0"/>
        <v/>
      </c>
      <c r="J44" s="189" t="e">
        <f t="shared" si="5"/>
        <v>#NUM!</v>
      </c>
      <c r="K44" s="189" t="e">
        <f t="shared" si="1"/>
        <v>#NUM!</v>
      </c>
      <c r="L44" s="189"/>
      <c r="M44" s="191">
        <f t="shared" si="2"/>
        <v>0</v>
      </c>
    </row>
    <row r="45" spans="1:21" x14ac:dyDescent="0.25">
      <c r="A45" s="106"/>
      <c r="B45" s="42" t="str">
        <f t="shared" si="4"/>
        <v/>
      </c>
      <c r="C45" s="43"/>
      <c r="D45" s="43"/>
      <c r="E45" s="43"/>
      <c r="F45" s="43"/>
      <c r="G45" s="177"/>
      <c r="H45" s="192">
        <v>40</v>
      </c>
      <c r="I45" s="193" t="str">
        <f t="shared" si="0"/>
        <v/>
      </c>
      <c r="J45" s="192" t="e">
        <f t="shared" si="5"/>
        <v>#NUM!</v>
      </c>
      <c r="K45" s="192" t="e">
        <f t="shared" si="1"/>
        <v>#NUM!</v>
      </c>
      <c r="L45" s="192"/>
      <c r="M45" s="194">
        <f t="shared" si="2"/>
        <v>0</v>
      </c>
    </row>
    <row r="46" spans="1:21" x14ac:dyDescent="0.25">
      <c r="A46" s="102"/>
      <c r="B46" s="36" t="str">
        <f t="shared" si="4"/>
        <v/>
      </c>
      <c r="C46" s="37"/>
      <c r="D46" s="37"/>
      <c r="E46" s="37"/>
      <c r="F46" s="37"/>
      <c r="G46" s="177"/>
      <c r="H46" s="189">
        <v>41</v>
      </c>
      <c r="I46" s="190" t="str">
        <f t="shared" si="0"/>
        <v/>
      </c>
      <c r="J46" s="189" t="e">
        <f t="shared" si="5"/>
        <v>#NUM!</v>
      </c>
      <c r="K46" s="189" t="e">
        <f t="shared" si="1"/>
        <v>#NUM!</v>
      </c>
      <c r="L46" s="189"/>
      <c r="M46" s="191">
        <f t="shared" si="2"/>
        <v>0</v>
      </c>
      <c r="R46" s="177" t="e">
        <f>LOG($H$2,2)</f>
        <v>#NUM!</v>
      </c>
      <c r="T46" s="182">
        <f>LOG(H38,2)</f>
        <v>5.0443941193584534</v>
      </c>
      <c r="U46" s="182" t="e">
        <f>R46-T46</f>
        <v>#NUM!</v>
      </c>
    </row>
    <row r="47" spans="1:21" x14ac:dyDescent="0.25">
      <c r="A47" s="106"/>
      <c r="B47" s="42" t="str">
        <f t="shared" si="4"/>
        <v/>
      </c>
      <c r="C47" s="43"/>
      <c r="D47" s="43"/>
      <c r="E47" s="43"/>
      <c r="F47" s="43"/>
      <c r="G47" s="177"/>
      <c r="H47" s="192">
        <v>42</v>
      </c>
      <c r="I47" s="193" t="str">
        <f t="shared" si="0"/>
        <v/>
      </c>
      <c r="J47" s="192" t="e">
        <f t="shared" si="5"/>
        <v>#NUM!</v>
      </c>
      <c r="K47" s="192" t="e">
        <f t="shared" si="1"/>
        <v>#NUM!</v>
      </c>
      <c r="L47" s="192"/>
      <c r="M47" s="194">
        <f t="shared" si="2"/>
        <v>0</v>
      </c>
    </row>
    <row r="48" spans="1:21" x14ac:dyDescent="0.25">
      <c r="A48" s="102"/>
      <c r="B48" s="36" t="str">
        <f t="shared" si="4"/>
        <v/>
      </c>
      <c r="C48" s="37"/>
      <c r="D48" s="37"/>
      <c r="E48" s="37"/>
      <c r="F48" s="37"/>
      <c r="G48" s="177"/>
      <c r="H48" s="189">
        <v>43</v>
      </c>
      <c r="I48" s="190" t="str">
        <f t="shared" si="0"/>
        <v/>
      </c>
      <c r="J48" s="189" t="e">
        <f t="shared" si="5"/>
        <v>#NUM!</v>
      </c>
      <c r="K48" s="189" t="e">
        <f t="shared" si="1"/>
        <v>#NUM!</v>
      </c>
      <c r="L48" s="189"/>
      <c r="M48" s="191">
        <f t="shared" si="2"/>
        <v>0</v>
      </c>
    </row>
    <row r="49" spans="1:13" x14ac:dyDescent="0.25">
      <c r="A49" s="106"/>
      <c r="B49" s="42" t="str">
        <f t="shared" si="4"/>
        <v/>
      </c>
      <c r="C49" s="43"/>
      <c r="D49" s="43"/>
      <c r="E49" s="43"/>
      <c r="F49" s="43"/>
      <c r="G49" s="177"/>
      <c r="H49" s="192">
        <v>44</v>
      </c>
      <c r="I49" s="193" t="str">
        <f t="shared" si="0"/>
        <v/>
      </c>
      <c r="J49" s="192" t="e">
        <f t="shared" si="5"/>
        <v>#NUM!</v>
      </c>
      <c r="K49" s="192" t="e">
        <f t="shared" si="1"/>
        <v>#NUM!</v>
      </c>
      <c r="L49" s="192"/>
      <c r="M49" s="194">
        <f t="shared" si="2"/>
        <v>0</v>
      </c>
    </row>
    <row r="50" spans="1:13" x14ac:dyDescent="0.25">
      <c r="A50" s="102"/>
      <c r="B50" s="36" t="str">
        <f t="shared" si="4"/>
        <v/>
      </c>
      <c r="C50" s="37"/>
      <c r="D50" s="37"/>
      <c r="E50" s="37"/>
      <c r="F50" s="37"/>
      <c r="G50" s="177"/>
      <c r="H50" s="189">
        <v>45</v>
      </c>
      <c r="I50" s="190" t="str">
        <f t="shared" si="0"/>
        <v/>
      </c>
      <c r="J50" s="189" t="e">
        <f t="shared" si="5"/>
        <v>#NUM!</v>
      </c>
      <c r="K50" s="189" t="e">
        <f t="shared" si="1"/>
        <v>#NUM!</v>
      </c>
      <c r="L50" s="189"/>
      <c r="M50" s="191">
        <f t="shared" si="2"/>
        <v>0</v>
      </c>
    </row>
    <row r="51" spans="1:13" x14ac:dyDescent="0.25">
      <c r="A51" s="106"/>
      <c r="B51" s="42" t="str">
        <f t="shared" si="4"/>
        <v/>
      </c>
      <c r="C51" s="43"/>
      <c r="D51" s="43"/>
      <c r="E51" s="43"/>
      <c r="F51" s="43"/>
      <c r="G51" s="177"/>
      <c r="H51" s="192">
        <v>46</v>
      </c>
      <c r="I51" s="193" t="str">
        <f t="shared" si="0"/>
        <v/>
      </c>
      <c r="J51" s="192" t="e">
        <f t="shared" si="5"/>
        <v>#NUM!</v>
      </c>
      <c r="K51" s="192" t="e">
        <f t="shared" si="1"/>
        <v>#NUM!</v>
      </c>
      <c r="L51" s="192"/>
      <c r="M51" s="194">
        <f t="shared" si="2"/>
        <v>0</v>
      </c>
    </row>
    <row r="52" spans="1:13" x14ac:dyDescent="0.25">
      <c r="A52" s="102"/>
      <c r="B52" s="36" t="str">
        <f t="shared" si="4"/>
        <v/>
      </c>
      <c r="C52" s="37"/>
      <c r="D52" s="37"/>
      <c r="E52" s="37"/>
      <c r="F52" s="37"/>
      <c r="G52" s="177"/>
      <c r="H52" s="189">
        <v>47</v>
      </c>
      <c r="I52" s="190" t="str">
        <f t="shared" si="0"/>
        <v/>
      </c>
      <c r="J52" s="189" t="e">
        <f t="shared" si="5"/>
        <v>#NUM!</v>
      </c>
      <c r="K52" s="189" t="e">
        <f t="shared" si="1"/>
        <v>#NUM!</v>
      </c>
      <c r="L52" s="189"/>
      <c r="M52" s="191">
        <f t="shared" si="2"/>
        <v>0</v>
      </c>
    </row>
    <row r="53" spans="1:13" x14ac:dyDescent="0.25">
      <c r="A53" s="106"/>
      <c r="B53" s="42" t="str">
        <f t="shared" si="4"/>
        <v/>
      </c>
      <c r="C53" s="43"/>
      <c r="D53" s="43"/>
      <c r="E53" s="43"/>
      <c r="F53" s="43"/>
      <c r="G53" s="177"/>
      <c r="H53" s="192">
        <v>48</v>
      </c>
      <c r="I53" s="193" t="str">
        <f t="shared" si="0"/>
        <v/>
      </c>
      <c r="J53" s="192" t="e">
        <f t="shared" si="5"/>
        <v>#NUM!</v>
      </c>
      <c r="K53" s="192" t="e">
        <f t="shared" si="1"/>
        <v>#NUM!</v>
      </c>
      <c r="L53" s="192"/>
      <c r="M53" s="194">
        <f t="shared" si="2"/>
        <v>0</v>
      </c>
    </row>
    <row r="54" spans="1:13" x14ac:dyDescent="0.25">
      <c r="A54" s="102"/>
      <c r="B54" s="36" t="str">
        <f t="shared" si="4"/>
        <v/>
      </c>
      <c r="C54" s="37"/>
      <c r="D54" s="37"/>
      <c r="E54" s="37"/>
      <c r="F54" s="37"/>
      <c r="G54" s="177"/>
      <c r="H54" s="189">
        <v>49</v>
      </c>
      <c r="I54" s="190" t="str">
        <f t="shared" si="0"/>
        <v/>
      </c>
      <c r="J54" s="189" t="e">
        <f t="shared" si="5"/>
        <v>#NUM!</v>
      </c>
      <c r="K54" s="189" t="e">
        <f t="shared" si="1"/>
        <v>#NUM!</v>
      </c>
      <c r="L54" s="189"/>
      <c r="M54" s="191">
        <f t="shared" si="2"/>
        <v>0</v>
      </c>
    </row>
    <row r="55" spans="1:13" x14ac:dyDescent="0.25">
      <c r="A55" s="106"/>
      <c r="B55" s="42" t="str">
        <f t="shared" si="4"/>
        <v/>
      </c>
      <c r="C55" s="43"/>
      <c r="D55" s="43"/>
      <c r="E55" s="43"/>
      <c r="F55" s="43"/>
      <c r="G55" s="177"/>
      <c r="H55" s="192">
        <v>50</v>
      </c>
      <c r="I55" s="193" t="str">
        <f t="shared" si="0"/>
        <v/>
      </c>
      <c r="J55" s="192" t="e">
        <f t="shared" si="5"/>
        <v>#NUM!</v>
      </c>
      <c r="K55" s="192" t="e">
        <f t="shared" si="1"/>
        <v>#NUM!</v>
      </c>
      <c r="L55" s="192"/>
      <c r="M55" s="194">
        <f t="shared" si="2"/>
        <v>0</v>
      </c>
    </row>
    <row r="56" spans="1:13" x14ac:dyDescent="0.25">
      <c r="A56" s="102"/>
      <c r="B56" s="36" t="str">
        <f t="shared" si="4"/>
        <v/>
      </c>
      <c r="C56" s="37"/>
      <c r="D56" s="37"/>
      <c r="E56" s="37"/>
      <c r="F56" s="37"/>
      <c r="G56" s="177"/>
      <c r="H56" s="189">
        <v>51</v>
      </c>
      <c r="I56" s="190" t="str">
        <f t="shared" si="0"/>
        <v/>
      </c>
      <c r="J56" s="189" t="e">
        <f t="shared" si="5"/>
        <v>#NUM!</v>
      </c>
      <c r="K56" s="189" t="e">
        <f t="shared" si="1"/>
        <v>#NUM!</v>
      </c>
      <c r="L56" s="189"/>
      <c r="M56" s="191">
        <f t="shared" si="2"/>
        <v>0</v>
      </c>
    </row>
    <row r="57" spans="1:13" x14ac:dyDescent="0.25">
      <c r="A57" s="106"/>
      <c r="B57" s="42" t="str">
        <f t="shared" si="4"/>
        <v/>
      </c>
      <c r="C57" s="43"/>
      <c r="D57" s="43"/>
      <c r="E57" s="43"/>
      <c r="F57" s="43"/>
      <c r="G57" s="177"/>
      <c r="H57" s="192">
        <v>52</v>
      </c>
      <c r="I57" s="193" t="str">
        <f t="shared" si="0"/>
        <v/>
      </c>
      <c r="J57" s="192" t="e">
        <f t="shared" si="5"/>
        <v>#NUM!</v>
      </c>
      <c r="K57" s="192" t="e">
        <f t="shared" si="1"/>
        <v>#NUM!</v>
      </c>
      <c r="L57" s="192"/>
      <c r="M57" s="194">
        <f t="shared" si="2"/>
        <v>0</v>
      </c>
    </row>
    <row r="58" spans="1:13" x14ac:dyDescent="0.25">
      <c r="A58" s="102"/>
      <c r="B58" s="36" t="str">
        <f t="shared" si="4"/>
        <v/>
      </c>
      <c r="C58" s="37"/>
      <c r="D58" s="37"/>
      <c r="E58" s="37"/>
      <c r="F58" s="37"/>
      <c r="G58" s="177"/>
      <c r="H58" s="189">
        <v>53</v>
      </c>
      <c r="I58" s="190" t="str">
        <f t="shared" si="0"/>
        <v/>
      </c>
      <c r="J58" s="189" t="e">
        <f t="shared" si="5"/>
        <v>#NUM!</v>
      </c>
      <c r="K58" s="189" t="e">
        <f t="shared" si="1"/>
        <v>#NUM!</v>
      </c>
      <c r="L58" s="189"/>
      <c r="M58" s="191">
        <f t="shared" si="2"/>
        <v>0</v>
      </c>
    </row>
    <row r="59" spans="1:13" x14ac:dyDescent="0.25">
      <c r="A59" s="106"/>
      <c r="B59" s="42" t="str">
        <f t="shared" si="4"/>
        <v/>
      </c>
      <c r="C59" s="43"/>
      <c r="D59" s="43"/>
      <c r="E59" s="43"/>
      <c r="F59" s="43"/>
      <c r="G59" s="177"/>
      <c r="H59" s="192">
        <v>54</v>
      </c>
      <c r="I59" s="193" t="str">
        <f t="shared" si="0"/>
        <v/>
      </c>
      <c r="J59" s="192" t="e">
        <f t="shared" si="5"/>
        <v>#NUM!</v>
      </c>
      <c r="K59" s="192" t="e">
        <f t="shared" si="1"/>
        <v>#NUM!</v>
      </c>
      <c r="L59" s="192"/>
      <c r="M59" s="194">
        <f t="shared" si="2"/>
        <v>0</v>
      </c>
    </row>
    <row r="60" spans="1:13" x14ac:dyDescent="0.25">
      <c r="A60" s="102"/>
      <c r="B60" s="36" t="str">
        <f t="shared" si="4"/>
        <v/>
      </c>
      <c r="C60" s="37"/>
      <c r="D60" s="37"/>
      <c r="E60" s="37"/>
      <c r="F60" s="37"/>
      <c r="G60" s="177"/>
      <c r="H60" s="189">
        <v>55</v>
      </c>
      <c r="I60" s="190" t="str">
        <f t="shared" si="0"/>
        <v/>
      </c>
      <c r="J60" s="189" t="e">
        <f t="shared" si="5"/>
        <v>#NUM!</v>
      </c>
      <c r="K60" s="189" t="e">
        <f t="shared" si="1"/>
        <v>#NUM!</v>
      </c>
      <c r="L60" s="189"/>
      <c r="M60" s="191">
        <f t="shared" si="2"/>
        <v>0</v>
      </c>
    </row>
    <row r="61" spans="1:13" x14ac:dyDescent="0.25">
      <c r="A61" s="106"/>
      <c r="B61" s="42" t="str">
        <f t="shared" si="4"/>
        <v/>
      </c>
      <c r="C61" s="43"/>
      <c r="D61" s="43"/>
      <c r="E61" s="43"/>
      <c r="F61" s="43"/>
      <c r="G61" s="177"/>
      <c r="H61" s="192">
        <v>56</v>
      </c>
      <c r="I61" s="193" t="str">
        <f t="shared" si="0"/>
        <v/>
      </c>
      <c r="J61" s="192" t="e">
        <f t="shared" si="5"/>
        <v>#NUM!</v>
      </c>
      <c r="K61" s="192" t="e">
        <f t="shared" si="1"/>
        <v>#NUM!</v>
      </c>
      <c r="L61" s="192"/>
      <c r="M61" s="194">
        <f t="shared" si="2"/>
        <v>0</v>
      </c>
    </row>
    <row r="62" spans="1:13" x14ac:dyDescent="0.25">
      <c r="A62" s="102"/>
      <c r="B62" s="36" t="str">
        <f t="shared" si="4"/>
        <v/>
      </c>
      <c r="C62" s="37"/>
      <c r="D62" s="37"/>
      <c r="E62" s="37"/>
      <c r="F62" s="37"/>
      <c r="G62" s="177"/>
      <c r="H62" s="189">
        <v>57</v>
      </c>
      <c r="I62" s="190" t="str">
        <f t="shared" si="0"/>
        <v/>
      </c>
      <c r="J62" s="189" t="e">
        <f t="shared" si="5"/>
        <v>#NUM!</v>
      </c>
      <c r="K62" s="189" t="e">
        <f t="shared" si="1"/>
        <v>#NUM!</v>
      </c>
      <c r="L62" s="189"/>
      <c r="M62" s="191">
        <f t="shared" si="2"/>
        <v>0</v>
      </c>
    </row>
    <row r="63" spans="1:13" x14ac:dyDescent="0.25">
      <c r="A63" s="106"/>
      <c r="B63" s="42" t="str">
        <f t="shared" si="4"/>
        <v/>
      </c>
      <c r="C63" s="43"/>
      <c r="D63" s="43"/>
      <c r="E63" s="43"/>
      <c r="F63" s="43"/>
      <c r="G63" s="177"/>
      <c r="H63" s="192">
        <v>58</v>
      </c>
      <c r="I63" s="193" t="str">
        <f t="shared" si="0"/>
        <v/>
      </c>
      <c r="J63" s="192" t="e">
        <f t="shared" si="5"/>
        <v>#NUM!</v>
      </c>
      <c r="K63" s="192" t="e">
        <f t="shared" si="1"/>
        <v>#NUM!</v>
      </c>
      <c r="L63" s="192"/>
      <c r="M63" s="194">
        <f t="shared" si="2"/>
        <v>0</v>
      </c>
    </row>
    <row r="64" spans="1:13" x14ac:dyDescent="0.25">
      <c r="A64" s="102"/>
      <c r="B64" s="36" t="str">
        <f t="shared" si="4"/>
        <v/>
      </c>
      <c r="C64" s="37"/>
      <c r="D64" s="37"/>
      <c r="E64" s="37"/>
      <c r="F64" s="37"/>
      <c r="G64" s="177"/>
      <c r="H64" s="189">
        <v>59</v>
      </c>
      <c r="I64" s="190" t="str">
        <f t="shared" si="0"/>
        <v/>
      </c>
      <c r="J64" s="189" t="e">
        <f t="shared" si="5"/>
        <v>#NUM!</v>
      </c>
      <c r="K64" s="189" t="e">
        <f t="shared" si="1"/>
        <v>#NUM!</v>
      </c>
      <c r="L64" s="189"/>
      <c r="M64" s="191">
        <f t="shared" si="2"/>
        <v>0</v>
      </c>
    </row>
    <row r="65" spans="1:13" x14ac:dyDescent="0.25">
      <c r="A65" s="106"/>
      <c r="B65" s="42" t="str">
        <f t="shared" si="4"/>
        <v/>
      </c>
      <c r="C65" s="43"/>
      <c r="D65" s="43"/>
      <c r="E65" s="43"/>
      <c r="F65" s="43"/>
      <c r="G65" s="177"/>
      <c r="H65" s="192">
        <v>60</v>
      </c>
      <c r="I65" s="193" t="str">
        <f t="shared" si="0"/>
        <v/>
      </c>
      <c r="J65" s="192" t="e">
        <f t="shared" si="5"/>
        <v>#NUM!</v>
      </c>
      <c r="K65" s="192" t="e">
        <f t="shared" si="1"/>
        <v>#NUM!</v>
      </c>
      <c r="L65" s="192"/>
      <c r="M65" s="194">
        <f t="shared" si="2"/>
        <v>0</v>
      </c>
    </row>
    <row r="66" spans="1:13" x14ac:dyDescent="0.25">
      <c r="A66" s="214"/>
      <c r="B66" s="36"/>
      <c r="G66" s="177"/>
      <c r="H66" s="189">
        <v>61</v>
      </c>
      <c r="I66" s="190" t="str">
        <f t="shared" si="0"/>
        <v/>
      </c>
      <c r="J66" s="189" t="e">
        <f t="shared" si="5"/>
        <v>#NUM!</v>
      </c>
      <c r="K66" s="189" t="e">
        <f t="shared" si="1"/>
        <v>#NUM!</v>
      </c>
      <c r="L66" s="189"/>
      <c r="M66" s="191">
        <f t="shared" si="2"/>
        <v>0</v>
      </c>
    </row>
    <row r="67" spans="1:13" x14ac:dyDescent="0.25">
      <c r="A67" s="214"/>
      <c r="B67" s="42"/>
      <c r="G67" s="177"/>
      <c r="H67" s="189">
        <v>62</v>
      </c>
      <c r="I67" s="190" t="str">
        <f t="shared" si="0"/>
        <v/>
      </c>
      <c r="J67" s="189" t="e">
        <f t="shared" si="5"/>
        <v>#NUM!</v>
      </c>
      <c r="K67" s="189" t="e">
        <f t="shared" si="1"/>
        <v>#NUM!</v>
      </c>
      <c r="L67" s="189"/>
      <c r="M67" s="191">
        <f t="shared" si="2"/>
        <v>0</v>
      </c>
    </row>
    <row r="68" spans="1:13" x14ac:dyDescent="0.25">
      <c r="A68" s="214"/>
      <c r="B68" s="36"/>
      <c r="G68" s="177"/>
      <c r="H68" s="189">
        <v>63</v>
      </c>
      <c r="I68" s="190" t="str">
        <f t="shared" si="0"/>
        <v/>
      </c>
      <c r="J68" s="189" t="e">
        <f t="shared" si="5"/>
        <v>#NUM!</v>
      </c>
      <c r="K68" s="189" t="e">
        <f t="shared" si="1"/>
        <v>#NUM!</v>
      </c>
      <c r="L68" s="189"/>
      <c r="M68" s="191">
        <f t="shared" si="2"/>
        <v>0</v>
      </c>
    </row>
    <row r="69" spans="1:13" x14ac:dyDescent="0.25">
      <c r="A69" s="214"/>
      <c r="B69" s="42"/>
      <c r="G69" s="177"/>
      <c r="H69" s="189">
        <v>64</v>
      </c>
      <c r="I69" s="190" t="str">
        <f t="shared" si="0"/>
        <v/>
      </c>
      <c r="J69" s="189" t="e">
        <f t="shared" si="5"/>
        <v>#NUM!</v>
      </c>
      <c r="K69" s="189" t="e">
        <f t="shared" si="1"/>
        <v>#NUM!</v>
      </c>
      <c r="L69" s="189"/>
      <c r="M69" s="191">
        <f t="shared" si="2"/>
        <v>0</v>
      </c>
    </row>
    <row r="70" spans="1:13" x14ac:dyDescent="0.25">
      <c r="A70" s="214"/>
      <c r="G70" s="177"/>
      <c r="H70" s="189">
        <v>65</v>
      </c>
      <c r="I70" s="190" t="str">
        <f t="shared" ref="I70:I133" si="6">IF(H70&lt;$H$2+1,($I$2-($I$2-1)*(LOG(H70)/LOG($H$2))),"")</f>
        <v/>
      </c>
      <c r="J70" s="189" t="e">
        <f t="shared" si="5"/>
        <v>#NUM!</v>
      </c>
      <c r="K70" s="189" t="e">
        <f t="shared" ref="K70:K133" si="7">J70*$J$2</f>
        <v>#NUM!</v>
      </c>
      <c r="L70" s="189"/>
      <c r="M70" s="191">
        <f t="shared" ref="M70:M133" si="8">IF(I70&lt;&gt;"",K70+I70+L70,0)</f>
        <v>0</v>
      </c>
    </row>
    <row r="71" spans="1:13" x14ac:dyDescent="0.25">
      <c r="A71" s="214"/>
      <c r="G71" s="177"/>
      <c r="H71" s="189">
        <v>66</v>
      </c>
      <c r="I71" s="190" t="str">
        <f t="shared" si="6"/>
        <v/>
      </c>
      <c r="J71" s="189" t="e">
        <f t="shared" ref="J71:J134" si="9">INT(LOG($H$2,2))-ROUNDUP(LOG(H71,2),0)+IF(OR($H$2=1,$H$2=2,$H$2=4,$H$2=8,$H$2=16,$H$2=32,$H$2=64,$H$2=128,$H$2=256),0,1)</f>
        <v>#NUM!</v>
      </c>
      <c r="K71" s="189" t="e">
        <f t="shared" si="7"/>
        <v>#NUM!</v>
      </c>
      <c r="L71" s="189"/>
      <c r="M71" s="191">
        <f t="shared" si="8"/>
        <v>0</v>
      </c>
    </row>
    <row r="72" spans="1:13" x14ac:dyDescent="0.25">
      <c r="A72" s="214"/>
      <c r="G72" s="177"/>
      <c r="H72" s="189">
        <v>67</v>
      </c>
      <c r="I72" s="190" t="str">
        <f t="shared" si="6"/>
        <v/>
      </c>
      <c r="J72" s="189" t="e">
        <f t="shared" si="9"/>
        <v>#NUM!</v>
      </c>
      <c r="K72" s="189" t="e">
        <f t="shared" si="7"/>
        <v>#NUM!</v>
      </c>
      <c r="L72" s="189"/>
      <c r="M72" s="191">
        <f t="shared" si="8"/>
        <v>0</v>
      </c>
    </row>
    <row r="73" spans="1:13" x14ac:dyDescent="0.25">
      <c r="A73" s="214"/>
      <c r="G73" s="177"/>
      <c r="H73" s="189">
        <v>68</v>
      </c>
      <c r="I73" s="190" t="str">
        <f t="shared" si="6"/>
        <v/>
      </c>
      <c r="J73" s="189" t="e">
        <f t="shared" si="9"/>
        <v>#NUM!</v>
      </c>
      <c r="K73" s="189" t="e">
        <f t="shared" si="7"/>
        <v>#NUM!</v>
      </c>
      <c r="L73" s="189"/>
      <c r="M73" s="191">
        <f t="shared" si="8"/>
        <v>0</v>
      </c>
    </row>
    <row r="74" spans="1:13" x14ac:dyDescent="0.25">
      <c r="A74" s="214"/>
      <c r="G74" s="177"/>
      <c r="H74" s="189">
        <v>69</v>
      </c>
      <c r="I74" s="190" t="str">
        <f t="shared" si="6"/>
        <v/>
      </c>
      <c r="J74" s="189" t="e">
        <f t="shared" si="9"/>
        <v>#NUM!</v>
      </c>
      <c r="K74" s="189" t="e">
        <f t="shared" si="7"/>
        <v>#NUM!</v>
      </c>
      <c r="L74" s="189"/>
      <c r="M74" s="191">
        <f t="shared" si="8"/>
        <v>0</v>
      </c>
    </row>
    <row r="75" spans="1:13" x14ac:dyDescent="0.25">
      <c r="A75" s="214"/>
      <c r="G75" s="177"/>
      <c r="H75" s="189">
        <v>70</v>
      </c>
      <c r="I75" s="190" t="str">
        <f t="shared" si="6"/>
        <v/>
      </c>
      <c r="J75" s="189" t="e">
        <f t="shared" si="9"/>
        <v>#NUM!</v>
      </c>
      <c r="K75" s="189" t="e">
        <f t="shared" si="7"/>
        <v>#NUM!</v>
      </c>
      <c r="L75" s="189"/>
      <c r="M75" s="191">
        <f t="shared" si="8"/>
        <v>0</v>
      </c>
    </row>
    <row r="76" spans="1:13" x14ac:dyDescent="0.25">
      <c r="A76" s="214"/>
      <c r="G76" s="177"/>
      <c r="H76" s="189">
        <v>71</v>
      </c>
      <c r="I76" s="190" t="str">
        <f t="shared" si="6"/>
        <v/>
      </c>
      <c r="J76" s="189" t="e">
        <f t="shared" si="9"/>
        <v>#NUM!</v>
      </c>
      <c r="K76" s="189" t="e">
        <f t="shared" si="7"/>
        <v>#NUM!</v>
      </c>
      <c r="L76" s="189"/>
      <c r="M76" s="191">
        <f t="shared" si="8"/>
        <v>0</v>
      </c>
    </row>
    <row r="77" spans="1:13" x14ac:dyDescent="0.25">
      <c r="A77" s="214"/>
      <c r="G77" s="177"/>
      <c r="H77" s="189">
        <v>72</v>
      </c>
      <c r="I77" s="190" t="str">
        <f t="shared" si="6"/>
        <v/>
      </c>
      <c r="J77" s="189" t="e">
        <f t="shared" si="9"/>
        <v>#NUM!</v>
      </c>
      <c r="K77" s="189" t="e">
        <f t="shared" si="7"/>
        <v>#NUM!</v>
      </c>
      <c r="L77" s="189"/>
      <c r="M77" s="191">
        <f t="shared" si="8"/>
        <v>0</v>
      </c>
    </row>
    <row r="78" spans="1:13" x14ac:dyDescent="0.25">
      <c r="A78" s="214"/>
      <c r="G78" s="177"/>
      <c r="H78" s="189">
        <v>73</v>
      </c>
      <c r="I78" s="190" t="str">
        <f t="shared" si="6"/>
        <v/>
      </c>
      <c r="J78" s="189" t="e">
        <f t="shared" si="9"/>
        <v>#NUM!</v>
      </c>
      <c r="K78" s="189" t="e">
        <f t="shared" si="7"/>
        <v>#NUM!</v>
      </c>
      <c r="L78" s="189"/>
      <c r="M78" s="191">
        <f t="shared" si="8"/>
        <v>0</v>
      </c>
    </row>
    <row r="79" spans="1:13" x14ac:dyDescent="0.25">
      <c r="A79" s="214"/>
      <c r="G79" s="177"/>
      <c r="H79" s="189">
        <v>74</v>
      </c>
      <c r="I79" s="190" t="str">
        <f t="shared" si="6"/>
        <v/>
      </c>
      <c r="J79" s="189" t="e">
        <f t="shared" si="9"/>
        <v>#NUM!</v>
      </c>
      <c r="K79" s="189" t="e">
        <f t="shared" si="7"/>
        <v>#NUM!</v>
      </c>
      <c r="L79" s="189"/>
      <c r="M79" s="191">
        <f t="shared" si="8"/>
        <v>0</v>
      </c>
    </row>
    <row r="80" spans="1:13" x14ac:dyDescent="0.25">
      <c r="A80" s="214"/>
      <c r="G80" s="177"/>
      <c r="H80" s="189">
        <v>75</v>
      </c>
      <c r="I80" s="190" t="str">
        <f t="shared" si="6"/>
        <v/>
      </c>
      <c r="J80" s="189" t="e">
        <f t="shared" si="9"/>
        <v>#NUM!</v>
      </c>
      <c r="K80" s="189" t="e">
        <f t="shared" si="7"/>
        <v>#NUM!</v>
      </c>
      <c r="L80" s="189"/>
      <c r="M80" s="191">
        <f t="shared" si="8"/>
        <v>0</v>
      </c>
    </row>
    <row r="81" spans="1:13" x14ac:dyDescent="0.25">
      <c r="A81" s="214"/>
      <c r="G81" s="177"/>
      <c r="H81" s="189">
        <v>76</v>
      </c>
      <c r="I81" s="190" t="str">
        <f t="shared" si="6"/>
        <v/>
      </c>
      <c r="J81" s="189" t="e">
        <f t="shared" si="9"/>
        <v>#NUM!</v>
      </c>
      <c r="K81" s="189" t="e">
        <f t="shared" si="7"/>
        <v>#NUM!</v>
      </c>
      <c r="L81" s="189"/>
      <c r="M81" s="191">
        <f t="shared" si="8"/>
        <v>0</v>
      </c>
    </row>
    <row r="82" spans="1:13" x14ac:dyDescent="0.25">
      <c r="A82" s="214"/>
      <c r="G82" s="177"/>
      <c r="H82" s="189">
        <v>77</v>
      </c>
      <c r="I82" s="190" t="str">
        <f t="shared" si="6"/>
        <v/>
      </c>
      <c r="J82" s="189" t="e">
        <f t="shared" si="9"/>
        <v>#NUM!</v>
      </c>
      <c r="K82" s="189" t="e">
        <f t="shared" si="7"/>
        <v>#NUM!</v>
      </c>
      <c r="L82" s="189"/>
      <c r="M82" s="191">
        <f t="shared" si="8"/>
        <v>0</v>
      </c>
    </row>
    <row r="83" spans="1:13" x14ac:dyDescent="0.25">
      <c r="A83" s="214"/>
      <c r="G83" s="177"/>
      <c r="H83" s="189">
        <v>78</v>
      </c>
      <c r="I83" s="190" t="str">
        <f t="shared" si="6"/>
        <v/>
      </c>
      <c r="J83" s="189" t="e">
        <f t="shared" si="9"/>
        <v>#NUM!</v>
      </c>
      <c r="K83" s="189" t="e">
        <f t="shared" si="7"/>
        <v>#NUM!</v>
      </c>
      <c r="L83" s="189"/>
      <c r="M83" s="191">
        <f t="shared" si="8"/>
        <v>0</v>
      </c>
    </row>
    <row r="84" spans="1:13" x14ac:dyDescent="0.25">
      <c r="A84" s="214"/>
      <c r="G84" s="177"/>
      <c r="H84" s="189">
        <v>79</v>
      </c>
      <c r="I84" s="190" t="str">
        <f t="shared" si="6"/>
        <v/>
      </c>
      <c r="J84" s="189" t="e">
        <f t="shared" si="9"/>
        <v>#NUM!</v>
      </c>
      <c r="K84" s="189" t="e">
        <f t="shared" si="7"/>
        <v>#NUM!</v>
      </c>
      <c r="L84" s="189"/>
      <c r="M84" s="191">
        <f t="shared" si="8"/>
        <v>0</v>
      </c>
    </row>
    <row r="85" spans="1:13" x14ac:dyDescent="0.25">
      <c r="A85" s="214"/>
      <c r="G85" s="177"/>
      <c r="H85" s="189">
        <v>80</v>
      </c>
      <c r="I85" s="190" t="str">
        <f t="shared" si="6"/>
        <v/>
      </c>
      <c r="J85" s="189" t="e">
        <f t="shared" si="9"/>
        <v>#NUM!</v>
      </c>
      <c r="K85" s="189" t="e">
        <f t="shared" si="7"/>
        <v>#NUM!</v>
      </c>
      <c r="L85" s="189"/>
      <c r="M85" s="191">
        <f t="shared" si="8"/>
        <v>0</v>
      </c>
    </row>
    <row r="86" spans="1:13" x14ac:dyDescent="0.25">
      <c r="A86" s="214"/>
      <c r="G86" s="177"/>
      <c r="H86" s="189">
        <v>81</v>
      </c>
      <c r="I86" s="190" t="str">
        <f t="shared" si="6"/>
        <v/>
      </c>
      <c r="J86" s="189" t="e">
        <f t="shared" si="9"/>
        <v>#NUM!</v>
      </c>
      <c r="K86" s="189" t="e">
        <f t="shared" si="7"/>
        <v>#NUM!</v>
      </c>
      <c r="L86" s="189"/>
      <c r="M86" s="191">
        <f t="shared" si="8"/>
        <v>0</v>
      </c>
    </row>
    <row r="87" spans="1:13" x14ac:dyDescent="0.25">
      <c r="A87" s="214"/>
      <c r="G87" s="177"/>
      <c r="H87" s="189">
        <v>82</v>
      </c>
      <c r="I87" s="190" t="str">
        <f t="shared" si="6"/>
        <v/>
      </c>
      <c r="J87" s="189" t="e">
        <f t="shared" si="9"/>
        <v>#NUM!</v>
      </c>
      <c r="K87" s="189" t="e">
        <f t="shared" si="7"/>
        <v>#NUM!</v>
      </c>
      <c r="L87" s="189"/>
      <c r="M87" s="191">
        <f t="shared" si="8"/>
        <v>0</v>
      </c>
    </row>
    <row r="88" spans="1:13" x14ac:dyDescent="0.25">
      <c r="A88" s="214"/>
      <c r="G88" s="177"/>
      <c r="H88" s="189">
        <v>83</v>
      </c>
      <c r="I88" s="190" t="str">
        <f t="shared" si="6"/>
        <v/>
      </c>
      <c r="J88" s="189" t="e">
        <f t="shared" si="9"/>
        <v>#NUM!</v>
      </c>
      <c r="K88" s="189" t="e">
        <f t="shared" si="7"/>
        <v>#NUM!</v>
      </c>
      <c r="L88" s="189"/>
      <c r="M88" s="191">
        <f t="shared" si="8"/>
        <v>0</v>
      </c>
    </row>
    <row r="89" spans="1:13" x14ac:dyDescent="0.25">
      <c r="A89" s="214"/>
      <c r="G89" s="177"/>
      <c r="H89" s="189">
        <v>84</v>
      </c>
      <c r="I89" s="190" t="str">
        <f t="shared" si="6"/>
        <v/>
      </c>
      <c r="J89" s="189" t="e">
        <f t="shared" si="9"/>
        <v>#NUM!</v>
      </c>
      <c r="K89" s="189" t="e">
        <f t="shared" si="7"/>
        <v>#NUM!</v>
      </c>
      <c r="L89" s="189"/>
      <c r="M89" s="191">
        <f t="shared" si="8"/>
        <v>0</v>
      </c>
    </row>
    <row r="90" spans="1:13" x14ac:dyDescent="0.25">
      <c r="A90" s="214"/>
      <c r="G90" s="177"/>
      <c r="H90" s="189">
        <v>85</v>
      </c>
      <c r="I90" s="190" t="str">
        <f t="shared" si="6"/>
        <v/>
      </c>
      <c r="J90" s="189" t="e">
        <f t="shared" si="9"/>
        <v>#NUM!</v>
      </c>
      <c r="K90" s="189" t="e">
        <f t="shared" si="7"/>
        <v>#NUM!</v>
      </c>
      <c r="L90" s="189"/>
      <c r="M90" s="191">
        <f t="shared" si="8"/>
        <v>0</v>
      </c>
    </row>
    <row r="91" spans="1:13" x14ac:dyDescent="0.25">
      <c r="A91" s="214"/>
      <c r="G91" s="177"/>
      <c r="H91" s="189">
        <v>86</v>
      </c>
      <c r="I91" s="190" t="str">
        <f t="shared" si="6"/>
        <v/>
      </c>
      <c r="J91" s="189" t="e">
        <f t="shared" si="9"/>
        <v>#NUM!</v>
      </c>
      <c r="K91" s="189" t="e">
        <f t="shared" si="7"/>
        <v>#NUM!</v>
      </c>
      <c r="L91" s="189"/>
      <c r="M91" s="191">
        <f t="shared" si="8"/>
        <v>0</v>
      </c>
    </row>
    <row r="92" spans="1:13" x14ac:dyDescent="0.25">
      <c r="A92" s="214"/>
      <c r="G92" s="177"/>
      <c r="H92" s="189">
        <v>87</v>
      </c>
      <c r="I92" s="190" t="str">
        <f t="shared" si="6"/>
        <v/>
      </c>
      <c r="J92" s="189" t="e">
        <f t="shared" si="9"/>
        <v>#NUM!</v>
      </c>
      <c r="K92" s="189" t="e">
        <f t="shared" si="7"/>
        <v>#NUM!</v>
      </c>
      <c r="L92" s="189"/>
      <c r="M92" s="191">
        <f t="shared" si="8"/>
        <v>0</v>
      </c>
    </row>
    <row r="93" spans="1:13" x14ac:dyDescent="0.25">
      <c r="A93" s="214"/>
      <c r="G93" s="177"/>
      <c r="H93" s="189">
        <v>88</v>
      </c>
      <c r="I93" s="190" t="str">
        <f t="shared" si="6"/>
        <v/>
      </c>
      <c r="J93" s="189" t="e">
        <f t="shared" si="9"/>
        <v>#NUM!</v>
      </c>
      <c r="K93" s="189" t="e">
        <f t="shared" si="7"/>
        <v>#NUM!</v>
      </c>
      <c r="L93" s="189"/>
      <c r="M93" s="191">
        <f t="shared" si="8"/>
        <v>0</v>
      </c>
    </row>
    <row r="94" spans="1:13" x14ac:dyDescent="0.25">
      <c r="A94" s="214"/>
      <c r="G94" s="177"/>
      <c r="H94" s="189">
        <v>89</v>
      </c>
      <c r="I94" s="190" t="str">
        <f t="shared" si="6"/>
        <v/>
      </c>
      <c r="J94" s="189" t="e">
        <f t="shared" si="9"/>
        <v>#NUM!</v>
      </c>
      <c r="K94" s="189" t="e">
        <f t="shared" si="7"/>
        <v>#NUM!</v>
      </c>
      <c r="L94" s="189"/>
      <c r="M94" s="191">
        <f t="shared" si="8"/>
        <v>0</v>
      </c>
    </row>
    <row r="95" spans="1:13" x14ac:dyDescent="0.25">
      <c r="A95" s="214"/>
      <c r="G95" s="177"/>
      <c r="H95" s="189">
        <v>90</v>
      </c>
      <c r="I95" s="190" t="str">
        <f t="shared" si="6"/>
        <v/>
      </c>
      <c r="J95" s="189" t="e">
        <f t="shared" si="9"/>
        <v>#NUM!</v>
      </c>
      <c r="K95" s="189" t="e">
        <f t="shared" si="7"/>
        <v>#NUM!</v>
      </c>
      <c r="L95" s="189"/>
      <c r="M95" s="191">
        <f t="shared" si="8"/>
        <v>0</v>
      </c>
    </row>
    <row r="96" spans="1:13" x14ac:dyDescent="0.25">
      <c r="A96" s="214"/>
      <c r="G96" s="177"/>
      <c r="H96" s="189">
        <v>91</v>
      </c>
      <c r="I96" s="190" t="str">
        <f t="shared" si="6"/>
        <v/>
      </c>
      <c r="J96" s="189" t="e">
        <f t="shared" si="9"/>
        <v>#NUM!</v>
      </c>
      <c r="K96" s="189" t="e">
        <f t="shared" si="7"/>
        <v>#NUM!</v>
      </c>
      <c r="L96" s="189"/>
      <c r="M96" s="191">
        <f t="shared" si="8"/>
        <v>0</v>
      </c>
    </row>
    <row r="97" spans="1:13" x14ac:dyDescent="0.25">
      <c r="A97" s="214"/>
      <c r="G97" s="177"/>
      <c r="H97" s="189">
        <v>92</v>
      </c>
      <c r="I97" s="190" t="str">
        <f t="shared" si="6"/>
        <v/>
      </c>
      <c r="J97" s="189" t="e">
        <f t="shared" si="9"/>
        <v>#NUM!</v>
      </c>
      <c r="K97" s="189" t="e">
        <f t="shared" si="7"/>
        <v>#NUM!</v>
      </c>
      <c r="L97" s="189"/>
      <c r="M97" s="191">
        <f t="shared" si="8"/>
        <v>0</v>
      </c>
    </row>
    <row r="98" spans="1:13" x14ac:dyDescent="0.25">
      <c r="A98" s="214"/>
      <c r="G98" s="177"/>
      <c r="H98" s="189">
        <v>93</v>
      </c>
      <c r="I98" s="190" t="str">
        <f t="shared" si="6"/>
        <v/>
      </c>
      <c r="J98" s="189" t="e">
        <f t="shared" si="9"/>
        <v>#NUM!</v>
      </c>
      <c r="K98" s="189" t="e">
        <f t="shared" si="7"/>
        <v>#NUM!</v>
      </c>
      <c r="L98" s="189"/>
      <c r="M98" s="191">
        <f t="shared" si="8"/>
        <v>0</v>
      </c>
    </row>
    <row r="99" spans="1:13" x14ac:dyDescent="0.25">
      <c r="A99" s="214"/>
      <c r="G99" s="177"/>
      <c r="H99" s="189">
        <v>94</v>
      </c>
      <c r="I99" s="190" t="str">
        <f t="shared" si="6"/>
        <v/>
      </c>
      <c r="J99" s="189" t="e">
        <f t="shared" si="9"/>
        <v>#NUM!</v>
      </c>
      <c r="K99" s="189" t="e">
        <f t="shared" si="7"/>
        <v>#NUM!</v>
      </c>
      <c r="L99" s="189"/>
      <c r="M99" s="191">
        <f t="shared" si="8"/>
        <v>0</v>
      </c>
    </row>
    <row r="100" spans="1:13" x14ac:dyDescent="0.25">
      <c r="A100" s="214"/>
      <c r="G100" s="177"/>
      <c r="H100" s="189">
        <v>95</v>
      </c>
      <c r="I100" s="190" t="str">
        <f t="shared" si="6"/>
        <v/>
      </c>
      <c r="J100" s="189" t="e">
        <f t="shared" si="9"/>
        <v>#NUM!</v>
      </c>
      <c r="K100" s="189" t="e">
        <f t="shared" si="7"/>
        <v>#NUM!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89" t="e">
        <f t="shared" si="9"/>
        <v>#NUM!</v>
      </c>
      <c r="K101" s="189" t="e">
        <f t="shared" si="7"/>
        <v>#NUM!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89" t="e">
        <f t="shared" si="9"/>
        <v>#NUM!</v>
      </c>
      <c r="K102" s="189" t="e">
        <f t="shared" si="7"/>
        <v>#NUM!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89" t="e">
        <f t="shared" si="9"/>
        <v>#NUM!</v>
      </c>
      <c r="K103" s="189" t="e">
        <f t="shared" si="7"/>
        <v>#NUM!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89" t="e">
        <f t="shared" si="9"/>
        <v>#NUM!</v>
      </c>
      <c r="K104" s="189" t="e">
        <f t="shared" si="7"/>
        <v>#NUM!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89" t="e">
        <f t="shared" si="9"/>
        <v>#NUM!</v>
      </c>
      <c r="K105" s="189" t="e">
        <f t="shared" si="7"/>
        <v>#NUM!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89" t="e">
        <f t="shared" si="9"/>
        <v>#NUM!</v>
      </c>
      <c r="K106" s="189" t="e">
        <f t="shared" si="7"/>
        <v>#NUM!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89" t="e">
        <f t="shared" si="9"/>
        <v>#NUM!</v>
      </c>
      <c r="K107" s="189" t="e">
        <f t="shared" si="7"/>
        <v>#NUM!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89" t="e">
        <f t="shared" si="9"/>
        <v>#NUM!</v>
      </c>
      <c r="K108" s="189" t="e">
        <f t="shared" si="7"/>
        <v>#NUM!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89" t="e">
        <f t="shared" si="9"/>
        <v>#NUM!</v>
      </c>
      <c r="K109" s="189" t="e">
        <f t="shared" si="7"/>
        <v>#NUM!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89" t="e">
        <f t="shared" si="9"/>
        <v>#NUM!</v>
      </c>
      <c r="K110" s="189" t="e">
        <f t="shared" si="7"/>
        <v>#NUM!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89" t="e">
        <f t="shared" si="9"/>
        <v>#NUM!</v>
      </c>
      <c r="K111" s="189" t="e">
        <f t="shared" si="7"/>
        <v>#NUM!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89" t="e">
        <f t="shared" si="9"/>
        <v>#NUM!</v>
      </c>
      <c r="K112" s="189" t="e">
        <f t="shared" si="7"/>
        <v>#NUM!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89" t="e">
        <f t="shared" si="9"/>
        <v>#NUM!</v>
      </c>
      <c r="K113" s="189" t="e">
        <f t="shared" si="7"/>
        <v>#NUM!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89" t="e">
        <f t="shared" si="9"/>
        <v>#NUM!</v>
      </c>
      <c r="K114" s="189" t="e">
        <f t="shared" si="7"/>
        <v>#NUM!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89" t="e">
        <f t="shared" si="9"/>
        <v>#NUM!</v>
      </c>
      <c r="K115" s="189" t="e">
        <f t="shared" si="7"/>
        <v>#NUM!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89" t="e">
        <f t="shared" si="9"/>
        <v>#NUM!</v>
      </c>
      <c r="K116" s="189" t="e">
        <f t="shared" si="7"/>
        <v>#NUM!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89" t="e">
        <f t="shared" si="9"/>
        <v>#NUM!</v>
      </c>
      <c r="K117" s="189" t="e">
        <f t="shared" si="7"/>
        <v>#NUM!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89" t="e">
        <f t="shared" si="9"/>
        <v>#NUM!</v>
      </c>
      <c r="K118" s="189" t="e">
        <f t="shared" si="7"/>
        <v>#NUM!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89" t="e">
        <f t="shared" si="9"/>
        <v>#NUM!</v>
      </c>
      <c r="K119" s="189" t="e">
        <f t="shared" si="7"/>
        <v>#NUM!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89" t="e">
        <f t="shared" si="9"/>
        <v>#NUM!</v>
      </c>
      <c r="K120" s="189" t="e">
        <f t="shared" si="7"/>
        <v>#NUM!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89" t="e">
        <f t="shared" si="9"/>
        <v>#NUM!</v>
      </c>
      <c r="K121" s="189" t="e">
        <f t="shared" si="7"/>
        <v>#NUM!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89" t="e">
        <f t="shared" si="9"/>
        <v>#NUM!</v>
      </c>
      <c r="K122" s="189" t="e">
        <f t="shared" si="7"/>
        <v>#NUM!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89" t="e">
        <f t="shared" si="9"/>
        <v>#NUM!</v>
      </c>
      <c r="K123" s="189" t="e">
        <f t="shared" si="7"/>
        <v>#NUM!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89" t="e">
        <f t="shared" si="9"/>
        <v>#NUM!</v>
      </c>
      <c r="K124" s="189" t="e">
        <f t="shared" si="7"/>
        <v>#NUM!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89" t="e">
        <f t="shared" si="9"/>
        <v>#NUM!</v>
      </c>
      <c r="K125" s="189" t="e">
        <f t="shared" si="7"/>
        <v>#NUM!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89" t="e">
        <f t="shared" si="9"/>
        <v>#NUM!</v>
      </c>
      <c r="K126" s="189" t="e">
        <f t="shared" si="7"/>
        <v>#NUM!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89" t="e">
        <f t="shared" si="9"/>
        <v>#NUM!</v>
      </c>
      <c r="K127" s="189" t="e">
        <f t="shared" si="7"/>
        <v>#NUM!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89" t="e">
        <f t="shared" si="9"/>
        <v>#NUM!</v>
      </c>
      <c r="K128" s="189" t="e">
        <f t="shared" si="7"/>
        <v>#NUM!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89" t="e">
        <f t="shared" si="9"/>
        <v>#NUM!</v>
      </c>
      <c r="K129" s="189" t="e">
        <f t="shared" si="7"/>
        <v>#NUM!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89" t="e">
        <f t="shared" si="9"/>
        <v>#NUM!</v>
      </c>
      <c r="K130" s="189" t="e">
        <f t="shared" si="7"/>
        <v>#NUM!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89" t="e">
        <f t="shared" si="9"/>
        <v>#NUM!</v>
      </c>
      <c r="K131" s="189" t="e">
        <f t="shared" si="7"/>
        <v>#NUM!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89" t="e">
        <f t="shared" si="9"/>
        <v>#NUM!</v>
      </c>
      <c r="K132" s="189" t="e">
        <f t="shared" si="7"/>
        <v>#NUM!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89" t="e">
        <f t="shared" si="9"/>
        <v>#NUM!</v>
      </c>
      <c r="K133" s="189" t="e">
        <f t="shared" si="7"/>
        <v>#NUM!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0">IF(H134&lt;$H$2+1,($I$2-($I$2-1)*(LOG(H134)/LOG($H$2))),"")</f>
        <v/>
      </c>
      <c r="J134" s="189" t="e">
        <f t="shared" si="9"/>
        <v>#NUM!</v>
      </c>
      <c r="K134" s="189" t="e">
        <f t="shared" ref="K134:K197" si="11">J134*$J$2</f>
        <v>#NUM!</v>
      </c>
      <c r="L134" s="189"/>
      <c r="M134" s="191">
        <f t="shared" ref="M134:M197" si="12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0"/>
        <v/>
      </c>
      <c r="J135" s="189" t="e">
        <f t="shared" ref="J135:J198" si="13">INT(LOG($H$2,2))-ROUNDUP(LOG(H135,2),0)+IF(OR($H$2=1,$H$2=2,$H$2=4,$H$2=8,$H$2=16,$H$2=32,$H$2=64,$H$2=128,$H$2=256),0,1)</f>
        <v>#NUM!</v>
      </c>
      <c r="K135" s="189" t="e">
        <f t="shared" si="11"/>
        <v>#NUM!</v>
      </c>
      <c r="L135" s="189"/>
      <c r="M135" s="191">
        <f t="shared" si="12"/>
        <v>0</v>
      </c>
    </row>
    <row r="136" spans="1:13" x14ac:dyDescent="0.25">
      <c r="A136" s="206"/>
      <c r="G136" s="177"/>
      <c r="H136" s="189">
        <v>131</v>
      </c>
      <c r="I136" s="190" t="str">
        <f t="shared" si="10"/>
        <v/>
      </c>
      <c r="J136" s="189" t="e">
        <f t="shared" si="13"/>
        <v>#NUM!</v>
      </c>
      <c r="K136" s="189" t="e">
        <f t="shared" si="11"/>
        <v>#NUM!</v>
      </c>
      <c r="L136" s="189"/>
      <c r="M136" s="191">
        <f t="shared" si="12"/>
        <v>0</v>
      </c>
    </row>
    <row r="137" spans="1:13" x14ac:dyDescent="0.25">
      <c r="A137" s="206"/>
      <c r="G137" s="177"/>
      <c r="H137" s="189">
        <v>132</v>
      </c>
      <c r="I137" s="190" t="str">
        <f t="shared" si="10"/>
        <v/>
      </c>
      <c r="J137" s="189" t="e">
        <f t="shared" si="13"/>
        <v>#NUM!</v>
      </c>
      <c r="K137" s="189" t="e">
        <f t="shared" si="11"/>
        <v>#NUM!</v>
      </c>
      <c r="L137" s="189"/>
      <c r="M137" s="191">
        <f t="shared" si="12"/>
        <v>0</v>
      </c>
    </row>
    <row r="138" spans="1:13" x14ac:dyDescent="0.25">
      <c r="A138" s="206"/>
      <c r="G138" s="177"/>
      <c r="H138" s="189">
        <v>133</v>
      </c>
      <c r="I138" s="190" t="str">
        <f t="shared" si="10"/>
        <v/>
      </c>
      <c r="J138" s="189" t="e">
        <f t="shared" si="13"/>
        <v>#NUM!</v>
      </c>
      <c r="K138" s="189" t="e">
        <f t="shared" si="11"/>
        <v>#NUM!</v>
      </c>
      <c r="L138" s="189"/>
      <c r="M138" s="191">
        <f t="shared" si="12"/>
        <v>0</v>
      </c>
    </row>
    <row r="139" spans="1:13" x14ac:dyDescent="0.25">
      <c r="A139" s="206"/>
      <c r="G139" s="177"/>
      <c r="H139" s="189">
        <v>134</v>
      </c>
      <c r="I139" s="190" t="str">
        <f t="shared" si="10"/>
        <v/>
      </c>
      <c r="J139" s="189" t="e">
        <f t="shared" si="13"/>
        <v>#NUM!</v>
      </c>
      <c r="K139" s="189" t="e">
        <f t="shared" si="11"/>
        <v>#NUM!</v>
      </c>
      <c r="L139" s="189"/>
      <c r="M139" s="191">
        <f t="shared" si="12"/>
        <v>0</v>
      </c>
    </row>
    <row r="140" spans="1:13" x14ac:dyDescent="0.25">
      <c r="A140" s="206"/>
      <c r="G140" s="177"/>
      <c r="H140" s="189">
        <v>135</v>
      </c>
      <c r="I140" s="190" t="str">
        <f t="shared" si="10"/>
        <v/>
      </c>
      <c r="J140" s="189" t="e">
        <f t="shared" si="13"/>
        <v>#NUM!</v>
      </c>
      <c r="K140" s="189" t="e">
        <f t="shared" si="11"/>
        <v>#NUM!</v>
      </c>
      <c r="L140" s="189"/>
      <c r="M140" s="191">
        <f t="shared" si="12"/>
        <v>0</v>
      </c>
    </row>
    <row r="141" spans="1:13" x14ac:dyDescent="0.25">
      <c r="A141" s="206"/>
      <c r="G141" s="177"/>
      <c r="H141" s="189">
        <v>136</v>
      </c>
      <c r="I141" s="190" t="str">
        <f t="shared" si="10"/>
        <v/>
      </c>
      <c r="J141" s="189" t="e">
        <f t="shared" si="13"/>
        <v>#NUM!</v>
      </c>
      <c r="K141" s="189" t="e">
        <f t="shared" si="11"/>
        <v>#NUM!</v>
      </c>
      <c r="L141" s="189"/>
      <c r="M141" s="191">
        <f t="shared" si="12"/>
        <v>0</v>
      </c>
    </row>
    <row r="142" spans="1:13" x14ac:dyDescent="0.25">
      <c r="A142" s="206"/>
      <c r="G142" s="177"/>
      <c r="H142" s="189">
        <v>137</v>
      </c>
      <c r="I142" s="190" t="str">
        <f t="shared" si="10"/>
        <v/>
      </c>
      <c r="J142" s="189" t="e">
        <f t="shared" si="13"/>
        <v>#NUM!</v>
      </c>
      <c r="K142" s="189" t="e">
        <f t="shared" si="11"/>
        <v>#NUM!</v>
      </c>
      <c r="L142" s="189"/>
      <c r="M142" s="191">
        <f t="shared" si="12"/>
        <v>0</v>
      </c>
    </row>
    <row r="143" spans="1:13" x14ac:dyDescent="0.25">
      <c r="A143" s="206"/>
      <c r="G143" s="177"/>
      <c r="H143" s="189">
        <v>138</v>
      </c>
      <c r="I143" s="190" t="str">
        <f t="shared" si="10"/>
        <v/>
      </c>
      <c r="J143" s="189" t="e">
        <f t="shared" si="13"/>
        <v>#NUM!</v>
      </c>
      <c r="K143" s="189" t="e">
        <f t="shared" si="11"/>
        <v>#NUM!</v>
      </c>
      <c r="L143" s="189"/>
      <c r="M143" s="191">
        <f t="shared" si="12"/>
        <v>0</v>
      </c>
    </row>
    <row r="144" spans="1:13" x14ac:dyDescent="0.25">
      <c r="A144" s="206"/>
      <c r="G144" s="177"/>
      <c r="H144" s="189">
        <v>139</v>
      </c>
      <c r="I144" s="190" t="str">
        <f t="shared" si="10"/>
        <v/>
      </c>
      <c r="J144" s="189" t="e">
        <f t="shared" si="13"/>
        <v>#NUM!</v>
      </c>
      <c r="K144" s="189" t="e">
        <f t="shared" si="11"/>
        <v>#NUM!</v>
      </c>
      <c r="L144" s="189"/>
      <c r="M144" s="191">
        <f t="shared" si="12"/>
        <v>0</v>
      </c>
    </row>
    <row r="145" spans="1:13" x14ac:dyDescent="0.25">
      <c r="A145" s="206"/>
      <c r="G145" s="177"/>
      <c r="H145" s="189">
        <v>140</v>
      </c>
      <c r="I145" s="190" t="str">
        <f t="shared" si="10"/>
        <v/>
      </c>
      <c r="J145" s="189" t="e">
        <f t="shared" si="13"/>
        <v>#NUM!</v>
      </c>
      <c r="K145" s="189" t="e">
        <f t="shared" si="11"/>
        <v>#NUM!</v>
      </c>
      <c r="L145" s="189"/>
      <c r="M145" s="191">
        <f t="shared" si="12"/>
        <v>0</v>
      </c>
    </row>
    <row r="146" spans="1:13" x14ac:dyDescent="0.25">
      <c r="A146" s="206"/>
      <c r="G146" s="177"/>
      <c r="H146" s="189">
        <v>141</v>
      </c>
      <c r="I146" s="190" t="str">
        <f t="shared" si="10"/>
        <v/>
      </c>
      <c r="J146" s="189" t="e">
        <f t="shared" si="13"/>
        <v>#NUM!</v>
      </c>
      <c r="K146" s="189" t="e">
        <f t="shared" si="11"/>
        <v>#NUM!</v>
      </c>
      <c r="L146" s="189"/>
      <c r="M146" s="191">
        <f t="shared" si="12"/>
        <v>0</v>
      </c>
    </row>
    <row r="147" spans="1:13" x14ac:dyDescent="0.25">
      <c r="A147" s="206"/>
      <c r="G147" s="177"/>
      <c r="H147" s="189">
        <v>142</v>
      </c>
      <c r="I147" s="190" t="str">
        <f t="shared" si="10"/>
        <v/>
      </c>
      <c r="J147" s="189" t="e">
        <f t="shared" si="13"/>
        <v>#NUM!</v>
      </c>
      <c r="K147" s="189" t="e">
        <f t="shared" si="11"/>
        <v>#NUM!</v>
      </c>
      <c r="L147" s="189"/>
      <c r="M147" s="191">
        <f t="shared" si="12"/>
        <v>0</v>
      </c>
    </row>
    <row r="148" spans="1:13" x14ac:dyDescent="0.25">
      <c r="A148" s="206"/>
      <c r="G148" s="177"/>
      <c r="H148" s="189">
        <v>143</v>
      </c>
      <c r="I148" s="190" t="str">
        <f t="shared" si="10"/>
        <v/>
      </c>
      <c r="J148" s="189" t="e">
        <f t="shared" si="13"/>
        <v>#NUM!</v>
      </c>
      <c r="K148" s="189" t="e">
        <f t="shared" si="11"/>
        <v>#NUM!</v>
      </c>
      <c r="L148" s="189"/>
      <c r="M148" s="191">
        <f t="shared" si="12"/>
        <v>0</v>
      </c>
    </row>
    <row r="149" spans="1:13" x14ac:dyDescent="0.25">
      <c r="A149" s="206"/>
      <c r="G149" s="177"/>
      <c r="H149" s="189">
        <v>144</v>
      </c>
      <c r="I149" s="190" t="str">
        <f t="shared" si="10"/>
        <v/>
      </c>
      <c r="J149" s="189" t="e">
        <f t="shared" si="13"/>
        <v>#NUM!</v>
      </c>
      <c r="K149" s="189" t="e">
        <f t="shared" si="11"/>
        <v>#NUM!</v>
      </c>
      <c r="L149" s="189"/>
      <c r="M149" s="191">
        <f t="shared" si="12"/>
        <v>0</v>
      </c>
    </row>
    <row r="150" spans="1:13" x14ac:dyDescent="0.25">
      <c r="A150" s="206"/>
      <c r="G150" s="177"/>
      <c r="H150" s="189">
        <v>145</v>
      </c>
      <c r="I150" s="190" t="str">
        <f t="shared" si="10"/>
        <v/>
      </c>
      <c r="J150" s="189" t="e">
        <f t="shared" si="13"/>
        <v>#NUM!</v>
      </c>
      <c r="K150" s="189" t="e">
        <f t="shared" si="11"/>
        <v>#NUM!</v>
      </c>
      <c r="L150" s="189"/>
      <c r="M150" s="191">
        <f t="shared" si="12"/>
        <v>0</v>
      </c>
    </row>
    <row r="151" spans="1:13" x14ac:dyDescent="0.25">
      <c r="A151" s="206"/>
      <c r="G151" s="177"/>
      <c r="H151" s="189">
        <v>146</v>
      </c>
      <c r="I151" s="190" t="str">
        <f t="shared" si="10"/>
        <v/>
      </c>
      <c r="J151" s="189" t="e">
        <f t="shared" si="13"/>
        <v>#NUM!</v>
      </c>
      <c r="K151" s="189" t="e">
        <f t="shared" si="11"/>
        <v>#NUM!</v>
      </c>
      <c r="L151" s="189"/>
      <c r="M151" s="191">
        <f t="shared" si="12"/>
        <v>0</v>
      </c>
    </row>
    <row r="152" spans="1:13" x14ac:dyDescent="0.25">
      <c r="A152" s="206"/>
      <c r="G152" s="177"/>
      <c r="H152" s="189">
        <v>147</v>
      </c>
      <c r="I152" s="190" t="str">
        <f t="shared" si="10"/>
        <v/>
      </c>
      <c r="J152" s="189" t="e">
        <f t="shared" si="13"/>
        <v>#NUM!</v>
      </c>
      <c r="K152" s="189" t="e">
        <f t="shared" si="11"/>
        <v>#NUM!</v>
      </c>
      <c r="L152" s="189"/>
      <c r="M152" s="191">
        <f t="shared" si="12"/>
        <v>0</v>
      </c>
    </row>
    <row r="153" spans="1:13" x14ac:dyDescent="0.25">
      <c r="A153" s="206"/>
      <c r="G153" s="177"/>
      <c r="H153" s="189">
        <v>148</v>
      </c>
      <c r="I153" s="190" t="str">
        <f t="shared" si="10"/>
        <v/>
      </c>
      <c r="J153" s="189" t="e">
        <f t="shared" si="13"/>
        <v>#NUM!</v>
      </c>
      <c r="K153" s="189" t="e">
        <f t="shared" si="11"/>
        <v>#NUM!</v>
      </c>
      <c r="L153" s="189"/>
      <c r="M153" s="191">
        <f t="shared" si="12"/>
        <v>0</v>
      </c>
    </row>
    <row r="154" spans="1:13" x14ac:dyDescent="0.25">
      <c r="A154" s="206"/>
      <c r="G154" s="177"/>
      <c r="H154" s="189">
        <v>149</v>
      </c>
      <c r="I154" s="190" t="str">
        <f t="shared" si="10"/>
        <v/>
      </c>
      <c r="J154" s="189" t="e">
        <f t="shared" si="13"/>
        <v>#NUM!</v>
      </c>
      <c r="K154" s="189" t="e">
        <f t="shared" si="11"/>
        <v>#NUM!</v>
      </c>
      <c r="L154" s="189"/>
      <c r="M154" s="191">
        <f t="shared" si="12"/>
        <v>0</v>
      </c>
    </row>
    <row r="155" spans="1:13" x14ac:dyDescent="0.25">
      <c r="A155" s="206"/>
      <c r="G155" s="177"/>
      <c r="H155" s="189">
        <v>150</v>
      </c>
      <c r="I155" s="190" t="str">
        <f t="shared" si="10"/>
        <v/>
      </c>
      <c r="J155" s="189" t="e">
        <f t="shared" si="13"/>
        <v>#NUM!</v>
      </c>
      <c r="K155" s="189" t="e">
        <f t="shared" si="11"/>
        <v>#NUM!</v>
      </c>
      <c r="L155" s="189"/>
      <c r="M155" s="191">
        <f t="shared" si="12"/>
        <v>0</v>
      </c>
    </row>
    <row r="156" spans="1:13" x14ac:dyDescent="0.25">
      <c r="A156" s="206"/>
      <c r="G156" s="177"/>
      <c r="H156" s="189">
        <v>151</v>
      </c>
      <c r="I156" s="190" t="str">
        <f t="shared" si="10"/>
        <v/>
      </c>
      <c r="J156" s="189" t="e">
        <f t="shared" si="13"/>
        <v>#NUM!</v>
      </c>
      <c r="K156" s="189" t="e">
        <f t="shared" si="11"/>
        <v>#NUM!</v>
      </c>
      <c r="L156" s="189"/>
      <c r="M156" s="191">
        <f t="shared" si="12"/>
        <v>0</v>
      </c>
    </row>
    <row r="157" spans="1:13" x14ac:dyDescent="0.25">
      <c r="A157" s="206"/>
      <c r="G157" s="177"/>
      <c r="H157" s="189">
        <v>152</v>
      </c>
      <c r="I157" s="190" t="str">
        <f t="shared" si="10"/>
        <v/>
      </c>
      <c r="J157" s="189" t="e">
        <f t="shared" si="13"/>
        <v>#NUM!</v>
      </c>
      <c r="K157" s="189" t="e">
        <f t="shared" si="11"/>
        <v>#NUM!</v>
      </c>
      <c r="L157" s="189"/>
      <c r="M157" s="191">
        <f t="shared" si="12"/>
        <v>0</v>
      </c>
    </row>
    <row r="158" spans="1:13" x14ac:dyDescent="0.25">
      <c r="A158" s="206"/>
      <c r="G158" s="177"/>
      <c r="H158" s="189">
        <v>153</v>
      </c>
      <c r="I158" s="190" t="str">
        <f t="shared" si="10"/>
        <v/>
      </c>
      <c r="J158" s="189" t="e">
        <f t="shared" si="13"/>
        <v>#NUM!</v>
      </c>
      <c r="K158" s="189" t="e">
        <f t="shared" si="11"/>
        <v>#NUM!</v>
      </c>
      <c r="L158" s="189"/>
      <c r="M158" s="191">
        <f t="shared" si="12"/>
        <v>0</v>
      </c>
    </row>
    <row r="159" spans="1:13" x14ac:dyDescent="0.25">
      <c r="A159" s="206"/>
      <c r="G159" s="177"/>
      <c r="H159" s="189">
        <v>154</v>
      </c>
      <c r="I159" s="190" t="str">
        <f t="shared" si="10"/>
        <v/>
      </c>
      <c r="J159" s="189" t="e">
        <f t="shared" si="13"/>
        <v>#NUM!</v>
      </c>
      <c r="K159" s="189" t="e">
        <f t="shared" si="11"/>
        <v>#NUM!</v>
      </c>
      <c r="L159" s="189"/>
      <c r="M159" s="191">
        <f t="shared" si="12"/>
        <v>0</v>
      </c>
    </row>
    <row r="160" spans="1:13" x14ac:dyDescent="0.25">
      <c r="A160" s="206"/>
      <c r="G160" s="177"/>
      <c r="H160" s="189">
        <v>155</v>
      </c>
      <c r="I160" s="190" t="str">
        <f t="shared" si="10"/>
        <v/>
      </c>
      <c r="J160" s="189" t="e">
        <f t="shared" si="13"/>
        <v>#NUM!</v>
      </c>
      <c r="K160" s="189" t="e">
        <f t="shared" si="11"/>
        <v>#NUM!</v>
      </c>
      <c r="L160" s="189"/>
      <c r="M160" s="191">
        <f t="shared" si="12"/>
        <v>0</v>
      </c>
    </row>
    <row r="161" spans="1:13" x14ac:dyDescent="0.25">
      <c r="A161" s="206"/>
      <c r="G161" s="177"/>
      <c r="H161" s="189">
        <v>156</v>
      </c>
      <c r="I161" s="190" t="str">
        <f t="shared" si="10"/>
        <v/>
      </c>
      <c r="J161" s="189" t="e">
        <f t="shared" si="13"/>
        <v>#NUM!</v>
      </c>
      <c r="K161" s="189" t="e">
        <f t="shared" si="11"/>
        <v>#NUM!</v>
      </c>
      <c r="L161" s="189"/>
      <c r="M161" s="191">
        <f t="shared" si="12"/>
        <v>0</v>
      </c>
    </row>
    <row r="162" spans="1:13" x14ac:dyDescent="0.25">
      <c r="A162" s="206"/>
      <c r="G162" s="177"/>
      <c r="H162" s="189">
        <v>157</v>
      </c>
      <c r="I162" s="190" t="str">
        <f t="shared" si="10"/>
        <v/>
      </c>
      <c r="J162" s="189" t="e">
        <f t="shared" si="13"/>
        <v>#NUM!</v>
      </c>
      <c r="K162" s="189" t="e">
        <f t="shared" si="11"/>
        <v>#NUM!</v>
      </c>
      <c r="L162" s="189"/>
      <c r="M162" s="191">
        <f t="shared" si="12"/>
        <v>0</v>
      </c>
    </row>
    <row r="163" spans="1:13" x14ac:dyDescent="0.25">
      <c r="A163" s="206"/>
      <c r="G163" s="177"/>
      <c r="H163" s="189">
        <v>158</v>
      </c>
      <c r="I163" s="190" t="str">
        <f t="shared" si="10"/>
        <v/>
      </c>
      <c r="J163" s="189" t="e">
        <f t="shared" si="13"/>
        <v>#NUM!</v>
      </c>
      <c r="K163" s="189" t="e">
        <f t="shared" si="11"/>
        <v>#NUM!</v>
      </c>
      <c r="L163" s="189"/>
      <c r="M163" s="191">
        <f t="shared" si="12"/>
        <v>0</v>
      </c>
    </row>
    <row r="164" spans="1:13" x14ac:dyDescent="0.25">
      <c r="A164" s="206"/>
      <c r="G164" s="177"/>
      <c r="H164" s="189">
        <v>159</v>
      </c>
      <c r="I164" s="190" t="str">
        <f t="shared" si="10"/>
        <v/>
      </c>
      <c r="J164" s="189" t="e">
        <f t="shared" si="13"/>
        <v>#NUM!</v>
      </c>
      <c r="K164" s="189" t="e">
        <f t="shared" si="11"/>
        <v>#NUM!</v>
      </c>
      <c r="L164" s="189"/>
      <c r="M164" s="191">
        <f t="shared" si="12"/>
        <v>0</v>
      </c>
    </row>
    <row r="165" spans="1:13" x14ac:dyDescent="0.25">
      <c r="A165" s="206"/>
      <c r="G165" s="177"/>
      <c r="H165" s="189">
        <v>160</v>
      </c>
      <c r="I165" s="190" t="str">
        <f t="shared" si="10"/>
        <v/>
      </c>
      <c r="J165" s="189" t="e">
        <f t="shared" si="13"/>
        <v>#NUM!</v>
      </c>
      <c r="K165" s="189" t="e">
        <f t="shared" si="11"/>
        <v>#NUM!</v>
      </c>
      <c r="L165" s="189"/>
      <c r="M165" s="191">
        <f t="shared" si="12"/>
        <v>0</v>
      </c>
    </row>
    <row r="166" spans="1:13" x14ac:dyDescent="0.25">
      <c r="A166" s="206"/>
      <c r="G166" s="177"/>
      <c r="H166" s="189">
        <v>161</v>
      </c>
      <c r="I166" s="190" t="str">
        <f t="shared" si="10"/>
        <v/>
      </c>
      <c r="J166" s="189" t="e">
        <f t="shared" si="13"/>
        <v>#NUM!</v>
      </c>
      <c r="K166" s="189" t="e">
        <f t="shared" si="11"/>
        <v>#NUM!</v>
      </c>
      <c r="L166" s="189"/>
      <c r="M166" s="191">
        <f t="shared" si="12"/>
        <v>0</v>
      </c>
    </row>
    <row r="167" spans="1:13" x14ac:dyDescent="0.25">
      <c r="A167" s="206"/>
      <c r="G167" s="177"/>
      <c r="H167" s="189">
        <v>162</v>
      </c>
      <c r="I167" s="190" t="str">
        <f t="shared" si="10"/>
        <v/>
      </c>
      <c r="J167" s="189" t="e">
        <f t="shared" si="13"/>
        <v>#NUM!</v>
      </c>
      <c r="K167" s="189" t="e">
        <f t="shared" si="11"/>
        <v>#NUM!</v>
      </c>
      <c r="L167" s="189"/>
      <c r="M167" s="191">
        <f t="shared" si="12"/>
        <v>0</v>
      </c>
    </row>
    <row r="168" spans="1:13" x14ac:dyDescent="0.25">
      <c r="A168" s="206"/>
      <c r="G168" s="177"/>
      <c r="H168" s="189">
        <v>163</v>
      </c>
      <c r="I168" s="190" t="str">
        <f t="shared" si="10"/>
        <v/>
      </c>
      <c r="J168" s="189" t="e">
        <f t="shared" si="13"/>
        <v>#NUM!</v>
      </c>
      <c r="K168" s="189" t="e">
        <f t="shared" si="11"/>
        <v>#NUM!</v>
      </c>
      <c r="L168" s="189"/>
      <c r="M168" s="191">
        <f t="shared" si="12"/>
        <v>0</v>
      </c>
    </row>
    <row r="169" spans="1:13" x14ac:dyDescent="0.25">
      <c r="A169" s="206"/>
      <c r="C169" s="205" t="s">
        <v>53</v>
      </c>
      <c r="G169" s="177"/>
      <c r="H169" s="189">
        <v>164</v>
      </c>
      <c r="I169" s="190" t="str">
        <f t="shared" si="10"/>
        <v/>
      </c>
      <c r="J169" s="189" t="e">
        <f t="shared" si="13"/>
        <v>#NUM!</v>
      </c>
      <c r="K169" s="189" t="e">
        <f t="shared" si="11"/>
        <v>#NUM!</v>
      </c>
      <c r="L169" s="189"/>
      <c r="M169" s="191">
        <f t="shared" si="12"/>
        <v>0</v>
      </c>
    </row>
    <row r="170" spans="1:13" x14ac:dyDescent="0.25">
      <c r="A170" s="206"/>
      <c r="G170" s="177"/>
      <c r="H170" s="189">
        <v>165</v>
      </c>
      <c r="I170" s="190" t="str">
        <f t="shared" si="10"/>
        <v/>
      </c>
      <c r="J170" s="189" t="e">
        <f t="shared" si="13"/>
        <v>#NUM!</v>
      </c>
      <c r="K170" s="189" t="e">
        <f t="shared" si="11"/>
        <v>#NUM!</v>
      </c>
      <c r="L170" s="189"/>
      <c r="M170" s="191">
        <f t="shared" si="12"/>
        <v>0</v>
      </c>
    </row>
    <row r="171" spans="1:13" x14ac:dyDescent="0.25">
      <c r="A171" s="206"/>
      <c r="G171" s="177"/>
      <c r="H171" s="189">
        <v>166</v>
      </c>
      <c r="I171" s="190" t="str">
        <f t="shared" si="10"/>
        <v/>
      </c>
      <c r="J171" s="189" t="e">
        <f t="shared" si="13"/>
        <v>#NUM!</v>
      </c>
      <c r="K171" s="189" t="e">
        <f t="shared" si="11"/>
        <v>#NUM!</v>
      </c>
      <c r="L171" s="189"/>
      <c r="M171" s="191">
        <f t="shared" si="12"/>
        <v>0</v>
      </c>
    </row>
    <row r="172" spans="1:13" x14ac:dyDescent="0.25">
      <c r="A172" s="206"/>
      <c r="G172" s="177"/>
      <c r="H172" s="189">
        <v>167</v>
      </c>
      <c r="I172" s="190" t="str">
        <f t="shared" si="10"/>
        <v/>
      </c>
      <c r="J172" s="189" t="e">
        <f t="shared" si="13"/>
        <v>#NUM!</v>
      </c>
      <c r="K172" s="189" t="e">
        <f t="shared" si="11"/>
        <v>#NUM!</v>
      </c>
      <c r="L172" s="189"/>
      <c r="M172" s="191">
        <f t="shared" si="12"/>
        <v>0</v>
      </c>
    </row>
    <row r="173" spans="1:13" x14ac:dyDescent="0.25">
      <c r="A173" s="206"/>
      <c r="G173" s="177"/>
      <c r="H173" s="189">
        <v>168</v>
      </c>
      <c r="I173" s="190" t="str">
        <f t="shared" si="10"/>
        <v/>
      </c>
      <c r="J173" s="189" t="e">
        <f t="shared" si="13"/>
        <v>#NUM!</v>
      </c>
      <c r="K173" s="189" t="e">
        <f t="shared" si="11"/>
        <v>#NUM!</v>
      </c>
      <c r="L173" s="189"/>
      <c r="M173" s="191">
        <f t="shared" si="12"/>
        <v>0</v>
      </c>
    </row>
    <row r="174" spans="1:13" x14ac:dyDescent="0.25">
      <c r="A174" s="206"/>
      <c r="G174" s="177"/>
      <c r="H174" s="189">
        <v>169</v>
      </c>
      <c r="I174" s="190" t="str">
        <f t="shared" si="10"/>
        <v/>
      </c>
      <c r="J174" s="189" t="e">
        <f t="shared" si="13"/>
        <v>#NUM!</v>
      </c>
      <c r="K174" s="189" t="e">
        <f t="shared" si="11"/>
        <v>#NUM!</v>
      </c>
      <c r="L174" s="189"/>
      <c r="M174" s="191">
        <f t="shared" si="12"/>
        <v>0</v>
      </c>
    </row>
    <row r="175" spans="1:13" x14ac:dyDescent="0.25">
      <c r="A175" s="206"/>
      <c r="G175" s="177"/>
      <c r="H175" s="189">
        <v>170</v>
      </c>
      <c r="I175" s="190" t="str">
        <f t="shared" si="10"/>
        <v/>
      </c>
      <c r="J175" s="189" t="e">
        <f t="shared" si="13"/>
        <v>#NUM!</v>
      </c>
      <c r="K175" s="189" t="e">
        <f t="shared" si="11"/>
        <v>#NUM!</v>
      </c>
      <c r="L175" s="189"/>
      <c r="M175" s="191">
        <f t="shared" si="12"/>
        <v>0</v>
      </c>
    </row>
    <row r="176" spans="1:13" x14ac:dyDescent="0.25">
      <c r="A176" s="206"/>
      <c r="G176" s="177"/>
      <c r="H176" s="189">
        <v>171</v>
      </c>
      <c r="I176" s="190" t="str">
        <f t="shared" si="10"/>
        <v/>
      </c>
      <c r="J176" s="189" t="e">
        <f t="shared" si="13"/>
        <v>#NUM!</v>
      </c>
      <c r="K176" s="189" t="e">
        <f t="shared" si="11"/>
        <v>#NUM!</v>
      </c>
      <c r="L176" s="189"/>
      <c r="M176" s="191">
        <f t="shared" si="12"/>
        <v>0</v>
      </c>
    </row>
    <row r="177" spans="1:13" x14ac:dyDescent="0.25">
      <c r="A177" s="206"/>
      <c r="G177" s="177"/>
      <c r="H177" s="189">
        <v>172</v>
      </c>
      <c r="I177" s="190" t="str">
        <f t="shared" si="10"/>
        <v/>
      </c>
      <c r="J177" s="189" t="e">
        <f t="shared" si="13"/>
        <v>#NUM!</v>
      </c>
      <c r="K177" s="189" t="e">
        <f t="shared" si="11"/>
        <v>#NUM!</v>
      </c>
      <c r="L177" s="189"/>
      <c r="M177" s="191">
        <f t="shared" si="12"/>
        <v>0</v>
      </c>
    </row>
    <row r="178" spans="1:13" x14ac:dyDescent="0.25">
      <c r="A178" s="206"/>
      <c r="G178" s="177"/>
      <c r="H178" s="189">
        <v>173</v>
      </c>
      <c r="I178" s="190" t="str">
        <f t="shared" si="10"/>
        <v/>
      </c>
      <c r="J178" s="189" t="e">
        <f t="shared" si="13"/>
        <v>#NUM!</v>
      </c>
      <c r="K178" s="189" t="e">
        <f t="shared" si="11"/>
        <v>#NUM!</v>
      </c>
      <c r="L178" s="189"/>
      <c r="M178" s="191">
        <f t="shared" si="12"/>
        <v>0</v>
      </c>
    </row>
    <row r="179" spans="1:13" x14ac:dyDescent="0.25">
      <c r="A179" s="206"/>
      <c r="G179" s="177"/>
      <c r="H179" s="189">
        <v>174</v>
      </c>
      <c r="I179" s="190" t="str">
        <f t="shared" si="10"/>
        <v/>
      </c>
      <c r="J179" s="189" t="e">
        <f t="shared" si="13"/>
        <v>#NUM!</v>
      </c>
      <c r="K179" s="189" t="e">
        <f t="shared" si="11"/>
        <v>#NUM!</v>
      </c>
      <c r="L179" s="189"/>
      <c r="M179" s="191">
        <f t="shared" si="12"/>
        <v>0</v>
      </c>
    </row>
    <row r="180" spans="1:13" x14ac:dyDescent="0.25">
      <c r="A180" s="206"/>
      <c r="G180" s="177"/>
      <c r="H180" s="189">
        <v>175</v>
      </c>
      <c r="I180" s="190" t="str">
        <f t="shared" si="10"/>
        <v/>
      </c>
      <c r="J180" s="189" t="e">
        <f t="shared" si="13"/>
        <v>#NUM!</v>
      </c>
      <c r="K180" s="189" t="e">
        <f t="shared" si="11"/>
        <v>#NUM!</v>
      </c>
      <c r="L180" s="189"/>
      <c r="M180" s="191">
        <f t="shared" si="12"/>
        <v>0</v>
      </c>
    </row>
    <row r="181" spans="1:13" x14ac:dyDescent="0.25">
      <c r="A181" s="206"/>
      <c r="G181" s="177"/>
      <c r="H181" s="189">
        <v>176</v>
      </c>
      <c r="I181" s="190" t="str">
        <f t="shared" si="10"/>
        <v/>
      </c>
      <c r="J181" s="189" t="e">
        <f t="shared" si="13"/>
        <v>#NUM!</v>
      </c>
      <c r="K181" s="189" t="e">
        <f t="shared" si="11"/>
        <v>#NUM!</v>
      </c>
      <c r="L181" s="189"/>
      <c r="M181" s="191">
        <f t="shared" si="12"/>
        <v>0</v>
      </c>
    </row>
    <row r="182" spans="1:13" x14ac:dyDescent="0.25">
      <c r="A182" s="206"/>
      <c r="G182" s="177"/>
      <c r="H182" s="189">
        <v>177</v>
      </c>
      <c r="I182" s="190" t="str">
        <f t="shared" si="10"/>
        <v/>
      </c>
      <c r="J182" s="189" t="e">
        <f t="shared" si="13"/>
        <v>#NUM!</v>
      </c>
      <c r="K182" s="189" t="e">
        <f t="shared" si="11"/>
        <v>#NUM!</v>
      </c>
      <c r="L182" s="189"/>
      <c r="M182" s="191">
        <f t="shared" si="12"/>
        <v>0</v>
      </c>
    </row>
    <row r="183" spans="1:13" x14ac:dyDescent="0.25">
      <c r="A183" s="206"/>
      <c r="G183" s="177"/>
      <c r="H183" s="189">
        <v>178</v>
      </c>
      <c r="I183" s="190" t="str">
        <f t="shared" si="10"/>
        <v/>
      </c>
      <c r="J183" s="189" t="e">
        <f t="shared" si="13"/>
        <v>#NUM!</v>
      </c>
      <c r="K183" s="189" t="e">
        <f t="shared" si="11"/>
        <v>#NUM!</v>
      </c>
      <c r="L183" s="189"/>
      <c r="M183" s="191">
        <f t="shared" si="12"/>
        <v>0</v>
      </c>
    </row>
    <row r="184" spans="1:13" x14ac:dyDescent="0.25">
      <c r="A184" s="206"/>
      <c r="G184" s="177"/>
      <c r="H184" s="189">
        <v>179</v>
      </c>
      <c r="I184" s="190" t="str">
        <f t="shared" si="10"/>
        <v/>
      </c>
      <c r="J184" s="189" t="e">
        <f t="shared" si="13"/>
        <v>#NUM!</v>
      </c>
      <c r="K184" s="189" t="e">
        <f t="shared" si="11"/>
        <v>#NUM!</v>
      </c>
      <c r="L184" s="189"/>
      <c r="M184" s="191">
        <f t="shared" si="12"/>
        <v>0</v>
      </c>
    </row>
    <row r="185" spans="1:13" x14ac:dyDescent="0.25">
      <c r="A185" s="206"/>
      <c r="G185" s="177"/>
      <c r="H185" s="189">
        <v>180</v>
      </c>
      <c r="I185" s="190" t="str">
        <f t="shared" si="10"/>
        <v/>
      </c>
      <c r="J185" s="189" t="e">
        <f t="shared" si="13"/>
        <v>#NUM!</v>
      </c>
      <c r="K185" s="189" t="e">
        <f t="shared" si="11"/>
        <v>#NUM!</v>
      </c>
      <c r="L185" s="189"/>
      <c r="M185" s="191">
        <f t="shared" si="12"/>
        <v>0</v>
      </c>
    </row>
    <row r="186" spans="1:13" x14ac:dyDescent="0.25">
      <c r="A186" s="206"/>
      <c r="G186" s="177"/>
      <c r="H186" s="189">
        <v>181</v>
      </c>
      <c r="I186" s="190" t="str">
        <f t="shared" si="10"/>
        <v/>
      </c>
      <c r="J186" s="189" t="e">
        <f t="shared" si="13"/>
        <v>#NUM!</v>
      </c>
      <c r="K186" s="189" t="e">
        <f t="shared" si="11"/>
        <v>#NUM!</v>
      </c>
      <c r="L186" s="189"/>
      <c r="M186" s="191">
        <f t="shared" si="12"/>
        <v>0</v>
      </c>
    </row>
    <row r="187" spans="1:13" x14ac:dyDescent="0.25">
      <c r="A187" s="206"/>
      <c r="G187" s="177"/>
      <c r="H187" s="189">
        <v>182</v>
      </c>
      <c r="I187" s="190" t="str">
        <f t="shared" si="10"/>
        <v/>
      </c>
      <c r="J187" s="189" t="e">
        <f t="shared" si="13"/>
        <v>#NUM!</v>
      </c>
      <c r="K187" s="189" t="e">
        <f t="shared" si="11"/>
        <v>#NUM!</v>
      </c>
      <c r="L187" s="189"/>
      <c r="M187" s="191">
        <f t="shared" si="12"/>
        <v>0</v>
      </c>
    </row>
    <row r="188" spans="1:13" x14ac:dyDescent="0.25">
      <c r="A188" s="206"/>
      <c r="G188" s="177"/>
      <c r="H188" s="189">
        <v>183</v>
      </c>
      <c r="I188" s="190" t="str">
        <f t="shared" si="10"/>
        <v/>
      </c>
      <c r="J188" s="189" t="e">
        <f t="shared" si="13"/>
        <v>#NUM!</v>
      </c>
      <c r="K188" s="189" t="e">
        <f t="shared" si="11"/>
        <v>#NUM!</v>
      </c>
      <c r="L188" s="189"/>
      <c r="M188" s="191">
        <f t="shared" si="12"/>
        <v>0</v>
      </c>
    </row>
    <row r="189" spans="1:13" x14ac:dyDescent="0.25">
      <c r="A189" s="206"/>
      <c r="G189" s="177"/>
      <c r="H189" s="189">
        <v>184</v>
      </c>
      <c r="I189" s="190" t="str">
        <f t="shared" si="10"/>
        <v/>
      </c>
      <c r="J189" s="189" t="e">
        <f t="shared" si="13"/>
        <v>#NUM!</v>
      </c>
      <c r="K189" s="189" t="e">
        <f t="shared" si="11"/>
        <v>#NUM!</v>
      </c>
      <c r="L189" s="189"/>
      <c r="M189" s="191">
        <f t="shared" si="12"/>
        <v>0</v>
      </c>
    </row>
    <row r="190" spans="1:13" x14ac:dyDescent="0.25">
      <c r="A190" s="206"/>
      <c r="G190" s="177"/>
      <c r="H190" s="189">
        <v>185</v>
      </c>
      <c r="I190" s="190" t="str">
        <f t="shared" si="10"/>
        <v/>
      </c>
      <c r="J190" s="189" t="e">
        <f t="shared" si="13"/>
        <v>#NUM!</v>
      </c>
      <c r="K190" s="189" t="e">
        <f t="shared" si="11"/>
        <v>#NUM!</v>
      </c>
      <c r="L190" s="189"/>
      <c r="M190" s="191">
        <f t="shared" si="12"/>
        <v>0</v>
      </c>
    </row>
    <row r="191" spans="1:13" x14ac:dyDescent="0.25">
      <c r="A191" s="206"/>
      <c r="G191" s="177"/>
      <c r="H191" s="189">
        <v>186</v>
      </c>
      <c r="I191" s="190" t="str">
        <f t="shared" si="10"/>
        <v/>
      </c>
      <c r="J191" s="189" t="e">
        <f t="shared" si="13"/>
        <v>#NUM!</v>
      </c>
      <c r="K191" s="189" t="e">
        <f t="shared" si="11"/>
        <v>#NUM!</v>
      </c>
      <c r="L191" s="189"/>
      <c r="M191" s="191">
        <f t="shared" si="12"/>
        <v>0</v>
      </c>
    </row>
    <row r="192" spans="1:13" x14ac:dyDescent="0.25">
      <c r="A192" s="206"/>
      <c r="G192" s="177"/>
      <c r="H192" s="189">
        <v>187</v>
      </c>
      <c r="I192" s="190" t="str">
        <f t="shared" si="10"/>
        <v/>
      </c>
      <c r="J192" s="189" t="e">
        <f t="shared" si="13"/>
        <v>#NUM!</v>
      </c>
      <c r="K192" s="189" t="e">
        <f t="shared" si="11"/>
        <v>#NUM!</v>
      </c>
      <c r="L192" s="189"/>
      <c r="M192" s="191">
        <f t="shared" si="12"/>
        <v>0</v>
      </c>
    </row>
    <row r="193" spans="1:13" x14ac:dyDescent="0.25">
      <c r="A193" s="206"/>
      <c r="G193" s="177"/>
      <c r="H193" s="189">
        <v>188</v>
      </c>
      <c r="I193" s="190" t="str">
        <f t="shared" si="10"/>
        <v/>
      </c>
      <c r="J193" s="189" t="e">
        <f t="shared" si="13"/>
        <v>#NUM!</v>
      </c>
      <c r="K193" s="189" t="e">
        <f t="shared" si="11"/>
        <v>#NUM!</v>
      </c>
      <c r="L193" s="189"/>
      <c r="M193" s="191">
        <f t="shared" si="12"/>
        <v>0</v>
      </c>
    </row>
    <row r="194" spans="1:13" x14ac:dyDescent="0.25">
      <c r="A194" s="206"/>
      <c r="G194" s="177"/>
      <c r="H194" s="189">
        <v>189</v>
      </c>
      <c r="I194" s="190" t="str">
        <f t="shared" si="10"/>
        <v/>
      </c>
      <c r="J194" s="189" t="e">
        <f t="shared" si="13"/>
        <v>#NUM!</v>
      </c>
      <c r="K194" s="189" t="e">
        <f t="shared" si="11"/>
        <v>#NUM!</v>
      </c>
      <c r="L194" s="189"/>
      <c r="M194" s="191">
        <f t="shared" si="12"/>
        <v>0</v>
      </c>
    </row>
    <row r="195" spans="1:13" x14ac:dyDescent="0.25">
      <c r="A195" s="206"/>
      <c r="G195" s="177"/>
      <c r="H195" s="189">
        <v>190</v>
      </c>
      <c r="I195" s="190" t="str">
        <f t="shared" si="10"/>
        <v/>
      </c>
      <c r="J195" s="189" t="e">
        <f t="shared" si="13"/>
        <v>#NUM!</v>
      </c>
      <c r="K195" s="189" t="e">
        <f t="shared" si="11"/>
        <v>#NUM!</v>
      </c>
      <c r="L195" s="189"/>
      <c r="M195" s="191">
        <f t="shared" si="12"/>
        <v>0</v>
      </c>
    </row>
    <row r="196" spans="1:13" x14ac:dyDescent="0.25">
      <c r="A196" s="206"/>
      <c r="G196" s="177"/>
      <c r="H196" s="189">
        <v>191</v>
      </c>
      <c r="I196" s="190" t="str">
        <f t="shared" si="10"/>
        <v/>
      </c>
      <c r="J196" s="189" t="e">
        <f t="shared" si="13"/>
        <v>#NUM!</v>
      </c>
      <c r="K196" s="189" t="e">
        <f t="shared" si="11"/>
        <v>#NUM!</v>
      </c>
      <c r="L196" s="189"/>
      <c r="M196" s="191">
        <f t="shared" si="12"/>
        <v>0</v>
      </c>
    </row>
    <row r="197" spans="1:13" x14ac:dyDescent="0.25">
      <c r="A197" s="206"/>
      <c r="G197" s="177"/>
      <c r="H197" s="189">
        <v>192</v>
      </c>
      <c r="I197" s="190" t="str">
        <f t="shared" si="10"/>
        <v/>
      </c>
      <c r="J197" s="189" t="e">
        <f t="shared" si="13"/>
        <v>#NUM!</v>
      </c>
      <c r="K197" s="189" t="e">
        <f t="shared" si="11"/>
        <v>#NUM!</v>
      </c>
      <c r="L197" s="189"/>
      <c r="M197" s="191">
        <f t="shared" si="12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4">IF(H198&lt;$H$2+1,($I$2-($I$2-1)*(LOG(H198)/LOG($H$2))),"")</f>
        <v/>
      </c>
      <c r="J198" s="189" t="e">
        <f t="shared" si="13"/>
        <v>#NUM!</v>
      </c>
      <c r="K198" s="189" t="e">
        <f t="shared" ref="K198:K261" si="15">J198*$J$2</f>
        <v>#NUM!</v>
      </c>
      <c r="L198" s="189"/>
      <c r="M198" s="191">
        <f t="shared" ref="M198:M261" si="16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4"/>
        <v/>
      </c>
      <c r="J199" s="189" t="e">
        <f t="shared" ref="J199:J262" si="17">INT(LOG($H$2,2))-ROUNDUP(LOG(H199,2),0)+IF(OR($H$2=1,$H$2=2,$H$2=4,$H$2=8,$H$2=16,$H$2=32,$H$2=64,$H$2=128,$H$2=256),0,1)</f>
        <v>#NUM!</v>
      </c>
      <c r="K199" s="189" t="e">
        <f t="shared" si="15"/>
        <v>#NUM!</v>
      </c>
      <c r="L199" s="189"/>
      <c r="M199" s="191">
        <f t="shared" si="16"/>
        <v>0</v>
      </c>
    </row>
    <row r="200" spans="1:13" x14ac:dyDescent="0.25">
      <c r="A200" s="206"/>
      <c r="G200" s="177"/>
      <c r="H200" s="189">
        <v>195</v>
      </c>
      <c r="I200" s="190" t="str">
        <f t="shared" si="14"/>
        <v/>
      </c>
      <c r="J200" s="189" t="e">
        <f t="shared" si="17"/>
        <v>#NUM!</v>
      </c>
      <c r="K200" s="189" t="e">
        <f t="shared" si="15"/>
        <v>#NUM!</v>
      </c>
      <c r="L200" s="189"/>
      <c r="M200" s="191">
        <f t="shared" si="16"/>
        <v>0</v>
      </c>
    </row>
    <row r="201" spans="1:13" x14ac:dyDescent="0.25">
      <c r="A201" s="206"/>
      <c r="G201" s="177"/>
      <c r="H201" s="189">
        <v>196</v>
      </c>
      <c r="I201" s="190" t="str">
        <f t="shared" si="14"/>
        <v/>
      </c>
      <c r="J201" s="189" t="e">
        <f t="shared" si="17"/>
        <v>#NUM!</v>
      </c>
      <c r="K201" s="189" t="e">
        <f t="shared" si="15"/>
        <v>#NUM!</v>
      </c>
      <c r="L201" s="189"/>
      <c r="M201" s="191">
        <f t="shared" si="16"/>
        <v>0</v>
      </c>
    </row>
    <row r="202" spans="1:13" x14ac:dyDescent="0.25">
      <c r="A202" s="206"/>
      <c r="G202" s="177"/>
      <c r="H202" s="189">
        <v>197</v>
      </c>
      <c r="I202" s="190" t="str">
        <f t="shared" si="14"/>
        <v/>
      </c>
      <c r="J202" s="189" t="e">
        <f t="shared" si="17"/>
        <v>#NUM!</v>
      </c>
      <c r="K202" s="189" t="e">
        <f t="shared" si="15"/>
        <v>#NUM!</v>
      </c>
      <c r="L202" s="189"/>
      <c r="M202" s="191">
        <f t="shared" si="16"/>
        <v>0</v>
      </c>
    </row>
    <row r="203" spans="1:13" x14ac:dyDescent="0.25">
      <c r="A203" s="206"/>
      <c r="G203" s="177"/>
      <c r="H203" s="189">
        <v>198</v>
      </c>
      <c r="I203" s="190" t="str">
        <f t="shared" si="14"/>
        <v/>
      </c>
      <c r="J203" s="189" t="e">
        <f t="shared" si="17"/>
        <v>#NUM!</v>
      </c>
      <c r="K203" s="189" t="e">
        <f t="shared" si="15"/>
        <v>#NUM!</v>
      </c>
      <c r="L203" s="189"/>
      <c r="M203" s="191">
        <f t="shared" si="16"/>
        <v>0</v>
      </c>
    </row>
    <row r="204" spans="1:13" x14ac:dyDescent="0.25">
      <c r="A204" s="206"/>
      <c r="G204" s="177"/>
      <c r="H204" s="189">
        <v>199</v>
      </c>
      <c r="I204" s="190" t="str">
        <f t="shared" si="14"/>
        <v/>
      </c>
      <c r="J204" s="189" t="e">
        <f t="shared" si="17"/>
        <v>#NUM!</v>
      </c>
      <c r="K204" s="189" t="e">
        <f t="shared" si="15"/>
        <v>#NUM!</v>
      </c>
      <c r="L204" s="189"/>
      <c r="M204" s="191">
        <f t="shared" si="16"/>
        <v>0</v>
      </c>
    </row>
    <row r="205" spans="1:13" x14ac:dyDescent="0.25">
      <c r="A205" s="206"/>
      <c r="G205" s="177"/>
      <c r="H205" s="189">
        <v>200</v>
      </c>
      <c r="I205" s="190" t="str">
        <f t="shared" si="14"/>
        <v/>
      </c>
      <c r="J205" s="189" t="e">
        <f t="shared" si="17"/>
        <v>#NUM!</v>
      </c>
      <c r="K205" s="189" t="e">
        <f t="shared" si="15"/>
        <v>#NUM!</v>
      </c>
      <c r="L205" s="189"/>
      <c r="M205" s="191">
        <f t="shared" si="16"/>
        <v>0</v>
      </c>
    </row>
    <row r="206" spans="1:13" x14ac:dyDescent="0.25">
      <c r="A206" s="206"/>
      <c r="G206" s="177"/>
      <c r="H206" s="189">
        <v>201</v>
      </c>
      <c r="I206" s="190" t="str">
        <f t="shared" si="14"/>
        <v/>
      </c>
      <c r="J206" s="189" t="e">
        <f t="shared" si="17"/>
        <v>#NUM!</v>
      </c>
      <c r="K206" s="189" t="e">
        <f t="shared" si="15"/>
        <v>#NUM!</v>
      </c>
      <c r="L206" s="189"/>
      <c r="M206" s="191">
        <f t="shared" si="16"/>
        <v>0</v>
      </c>
    </row>
    <row r="207" spans="1:13" x14ac:dyDescent="0.25">
      <c r="A207" s="206"/>
      <c r="G207" s="177"/>
      <c r="H207" s="189">
        <v>202</v>
      </c>
      <c r="I207" s="190" t="str">
        <f t="shared" si="14"/>
        <v/>
      </c>
      <c r="J207" s="189" t="e">
        <f t="shared" si="17"/>
        <v>#NUM!</v>
      </c>
      <c r="K207" s="189" t="e">
        <f t="shared" si="15"/>
        <v>#NUM!</v>
      </c>
      <c r="L207" s="189"/>
      <c r="M207" s="191">
        <f t="shared" si="16"/>
        <v>0</v>
      </c>
    </row>
    <row r="208" spans="1:13" x14ac:dyDescent="0.25">
      <c r="A208" s="206"/>
      <c r="G208" s="177"/>
      <c r="H208" s="189">
        <v>203</v>
      </c>
      <c r="I208" s="190" t="str">
        <f t="shared" si="14"/>
        <v/>
      </c>
      <c r="J208" s="189" t="e">
        <f t="shared" si="17"/>
        <v>#NUM!</v>
      </c>
      <c r="K208" s="189" t="e">
        <f t="shared" si="15"/>
        <v>#NUM!</v>
      </c>
      <c r="L208" s="189"/>
      <c r="M208" s="191">
        <f t="shared" si="16"/>
        <v>0</v>
      </c>
    </row>
    <row r="209" spans="1:13" x14ac:dyDescent="0.25">
      <c r="A209" s="206"/>
      <c r="G209" s="177"/>
      <c r="H209" s="189">
        <v>204</v>
      </c>
      <c r="I209" s="190" t="str">
        <f t="shared" si="14"/>
        <v/>
      </c>
      <c r="J209" s="189" t="e">
        <f t="shared" si="17"/>
        <v>#NUM!</v>
      </c>
      <c r="K209" s="189" t="e">
        <f t="shared" si="15"/>
        <v>#NUM!</v>
      </c>
      <c r="L209" s="189"/>
      <c r="M209" s="191">
        <f t="shared" si="16"/>
        <v>0</v>
      </c>
    </row>
    <row r="210" spans="1:13" x14ac:dyDescent="0.25">
      <c r="A210" s="206"/>
      <c r="G210" s="177"/>
      <c r="H210" s="189">
        <v>205</v>
      </c>
      <c r="I210" s="190" t="str">
        <f t="shared" si="14"/>
        <v/>
      </c>
      <c r="J210" s="189" t="e">
        <f t="shared" si="17"/>
        <v>#NUM!</v>
      </c>
      <c r="K210" s="189" t="e">
        <f t="shared" si="15"/>
        <v>#NUM!</v>
      </c>
      <c r="L210" s="189"/>
      <c r="M210" s="191">
        <f t="shared" si="16"/>
        <v>0</v>
      </c>
    </row>
    <row r="211" spans="1:13" x14ac:dyDescent="0.25">
      <c r="A211" s="206"/>
      <c r="G211" s="177"/>
      <c r="H211" s="189">
        <v>206</v>
      </c>
      <c r="I211" s="190" t="str">
        <f t="shared" si="14"/>
        <v/>
      </c>
      <c r="J211" s="189" t="e">
        <f t="shared" si="17"/>
        <v>#NUM!</v>
      </c>
      <c r="K211" s="189" t="e">
        <f t="shared" si="15"/>
        <v>#NUM!</v>
      </c>
      <c r="L211" s="189"/>
      <c r="M211" s="191">
        <f t="shared" si="16"/>
        <v>0</v>
      </c>
    </row>
    <row r="212" spans="1:13" x14ac:dyDescent="0.25">
      <c r="A212" s="206"/>
      <c r="G212" s="177"/>
      <c r="H212" s="189">
        <v>207</v>
      </c>
      <c r="I212" s="190" t="str">
        <f t="shared" si="14"/>
        <v/>
      </c>
      <c r="J212" s="189" t="e">
        <f t="shared" si="17"/>
        <v>#NUM!</v>
      </c>
      <c r="K212" s="189" t="e">
        <f t="shared" si="15"/>
        <v>#NUM!</v>
      </c>
      <c r="L212" s="189"/>
      <c r="M212" s="191">
        <f t="shared" si="16"/>
        <v>0</v>
      </c>
    </row>
    <row r="213" spans="1:13" x14ac:dyDescent="0.25">
      <c r="A213" s="206"/>
      <c r="G213" s="177"/>
      <c r="H213" s="189">
        <v>208</v>
      </c>
      <c r="I213" s="190" t="str">
        <f t="shared" si="14"/>
        <v/>
      </c>
      <c r="J213" s="189" t="e">
        <f t="shared" si="17"/>
        <v>#NUM!</v>
      </c>
      <c r="K213" s="189" t="e">
        <f t="shared" si="15"/>
        <v>#NUM!</v>
      </c>
      <c r="L213" s="189"/>
      <c r="M213" s="191">
        <f t="shared" si="16"/>
        <v>0</v>
      </c>
    </row>
    <row r="214" spans="1:13" x14ac:dyDescent="0.25">
      <c r="A214" s="206"/>
      <c r="G214" s="177"/>
      <c r="H214" s="189">
        <v>209</v>
      </c>
      <c r="I214" s="190" t="str">
        <f t="shared" si="14"/>
        <v/>
      </c>
      <c r="J214" s="189" t="e">
        <f t="shared" si="17"/>
        <v>#NUM!</v>
      </c>
      <c r="K214" s="189" t="e">
        <f t="shared" si="15"/>
        <v>#NUM!</v>
      </c>
      <c r="L214" s="189"/>
      <c r="M214" s="191">
        <f t="shared" si="16"/>
        <v>0</v>
      </c>
    </row>
    <row r="215" spans="1:13" x14ac:dyDescent="0.25">
      <c r="A215" s="206"/>
      <c r="G215" s="177"/>
      <c r="H215" s="189">
        <v>210</v>
      </c>
      <c r="I215" s="190" t="str">
        <f t="shared" si="14"/>
        <v/>
      </c>
      <c r="J215" s="189" t="e">
        <f t="shared" si="17"/>
        <v>#NUM!</v>
      </c>
      <c r="K215" s="189" t="e">
        <f t="shared" si="15"/>
        <v>#NUM!</v>
      </c>
      <c r="L215" s="189"/>
      <c r="M215" s="191">
        <f t="shared" si="16"/>
        <v>0</v>
      </c>
    </row>
    <row r="216" spans="1:13" x14ac:dyDescent="0.25">
      <c r="A216" s="206"/>
      <c r="G216" s="177"/>
      <c r="H216" s="189">
        <v>211</v>
      </c>
      <c r="I216" s="190" t="str">
        <f t="shared" si="14"/>
        <v/>
      </c>
      <c r="J216" s="189" t="e">
        <f t="shared" si="17"/>
        <v>#NUM!</v>
      </c>
      <c r="K216" s="189" t="e">
        <f t="shared" si="15"/>
        <v>#NUM!</v>
      </c>
      <c r="L216" s="189"/>
      <c r="M216" s="191">
        <f t="shared" si="16"/>
        <v>0</v>
      </c>
    </row>
    <row r="217" spans="1:13" x14ac:dyDescent="0.25">
      <c r="A217" s="206"/>
      <c r="G217" s="177"/>
      <c r="H217" s="189">
        <v>212</v>
      </c>
      <c r="I217" s="190" t="str">
        <f t="shared" si="14"/>
        <v/>
      </c>
      <c r="J217" s="189" t="e">
        <f t="shared" si="17"/>
        <v>#NUM!</v>
      </c>
      <c r="K217" s="189" t="e">
        <f t="shared" si="15"/>
        <v>#NUM!</v>
      </c>
      <c r="L217" s="189"/>
      <c r="M217" s="191">
        <f t="shared" si="16"/>
        <v>0</v>
      </c>
    </row>
    <row r="218" spans="1:13" x14ac:dyDescent="0.25">
      <c r="A218" s="206"/>
      <c r="G218" s="177"/>
      <c r="H218" s="189">
        <v>213</v>
      </c>
      <c r="I218" s="190" t="str">
        <f t="shared" si="14"/>
        <v/>
      </c>
      <c r="J218" s="189" t="e">
        <f t="shared" si="17"/>
        <v>#NUM!</v>
      </c>
      <c r="K218" s="189" t="e">
        <f t="shared" si="15"/>
        <v>#NUM!</v>
      </c>
      <c r="L218" s="189"/>
      <c r="M218" s="191">
        <f t="shared" si="16"/>
        <v>0</v>
      </c>
    </row>
    <row r="219" spans="1:13" x14ac:dyDescent="0.25">
      <c r="A219" s="206"/>
      <c r="G219" s="177"/>
      <c r="H219" s="189">
        <v>214</v>
      </c>
      <c r="I219" s="190" t="str">
        <f t="shared" si="14"/>
        <v/>
      </c>
      <c r="J219" s="189" t="e">
        <f t="shared" si="17"/>
        <v>#NUM!</v>
      </c>
      <c r="K219" s="189" t="e">
        <f t="shared" si="15"/>
        <v>#NUM!</v>
      </c>
      <c r="L219" s="189"/>
      <c r="M219" s="191">
        <f t="shared" si="16"/>
        <v>0</v>
      </c>
    </row>
    <row r="220" spans="1:13" x14ac:dyDescent="0.25">
      <c r="A220" s="206"/>
      <c r="G220" s="177"/>
      <c r="H220" s="189">
        <v>215</v>
      </c>
      <c r="I220" s="190" t="str">
        <f t="shared" si="14"/>
        <v/>
      </c>
      <c r="J220" s="189" t="e">
        <f t="shared" si="17"/>
        <v>#NUM!</v>
      </c>
      <c r="K220" s="189" t="e">
        <f t="shared" si="15"/>
        <v>#NUM!</v>
      </c>
      <c r="L220" s="189"/>
      <c r="M220" s="191">
        <f t="shared" si="16"/>
        <v>0</v>
      </c>
    </row>
    <row r="221" spans="1:13" x14ac:dyDescent="0.25">
      <c r="A221" s="206"/>
      <c r="G221" s="177"/>
      <c r="H221" s="189">
        <v>216</v>
      </c>
      <c r="I221" s="190" t="str">
        <f t="shared" si="14"/>
        <v/>
      </c>
      <c r="J221" s="189" t="e">
        <f t="shared" si="17"/>
        <v>#NUM!</v>
      </c>
      <c r="K221" s="189" t="e">
        <f t="shared" si="15"/>
        <v>#NUM!</v>
      </c>
      <c r="L221" s="189"/>
      <c r="M221" s="191">
        <f t="shared" si="16"/>
        <v>0</v>
      </c>
    </row>
    <row r="222" spans="1:13" x14ac:dyDescent="0.25">
      <c r="A222" s="206"/>
      <c r="G222" s="177"/>
      <c r="H222" s="189">
        <v>217</v>
      </c>
      <c r="I222" s="190" t="str">
        <f t="shared" si="14"/>
        <v/>
      </c>
      <c r="J222" s="189" t="e">
        <f t="shared" si="17"/>
        <v>#NUM!</v>
      </c>
      <c r="K222" s="189" t="e">
        <f t="shared" si="15"/>
        <v>#NUM!</v>
      </c>
      <c r="L222" s="189"/>
      <c r="M222" s="191">
        <f t="shared" si="16"/>
        <v>0</v>
      </c>
    </row>
    <row r="223" spans="1:13" x14ac:dyDescent="0.25">
      <c r="A223" s="206"/>
      <c r="G223" s="177"/>
      <c r="H223" s="189">
        <v>218</v>
      </c>
      <c r="I223" s="190" t="str">
        <f t="shared" si="14"/>
        <v/>
      </c>
      <c r="J223" s="189" t="e">
        <f t="shared" si="17"/>
        <v>#NUM!</v>
      </c>
      <c r="K223" s="189" t="e">
        <f t="shared" si="15"/>
        <v>#NUM!</v>
      </c>
      <c r="L223" s="189"/>
      <c r="M223" s="191">
        <f t="shared" si="16"/>
        <v>0</v>
      </c>
    </row>
    <row r="224" spans="1:13" x14ac:dyDescent="0.25">
      <c r="A224" s="206"/>
      <c r="G224" s="177"/>
      <c r="H224" s="189">
        <v>219</v>
      </c>
      <c r="I224" s="190" t="str">
        <f t="shared" si="14"/>
        <v/>
      </c>
      <c r="J224" s="189" t="e">
        <f t="shared" si="17"/>
        <v>#NUM!</v>
      </c>
      <c r="K224" s="189" t="e">
        <f t="shared" si="15"/>
        <v>#NUM!</v>
      </c>
      <c r="L224" s="189"/>
      <c r="M224" s="191">
        <f t="shared" si="16"/>
        <v>0</v>
      </c>
    </row>
    <row r="225" spans="1:13" x14ac:dyDescent="0.25">
      <c r="A225" s="206"/>
      <c r="G225" s="177"/>
      <c r="H225" s="189">
        <v>220</v>
      </c>
      <c r="I225" s="190" t="str">
        <f t="shared" si="14"/>
        <v/>
      </c>
      <c r="J225" s="189" t="e">
        <f t="shared" si="17"/>
        <v>#NUM!</v>
      </c>
      <c r="K225" s="189" t="e">
        <f t="shared" si="15"/>
        <v>#NUM!</v>
      </c>
      <c r="L225" s="189"/>
      <c r="M225" s="191">
        <f t="shared" si="16"/>
        <v>0</v>
      </c>
    </row>
    <row r="226" spans="1:13" x14ac:dyDescent="0.25">
      <c r="A226" s="206"/>
      <c r="G226" s="177"/>
      <c r="H226" s="189">
        <v>221</v>
      </c>
      <c r="I226" s="190" t="str">
        <f t="shared" si="14"/>
        <v/>
      </c>
      <c r="J226" s="189" t="e">
        <f t="shared" si="17"/>
        <v>#NUM!</v>
      </c>
      <c r="K226" s="189" t="e">
        <f t="shared" si="15"/>
        <v>#NUM!</v>
      </c>
      <c r="L226" s="189"/>
      <c r="M226" s="191">
        <f t="shared" si="16"/>
        <v>0</v>
      </c>
    </row>
    <row r="227" spans="1:13" x14ac:dyDescent="0.25">
      <c r="A227" s="206"/>
      <c r="G227" s="177"/>
      <c r="H227" s="189">
        <v>222</v>
      </c>
      <c r="I227" s="190" t="str">
        <f t="shared" si="14"/>
        <v/>
      </c>
      <c r="J227" s="189" t="e">
        <f t="shared" si="17"/>
        <v>#NUM!</v>
      </c>
      <c r="K227" s="189" t="e">
        <f t="shared" si="15"/>
        <v>#NUM!</v>
      </c>
      <c r="L227" s="189"/>
      <c r="M227" s="191">
        <f t="shared" si="16"/>
        <v>0</v>
      </c>
    </row>
    <row r="228" spans="1:13" x14ac:dyDescent="0.25">
      <c r="A228" s="206"/>
      <c r="G228" s="177"/>
      <c r="H228" s="189">
        <v>223</v>
      </c>
      <c r="I228" s="190" t="str">
        <f t="shared" si="14"/>
        <v/>
      </c>
      <c r="J228" s="189" t="e">
        <f t="shared" si="17"/>
        <v>#NUM!</v>
      </c>
      <c r="K228" s="189" t="e">
        <f t="shared" si="15"/>
        <v>#NUM!</v>
      </c>
      <c r="L228" s="189"/>
      <c r="M228" s="191">
        <f t="shared" si="16"/>
        <v>0</v>
      </c>
    </row>
    <row r="229" spans="1:13" x14ac:dyDescent="0.25">
      <c r="A229" s="206"/>
      <c r="G229" s="177"/>
      <c r="H229" s="189">
        <v>224</v>
      </c>
      <c r="I229" s="190" t="str">
        <f t="shared" si="14"/>
        <v/>
      </c>
      <c r="J229" s="189" t="e">
        <f t="shared" si="17"/>
        <v>#NUM!</v>
      </c>
      <c r="K229" s="189" t="e">
        <f t="shared" si="15"/>
        <v>#NUM!</v>
      </c>
      <c r="L229" s="189"/>
      <c r="M229" s="191">
        <f t="shared" si="16"/>
        <v>0</v>
      </c>
    </row>
    <row r="230" spans="1:13" x14ac:dyDescent="0.25">
      <c r="A230" s="206"/>
      <c r="G230" s="177"/>
      <c r="H230" s="189">
        <v>225</v>
      </c>
      <c r="I230" s="190" t="str">
        <f t="shared" si="14"/>
        <v/>
      </c>
      <c r="J230" s="189" t="e">
        <f t="shared" si="17"/>
        <v>#NUM!</v>
      </c>
      <c r="K230" s="189" t="e">
        <f t="shared" si="15"/>
        <v>#NUM!</v>
      </c>
      <c r="L230" s="189"/>
      <c r="M230" s="191">
        <f t="shared" si="16"/>
        <v>0</v>
      </c>
    </row>
    <row r="231" spans="1:13" x14ac:dyDescent="0.25">
      <c r="A231" s="206"/>
      <c r="G231" s="177"/>
      <c r="H231" s="189">
        <v>226</v>
      </c>
      <c r="I231" s="190" t="str">
        <f t="shared" si="14"/>
        <v/>
      </c>
      <c r="J231" s="189" t="e">
        <f t="shared" si="17"/>
        <v>#NUM!</v>
      </c>
      <c r="K231" s="189" t="e">
        <f t="shared" si="15"/>
        <v>#NUM!</v>
      </c>
      <c r="L231" s="189"/>
      <c r="M231" s="191">
        <f t="shared" si="16"/>
        <v>0</v>
      </c>
    </row>
    <row r="232" spans="1:13" x14ac:dyDescent="0.25">
      <c r="A232" s="206"/>
      <c r="G232" s="177"/>
      <c r="H232" s="189">
        <v>227</v>
      </c>
      <c r="I232" s="190" t="str">
        <f t="shared" si="14"/>
        <v/>
      </c>
      <c r="J232" s="189" t="e">
        <f t="shared" si="17"/>
        <v>#NUM!</v>
      </c>
      <c r="K232" s="189" t="e">
        <f t="shared" si="15"/>
        <v>#NUM!</v>
      </c>
      <c r="L232" s="189"/>
      <c r="M232" s="191">
        <f t="shared" si="16"/>
        <v>0</v>
      </c>
    </row>
    <row r="233" spans="1:13" x14ac:dyDescent="0.25">
      <c r="A233" s="206"/>
      <c r="G233" s="177"/>
      <c r="H233" s="189">
        <v>228</v>
      </c>
      <c r="I233" s="190" t="str">
        <f t="shared" si="14"/>
        <v/>
      </c>
      <c r="J233" s="189" t="e">
        <f t="shared" si="17"/>
        <v>#NUM!</v>
      </c>
      <c r="K233" s="189" t="e">
        <f t="shared" si="15"/>
        <v>#NUM!</v>
      </c>
      <c r="L233" s="189"/>
      <c r="M233" s="191">
        <f t="shared" si="16"/>
        <v>0</v>
      </c>
    </row>
    <row r="234" spans="1:13" x14ac:dyDescent="0.25">
      <c r="A234" s="206"/>
      <c r="G234" s="177"/>
      <c r="H234" s="189">
        <v>229</v>
      </c>
      <c r="I234" s="190" t="str">
        <f t="shared" si="14"/>
        <v/>
      </c>
      <c r="J234" s="189" t="e">
        <f t="shared" si="17"/>
        <v>#NUM!</v>
      </c>
      <c r="K234" s="189" t="e">
        <f t="shared" si="15"/>
        <v>#NUM!</v>
      </c>
      <c r="L234" s="189"/>
      <c r="M234" s="191">
        <f t="shared" si="16"/>
        <v>0</v>
      </c>
    </row>
    <row r="235" spans="1:13" x14ac:dyDescent="0.25">
      <c r="A235" s="206"/>
      <c r="G235" s="177"/>
      <c r="H235" s="189">
        <v>230</v>
      </c>
      <c r="I235" s="190" t="str">
        <f t="shared" si="14"/>
        <v/>
      </c>
      <c r="J235" s="189" t="e">
        <f t="shared" si="17"/>
        <v>#NUM!</v>
      </c>
      <c r="K235" s="189" t="e">
        <f t="shared" si="15"/>
        <v>#NUM!</v>
      </c>
      <c r="L235" s="189"/>
      <c r="M235" s="191">
        <f t="shared" si="16"/>
        <v>0</v>
      </c>
    </row>
    <row r="236" spans="1:13" x14ac:dyDescent="0.25">
      <c r="A236" s="206"/>
      <c r="G236" s="177"/>
      <c r="H236" s="189">
        <v>231</v>
      </c>
      <c r="I236" s="190" t="str">
        <f t="shared" si="14"/>
        <v/>
      </c>
      <c r="J236" s="189" t="e">
        <f t="shared" si="17"/>
        <v>#NUM!</v>
      </c>
      <c r="K236" s="189" t="e">
        <f t="shared" si="15"/>
        <v>#NUM!</v>
      </c>
      <c r="L236" s="189"/>
      <c r="M236" s="191">
        <f t="shared" si="16"/>
        <v>0</v>
      </c>
    </row>
    <row r="237" spans="1:13" x14ac:dyDescent="0.25">
      <c r="A237" s="206"/>
      <c r="G237" s="177"/>
      <c r="H237" s="189">
        <v>232</v>
      </c>
      <c r="I237" s="190" t="str">
        <f t="shared" si="14"/>
        <v/>
      </c>
      <c r="J237" s="189" t="e">
        <f t="shared" si="17"/>
        <v>#NUM!</v>
      </c>
      <c r="K237" s="189" t="e">
        <f t="shared" si="15"/>
        <v>#NUM!</v>
      </c>
      <c r="L237" s="189"/>
      <c r="M237" s="191">
        <f t="shared" si="16"/>
        <v>0</v>
      </c>
    </row>
    <row r="238" spans="1:13" x14ac:dyDescent="0.25">
      <c r="A238" s="206"/>
      <c r="G238" s="177"/>
      <c r="H238" s="189">
        <v>233</v>
      </c>
      <c r="I238" s="190" t="str">
        <f t="shared" si="14"/>
        <v/>
      </c>
      <c r="J238" s="189" t="e">
        <f t="shared" si="17"/>
        <v>#NUM!</v>
      </c>
      <c r="K238" s="189" t="e">
        <f t="shared" si="15"/>
        <v>#NUM!</v>
      </c>
      <c r="L238" s="189"/>
      <c r="M238" s="191">
        <f t="shared" si="16"/>
        <v>0</v>
      </c>
    </row>
    <row r="239" spans="1:13" x14ac:dyDescent="0.25">
      <c r="A239" s="206"/>
      <c r="G239" s="177"/>
      <c r="H239" s="189">
        <v>234</v>
      </c>
      <c r="I239" s="190" t="str">
        <f t="shared" si="14"/>
        <v/>
      </c>
      <c r="J239" s="189" t="e">
        <f t="shared" si="17"/>
        <v>#NUM!</v>
      </c>
      <c r="K239" s="189" t="e">
        <f t="shared" si="15"/>
        <v>#NUM!</v>
      </c>
      <c r="L239" s="189"/>
      <c r="M239" s="191">
        <f t="shared" si="16"/>
        <v>0</v>
      </c>
    </row>
    <row r="240" spans="1:13" x14ac:dyDescent="0.25">
      <c r="A240" s="206"/>
      <c r="G240" s="177"/>
      <c r="H240" s="189">
        <v>235</v>
      </c>
      <c r="I240" s="190" t="str">
        <f t="shared" si="14"/>
        <v/>
      </c>
      <c r="J240" s="189" t="e">
        <f t="shared" si="17"/>
        <v>#NUM!</v>
      </c>
      <c r="K240" s="189" t="e">
        <f t="shared" si="15"/>
        <v>#NUM!</v>
      </c>
      <c r="L240" s="189"/>
      <c r="M240" s="191">
        <f t="shared" si="16"/>
        <v>0</v>
      </c>
    </row>
    <row r="241" spans="1:13" x14ac:dyDescent="0.25">
      <c r="A241" s="206"/>
      <c r="G241" s="177"/>
      <c r="H241" s="189">
        <v>236</v>
      </c>
      <c r="I241" s="190" t="str">
        <f t="shared" si="14"/>
        <v/>
      </c>
      <c r="J241" s="189" t="e">
        <f t="shared" si="17"/>
        <v>#NUM!</v>
      </c>
      <c r="K241" s="189" t="e">
        <f t="shared" si="15"/>
        <v>#NUM!</v>
      </c>
      <c r="L241" s="189"/>
      <c r="M241" s="191">
        <f t="shared" si="16"/>
        <v>0</v>
      </c>
    </row>
    <row r="242" spans="1:13" x14ac:dyDescent="0.25">
      <c r="A242" s="206"/>
      <c r="G242" s="177"/>
      <c r="H242" s="189">
        <v>237</v>
      </c>
      <c r="I242" s="190" t="str">
        <f t="shared" si="14"/>
        <v/>
      </c>
      <c r="J242" s="189" t="e">
        <f t="shared" si="17"/>
        <v>#NUM!</v>
      </c>
      <c r="K242" s="189" t="e">
        <f t="shared" si="15"/>
        <v>#NUM!</v>
      </c>
      <c r="L242" s="189"/>
      <c r="M242" s="191">
        <f t="shared" si="16"/>
        <v>0</v>
      </c>
    </row>
    <row r="243" spans="1:13" x14ac:dyDescent="0.25">
      <c r="A243" s="206"/>
      <c r="G243" s="177"/>
      <c r="H243" s="189">
        <v>238</v>
      </c>
      <c r="I243" s="190" t="str">
        <f t="shared" si="14"/>
        <v/>
      </c>
      <c r="J243" s="189" t="e">
        <f t="shared" si="17"/>
        <v>#NUM!</v>
      </c>
      <c r="K243" s="189" t="e">
        <f t="shared" si="15"/>
        <v>#NUM!</v>
      </c>
      <c r="L243" s="189"/>
      <c r="M243" s="191">
        <f t="shared" si="16"/>
        <v>0</v>
      </c>
    </row>
    <row r="244" spans="1:13" x14ac:dyDescent="0.25">
      <c r="A244" s="206"/>
      <c r="G244" s="177"/>
      <c r="H244" s="189">
        <v>239</v>
      </c>
      <c r="I244" s="190" t="str">
        <f t="shared" si="14"/>
        <v/>
      </c>
      <c r="J244" s="189" t="e">
        <f t="shared" si="17"/>
        <v>#NUM!</v>
      </c>
      <c r="K244" s="189" t="e">
        <f t="shared" si="15"/>
        <v>#NUM!</v>
      </c>
      <c r="L244" s="189"/>
      <c r="M244" s="191">
        <f t="shared" si="16"/>
        <v>0</v>
      </c>
    </row>
    <row r="245" spans="1:13" x14ac:dyDescent="0.25">
      <c r="A245" s="206"/>
      <c r="G245" s="177"/>
      <c r="H245" s="189">
        <v>240</v>
      </c>
      <c r="I245" s="190" t="str">
        <f t="shared" si="14"/>
        <v/>
      </c>
      <c r="J245" s="189" t="e">
        <f t="shared" si="17"/>
        <v>#NUM!</v>
      </c>
      <c r="K245" s="189" t="e">
        <f t="shared" si="15"/>
        <v>#NUM!</v>
      </c>
      <c r="L245" s="189"/>
      <c r="M245" s="191">
        <f t="shared" si="16"/>
        <v>0</v>
      </c>
    </row>
    <row r="246" spans="1:13" x14ac:dyDescent="0.25">
      <c r="A246" s="206"/>
      <c r="G246" s="177"/>
      <c r="H246" s="189">
        <v>241</v>
      </c>
      <c r="I246" s="190" t="str">
        <f t="shared" si="14"/>
        <v/>
      </c>
      <c r="J246" s="189" t="e">
        <f t="shared" si="17"/>
        <v>#NUM!</v>
      </c>
      <c r="K246" s="189" t="e">
        <f t="shared" si="15"/>
        <v>#NUM!</v>
      </c>
      <c r="L246" s="189"/>
      <c r="M246" s="191">
        <f t="shared" si="16"/>
        <v>0</v>
      </c>
    </row>
    <row r="247" spans="1:13" x14ac:dyDescent="0.25">
      <c r="A247" s="206"/>
      <c r="G247" s="177"/>
      <c r="H247" s="189">
        <v>242</v>
      </c>
      <c r="I247" s="190" t="str">
        <f t="shared" si="14"/>
        <v/>
      </c>
      <c r="J247" s="189" t="e">
        <f t="shared" si="17"/>
        <v>#NUM!</v>
      </c>
      <c r="K247" s="189" t="e">
        <f t="shared" si="15"/>
        <v>#NUM!</v>
      </c>
      <c r="L247" s="189"/>
      <c r="M247" s="191">
        <f t="shared" si="16"/>
        <v>0</v>
      </c>
    </row>
    <row r="248" spans="1:13" x14ac:dyDescent="0.25">
      <c r="A248" s="206"/>
      <c r="G248" s="177"/>
      <c r="H248" s="189">
        <v>243</v>
      </c>
      <c r="I248" s="190" t="str">
        <f t="shared" si="14"/>
        <v/>
      </c>
      <c r="J248" s="189" t="e">
        <f t="shared" si="17"/>
        <v>#NUM!</v>
      </c>
      <c r="K248" s="189" t="e">
        <f t="shared" si="15"/>
        <v>#NUM!</v>
      </c>
      <c r="L248" s="189"/>
      <c r="M248" s="191">
        <f t="shared" si="16"/>
        <v>0</v>
      </c>
    </row>
    <row r="249" spans="1:13" x14ac:dyDescent="0.25">
      <c r="A249" s="206"/>
      <c r="G249" s="177"/>
      <c r="H249" s="189">
        <v>244</v>
      </c>
      <c r="I249" s="190" t="str">
        <f t="shared" si="14"/>
        <v/>
      </c>
      <c r="J249" s="189" t="e">
        <f t="shared" si="17"/>
        <v>#NUM!</v>
      </c>
      <c r="K249" s="189" t="e">
        <f t="shared" si="15"/>
        <v>#NUM!</v>
      </c>
      <c r="L249" s="189"/>
      <c r="M249" s="191">
        <f t="shared" si="16"/>
        <v>0</v>
      </c>
    </row>
    <row r="250" spans="1:13" x14ac:dyDescent="0.25">
      <c r="A250" s="206"/>
      <c r="G250" s="177"/>
      <c r="H250" s="189">
        <v>245</v>
      </c>
      <c r="I250" s="190" t="str">
        <f t="shared" si="14"/>
        <v/>
      </c>
      <c r="J250" s="189" t="e">
        <f t="shared" si="17"/>
        <v>#NUM!</v>
      </c>
      <c r="K250" s="189" t="e">
        <f t="shared" si="15"/>
        <v>#NUM!</v>
      </c>
      <c r="L250" s="189"/>
      <c r="M250" s="191">
        <f t="shared" si="16"/>
        <v>0</v>
      </c>
    </row>
    <row r="251" spans="1:13" x14ac:dyDescent="0.25">
      <c r="A251" s="206"/>
      <c r="G251" s="177"/>
      <c r="H251" s="189">
        <v>246</v>
      </c>
      <c r="I251" s="190" t="str">
        <f t="shared" si="14"/>
        <v/>
      </c>
      <c r="J251" s="189" t="e">
        <f t="shared" si="17"/>
        <v>#NUM!</v>
      </c>
      <c r="K251" s="189" t="e">
        <f t="shared" si="15"/>
        <v>#NUM!</v>
      </c>
      <c r="L251" s="189"/>
      <c r="M251" s="191">
        <f t="shared" si="16"/>
        <v>0</v>
      </c>
    </row>
    <row r="252" spans="1:13" x14ac:dyDescent="0.25">
      <c r="A252" s="206"/>
      <c r="G252" s="177"/>
      <c r="H252" s="189">
        <v>247</v>
      </c>
      <c r="I252" s="190" t="str">
        <f t="shared" si="14"/>
        <v/>
      </c>
      <c r="J252" s="189" t="e">
        <f t="shared" si="17"/>
        <v>#NUM!</v>
      </c>
      <c r="K252" s="189" t="e">
        <f t="shared" si="15"/>
        <v>#NUM!</v>
      </c>
      <c r="L252" s="189"/>
      <c r="M252" s="191">
        <f t="shared" si="16"/>
        <v>0</v>
      </c>
    </row>
    <row r="253" spans="1:13" x14ac:dyDescent="0.25">
      <c r="A253" s="206"/>
      <c r="G253" s="177"/>
      <c r="H253" s="189">
        <v>248</v>
      </c>
      <c r="I253" s="190" t="str">
        <f t="shared" si="14"/>
        <v/>
      </c>
      <c r="J253" s="189" t="e">
        <f t="shared" si="17"/>
        <v>#NUM!</v>
      </c>
      <c r="K253" s="189" t="e">
        <f t="shared" si="15"/>
        <v>#NUM!</v>
      </c>
      <c r="L253" s="189"/>
      <c r="M253" s="191">
        <f t="shared" si="16"/>
        <v>0</v>
      </c>
    </row>
    <row r="254" spans="1:13" x14ac:dyDescent="0.25">
      <c r="A254" s="206"/>
      <c r="G254" s="177"/>
      <c r="H254" s="189">
        <v>249</v>
      </c>
      <c r="I254" s="190" t="str">
        <f t="shared" si="14"/>
        <v/>
      </c>
      <c r="J254" s="189" t="e">
        <f t="shared" si="17"/>
        <v>#NUM!</v>
      </c>
      <c r="K254" s="189" t="e">
        <f t="shared" si="15"/>
        <v>#NUM!</v>
      </c>
      <c r="L254" s="189"/>
      <c r="M254" s="191">
        <f t="shared" si="16"/>
        <v>0</v>
      </c>
    </row>
    <row r="255" spans="1:13" x14ac:dyDescent="0.25">
      <c r="A255" s="206"/>
      <c r="G255" s="177"/>
      <c r="H255" s="189">
        <v>250</v>
      </c>
      <c r="I255" s="190" t="str">
        <f t="shared" si="14"/>
        <v/>
      </c>
      <c r="J255" s="189" t="e">
        <f t="shared" si="17"/>
        <v>#NUM!</v>
      </c>
      <c r="K255" s="189" t="e">
        <f t="shared" si="15"/>
        <v>#NUM!</v>
      </c>
      <c r="L255" s="189"/>
      <c r="M255" s="191">
        <f t="shared" si="16"/>
        <v>0</v>
      </c>
    </row>
    <row r="256" spans="1:13" x14ac:dyDescent="0.25">
      <c r="A256" s="206"/>
      <c r="G256" s="177"/>
      <c r="H256" s="189">
        <v>251</v>
      </c>
      <c r="I256" s="190" t="str">
        <f t="shared" si="14"/>
        <v/>
      </c>
      <c r="J256" s="189" t="e">
        <f t="shared" si="17"/>
        <v>#NUM!</v>
      </c>
      <c r="K256" s="189" t="e">
        <f t="shared" si="15"/>
        <v>#NUM!</v>
      </c>
      <c r="L256" s="189"/>
      <c r="M256" s="191">
        <f t="shared" si="16"/>
        <v>0</v>
      </c>
    </row>
    <row r="257" spans="1:13" x14ac:dyDescent="0.25">
      <c r="A257" s="206"/>
      <c r="G257" s="177"/>
      <c r="H257" s="189">
        <v>252</v>
      </c>
      <c r="I257" s="190" t="str">
        <f t="shared" si="14"/>
        <v/>
      </c>
      <c r="J257" s="189" t="e">
        <f t="shared" si="17"/>
        <v>#NUM!</v>
      </c>
      <c r="K257" s="189" t="e">
        <f t="shared" si="15"/>
        <v>#NUM!</v>
      </c>
      <c r="L257" s="189"/>
      <c r="M257" s="191">
        <f t="shared" si="16"/>
        <v>0</v>
      </c>
    </row>
    <row r="258" spans="1:13" x14ac:dyDescent="0.25">
      <c r="A258" s="206"/>
      <c r="G258" s="177"/>
      <c r="H258" s="189">
        <v>253</v>
      </c>
      <c r="I258" s="190" t="str">
        <f t="shared" si="14"/>
        <v/>
      </c>
      <c r="J258" s="189" t="e">
        <f t="shared" si="17"/>
        <v>#NUM!</v>
      </c>
      <c r="K258" s="189" t="e">
        <f t="shared" si="15"/>
        <v>#NUM!</v>
      </c>
      <c r="L258" s="189"/>
      <c r="M258" s="191">
        <f t="shared" si="16"/>
        <v>0</v>
      </c>
    </row>
    <row r="259" spans="1:13" x14ac:dyDescent="0.25">
      <c r="A259" s="206"/>
      <c r="G259" s="177"/>
      <c r="H259" s="189">
        <v>254</v>
      </c>
      <c r="I259" s="190" t="str">
        <f t="shared" si="14"/>
        <v/>
      </c>
      <c r="J259" s="189" t="e">
        <f t="shared" si="17"/>
        <v>#NUM!</v>
      </c>
      <c r="K259" s="189" t="e">
        <f t="shared" si="15"/>
        <v>#NUM!</v>
      </c>
      <c r="L259" s="189"/>
      <c r="M259" s="191">
        <f t="shared" si="16"/>
        <v>0</v>
      </c>
    </row>
    <row r="260" spans="1:13" x14ac:dyDescent="0.25">
      <c r="A260" s="206"/>
      <c r="G260" s="177"/>
      <c r="H260" s="189">
        <v>255</v>
      </c>
      <c r="I260" s="190" t="str">
        <f t="shared" si="14"/>
        <v/>
      </c>
      <c r="J260" s="189" t="e">
        <f t="shared" si="17"/>
        <v>#NUM!</v>
      </c>
      <c r="K260" s="189" t="e">
        <f t="shared" si="15"/>
        <v>#NUM!</v>
      </c>
      <c r="L260" s="189"/>
      <c r="M260" s="191">
        <f t="shared" si="16"/>
        <v>0</v>
      </c>
    </row>
    <row r="261" spans="1:13" x14ac:dyDescent="0.25">
      <c r="A261" s="206"/>
      <c r="G261" s="177"/>
      <c r="H261" s="189">
        <v>256</v>
      </c>
      <c r="I261" s="190" t="str">
        <f t="shared" si="14"/>
        <v/>
      </c>
      <c r="J261" s="189" t="e">
        <f t="shared" si="17"/>
        <v>#NUM!</v>
      </c>
      <c r="K261" s="189" t="e">
        <f t="shared" si="15"/>
        <v>#NUM!</v>
      </c>
      <c r="L261" s="189"/>
      <c r="M261" s="191">
        <f t="shared" si="16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8">IF(H262&lt;$H$2+1,($I$2-($I$2-1)*(LOG(H262)/LOG($H$2))),"")</f>
        <v/>
      </c>
      <c r="J262" s="189" t="e">
        <f t="shared" si="17"/>
        <v>#NUM!</v>
      </c>
      <c r="K262" s="189" t="e">
        <f t="shared" ref="K262:K305" si="19">J262*$J$2</f>
        <v>#NUM!</v>
      </c>
      <c r="L262" s="189"/>
      <c r="M262" s="191">
        <f t="shared" ref="M262:M305" si="20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8"/>
        <v/>
      </c>
      <c r="J263" s="189" t="e">
        <f t="shared" ref="J263:J326" si="21">INT(LOG($H$2,2))-ROUNDUP(LOG(H263,2),0)+IF(OR($H$2=1,$H$2=2,$H$2=4,$H$2=8,$H$2=16,$H$2=32,$H$2=64,$H$2=128,$H$2=256),0,1)</f>
        <v>#NUM!</v>
      </c>
      <c r="K263" s="189" t="e">
        <f t="shared" si="19"/>
        <v>#NUM!</v>
      </c>
      <c r="L263" s="189"/>
      <c r="M263" s="191">
        <f t="shared" si="20"/>
        <v>0</v>
      </c>
    </row>
    <row r="264" spans="1:13" x14ac:dyDescent="0.25">
      <c r="A264" s="206"/>
      <c r="G264" s="177"/>
      <c r="H264" s="189">
        <v>259</v>
      </c>
      <c r="I264" s="190" t="str">
        <f t="shared" si="18"/>
        <v/>
      </c>
      <c r="J264" s="189" t="e">
        <f t="shared" si="21"/>
        <v>#NUM!</v>
      </c>
      <c r="K264" s="189" t="e">
        <f t="shared" si="19"/>
        <v>#NUM!</v>
      </c>
      <c r="L264" s="189"/>
      <c r="M264" s="191">
        <f t="shared" si="20"/>
        <v>0</v>
      </c>
    </row>
    <row r="265" spans="1:13" x14ac:dyDescent="0.25">
      <c r="A265" s="206"/>
      <c r="G265" s="177"/>
      <c r="H265" s="189">
        <v>260</v>
      </c>
      <c r="I265" s="190" t="str">
        <f t="shared" si="18"/>
        <v/>
      </c>
      <c r="J265" s="189" t="e">
        <f t="shared" si="21"/>
        <v>#NUM!</v>
      </c>
      <c r="K265" s="189" t="e">
        <f t="shared" si="19"/>
        <v>#NUM!</v>
      </c>
      <c r="L265" s="189"/>
      <c r="M265" s="191">
        <f t="shared" si="20"/>
        <v>0</v>
      </c>
    </row>
    <row r="266" spans="1:13" x14ac:dyDescent="0.25">
      <c r="A266" s="206"/>
      <c r="G266" s="177"/>
      <c r="H266" s="189">
        <v>261</v>
      </c>
      <c r="I266" s="190" t="str">
        <f t="shared" si="18"/>
        <v/>
      </c>
      <c r="J266" s="189" t="e">
        <f t="shared" si="21"/>
        <v>#NUM!</v>
      </c>
      <c r="K266" s="189" t="e">
        <f t="shared" si="19"/>
        <v>#NUM!</v>
      </c>
      <c r="L266" s="189"/>
      <c r="M266" s="191">
        <f t="shared" si="20"/>
        <v>0</v>
      </c>
    </row>
    <row r="267" spans="1:13" x14ac:dyDescent="0.25">
      <c r="A267" s="206"/>
      <c r="G267" s="177"/>
      <c r="H267" s="189">
        <v>262</v>
      </c>
      <c r="I267" s="190" t="str">
        <f t="shared" si="18"/>
        <v/>
      </c>
      <c r="J267" s="189" t="e">
        <f t="shared" si="21"/>
        <v>#NUM!</v>
      </c>
      <c r="K267" s="189" t="e">
        <f t="shared" si="19"/>
        <v>#NUM!</v>
      </c>
      <c r="L267" s="189"/>
      <c r="M267" s="191">
        <f t="shared" si="20"/>
        <v>0</v>
      </c>
    </row>
    <row r="268" spans="1:13" x14ac:dyDescent="0.25">
      <c r="A268" s="206"/>
      <c r="G268" s="177"/>
      <c r="H268" s="189">
        <v>263</v>
      </c>
      <c r="I268" s="190" t="str">
        <f t="shared" si="18"/>
        <v/>
      </c>
      <c r="J268" s="189" t="e">
        <f t="shared" si="21"/>
        <v>#NUM!</v>
      </c>
      <c r="K268" s="189" t="e">
        <f t="shared" si="19"/>
        <v>#NUM!</v>
      </c>
      <c r="L268" s="189"/>
      <c r="M268" s="191">
        <f t="shared" si="20"/>
        <v>0</v>
      </c>
    </row>
    <row r="269" spans="1:13" x14ac:dyDescent="0.25">
      <c r="A269" s="206"/>
      <c r="G269" s="177"/>
      <c r="H269" s="189">
        <v>264</v>
      </c>
      <c r="I269" s="190" t="str">
        <f t="shared" si="18"/>
        <v/>
      </c>
      <c r="J269" s="189" t="e">
        <f t="shared" si="21"/>
        <v>#NUM!</v>
      </c>
      <c r="K269" s="189" t="e">
        <f t="shared" si="19"/>
        <v>#NUM!</v>
      </c>
      <c r="L269" s="189"/>
      <c r="M269" s="191">
        <f t="shared" si="20"/>
        <v>0</v>
      </c>
    </row>
    <row r="270" spans="1:13" x14ac:dyDescent="0.25">
      <c r="A270" s="206"/>
      <c r="G270" s="177"/>
      <c r="H270" s="189">
        <v>265</v>
      </c>
      <c r="I270" s="190" t="str">
        <f t="shared" si="18"/>
        <v/>
      </c>
      <c r="J270" s="189" t="e">
        <f t="shared" si="21"/>
        <v>#NUM!</v>
      </c>
      <c r="K270" s="189" t="e">
        <f t="shared" si="19"/>
        <v>#NUM!</v>
      </c>
      <c r="L270" s="189"/>
      <c r="M270" s="191">
        <f t="shared" si="20"/>
        <v>0</v>
      </c>
    </row>
    <row r="271" spans="1:13" x14ac:dyDescent="0.25">
      <c r="A271" s="206"/>
      <c r="G271" s="177"/>
      <c r="H271" s="189">
        <v>266</v>
      </c>
      <c r="I271" s="190" t="str">
        <f t="shared" si="18"/>
        <v/>
      </c>
      <c r="J271" s="189" t="e">
        <f t="shared" si="21"/>
        <v>#NUM!</v>
      </c>
      <c r="K271" s="189" t="e">
        <f t="shared" si="19"/>
        <v>#NUM!</v>
      </c>
      <c r="L271" s="189"/>
      <c r="M271" s="191">
        <f t="shared" si="20"/>
        <v>0</v>
      </c>
    </row>
    <row r="272" spans="1:13" x14ac:dyDescent="0.25">
      <c r="A272" s="206"/>
      <c r="G272" s="177"/>
      <c r="H272" s="189">
        <v>267</v>
      </c>
      <c r="I272" s="190" t="str">
        <f t="shared" si="18"/>
        <v/>
      </c>
      <c r="J272" s="189" t="e">
        <f t="shared" si="21"/>
        <v>#NUM!</v>
      </c>
      <c r="K272" s="189" t="e">
        <f t="shared" si="19"/>
        <v>#NUM!</v>
      </c>
      <c r="L272" s="189"/>
      <c r="M272" s="191">
        <f t="shared" si="20"/>
        <v>0</v>
      </c>
    </row>
    <row r="273" spans="1:13" x14ac:dyDescent="0.25">
      <c r="A273" s="206"/>
      <c r="G273" s="177"/>
      <c r="H273" s="189">
        <v>268</v>
      </c>
      <c r="I273" s="190" t="str">
        <f t="shared" si="18"/>
        <v/>
      </c>
      <c r="J273" s="189" t="e">
        <f t="shared" si="21"/>
        <v>#NUM!</v>
      </c>
      <c r="K273" s="189" t="e">
        <f t="shared" si="19"/>
        <v>#NUM!</v>
      </c>
      <c r="L273" s="189"/>
      <c r="M273" s="191">
        <f t="shared" si="20"/>
        <v>0</v>
      </c>
    </row>
    <row r="274" spans="1:13" x14ac:dyDescent="0.25">
      <c r="A274" s="206"/>
      <c r="G274" s="177"/>
      <c r="H274" s="189">
        <v>269</v>
      </c>
      <c r="I274" s="190" t="str">
        <f t="shared" si="18"/>
        <v/>
      </c>
      <c r="J274" s="189" t="e">
        <f t="shared" si="21"/>
        <v>#NUM!</v>
      </c>
      <c r="K274" s="189" t="e">
        <f t="shared" si="19"/>
        <v>#NUM!</v>
      </c>
      <c r="L274" s="189"/>
      <c r="M274" s="191">
        <f t="shared" si="20"/>
        <v>0</v>
      </c>
    </row>
    <row r="275" spans="1:13" x14ac:dyDescent="0.25">
      <c r="A275" s="206"/>
      <c r="G275" s="177"/>
      <c r="H275" s="189">
        <v>270</v>
      </c>
      <c r="I275" s="190" t="str">
        <f t="shared" si="18"/>
        <v/>
      </c>
      <c r="J275" s="189" t="e">
        <f t="shared" si="21"/>
        <v>#NUM!</v>
      </c>
      <c r="K275" s="189" t="e">
        <f t="shared" si="19"/>
        <v>#NUM!</v>
      </c>
      <c r="L275" s="189"/>
      <c r="M275" s="191">
        <f t="shared" si="20"/>
        <v>0</v>
      </c>
    </row>
    <row r="276" spans="1:13" x14ac:dyDescent="0.25">
      <c r="A276" s="206"/>
      <c r="G276" s="177"/>
      <c r="H276" s="189">
        <v>271</v>
      </c>
      <c r="I276" s="190" t="str">
        <f t="shared" si="18"/>
        <v/>
      </c>
      <c r="J276" s="189" t="e">
        <f t="shared" si="21"/>
        <v>#NUM!</v>
      </c>
      <c r="K276" s="189" t="e">
        <f t="shared" si="19"/>
        <v>#NUM!</v>
      </c>
      <c r="L276" s="189"/>
      <c r="M276" s="191">
        <f t="shared" si="20"/>
        <v>0</v>
      </c>
    </row>
    <row r="277" spans="1:13" x14ac:dyDescent="0.25">
      <c r="A277" s="206"/>
      <c r="G277" s="177"/>
      <c r="H277" s="189">
        <v>272</v>
      </c>
      <c r="I277" s="190" t="str">
        <f t="shared" si="18"/>
        <v/>
      </c>
      <c r="J277" s="189" t="e">
        <f t="shared" si="21"/>
        <v>#NUM!</v>
      </c>
      <c r="K277" s="189" t="e">
        <f t="shared" si="19"/>
        <v>#NUM!</v>
      </c>
      <c r="L277" s="189"/>
      <c r="M277" s="191">
        <f t="shared" si="20"/>
        <v>0</v>
      </c>
    </row>
    <row r="278" spans="1:13" x14ac:dyDescent="0.25">
      <c r="A278" s="206"/>
      <c r="G278" s="177"/>
      <c r="H278" s="189">
        <v>273</v>
      </c>
      <c r="I278" s="190" t="str">
        <f t="shared" si="18"/>
        <v/>
      </c>
      <c r="J278" s="189" t="e">
        <f t="shared" si="21"/>
        <v>#NUM!</v>
      </c>
      <c r="K278" s="189" t="e">
        <f t="shared" si="19"/>
        <v>#NUM!</v>
      </c>
      <c r="L278" s="189"/>
      <c r="M278" s="191">
        <f t="shared" si="20"/>
        <v>0</v>
      </c>
    </row>
    <row r="279" spans="1:13" x14ac:dyDescent="0.25">
      <c r="A279" s="206"/>
      <c r="G279" s="177"/>
      <c r="H279" s="189">
        <v>274</v>
      </c>
      <c r="I279" s="190" t="str">
        <f t="shared" si="18"/>
        <v/>
      </c>
      <c r="J279" s="189" t="e">
        <f t="shared" si="21"/>
        <v>#NUM!</v>
      </c>
      <c r="K279" s="189" t="e">
        <f t="shared" si="19"/>
        <v>#NUM!</v>
      </c>
      <c r="L279" s="189"/>
      <c r="M279" s="191">
        <f t="shared" si="20"/>
        <v>0</v>
      </c>
    </row>
    <row r="280" spans="1:13" x14ac:dyDescent="0.25">
      <c r="A280" s="206"/>
      <c r="G280" s="177"/>
      <c r="H280" s="189">
        <v>275</v>
      </c>
      <c r="I280" s="190" t="str">
        <f t="shared" si="18"/>
        <v/>
      </c>
      <c r="J280" s="189" t="e">
        <f t="shared" si="21"/>
        <v>#NUM!</v>
      </c>
      <c r="K280" s="189" t="e">
        <f t="shared" si="19"/>
        <v>#NUM!</v>
      </c>
      <c r="L280" s="189"/>
      <c r="M280" s="191">
        <f t="shared" si="20"/>
        <v>0</v>
      </c>
    </row>
    <row r="281" spans="1:13" x14ac:dyDescent="0.25">
      <c r="A281" s="206"/>
      <c r="G281" s="177"/>
      <c r="H281" s="189">
        <v>276</v>
      </c>
      <c r="I281" s="190" t="str">
        <f t="shared" si="18"/>
        <v/>
      </c>
      <c r="J281" s="189" t="e">
        <f t="shared" si="21"/>
        <v>#NUM!</v>
      </c>
      <c r="K281" s="189" t="e">
        <f t="shared" si="19"/>
        <v>#NUM!</v>
      </c>
      <c r="L281" s="189"/>
      <c r="M281" s="191">
        <f t="shared" si="20"/>
        <v>0</v>
      </c>
    </row>
    <row r="282" spans="1:13" x14ac:dyDescent="0.25">
      <c r="A282" s="206"/>
      <c r="G282" s="177"/>
      <c r="H282" s="189">
        <v>277</v>
      </c>
      <c r="I282" s="190" t="str">
        <f t="shared" si="18"/>
        <v/>
      </c>
      <c r="J282" s="189" t="e">
        <f t="shared" si="21"/>
        <v>#NUM!</v>
      </c>
      <c r="K282" s="189" t="e">
        <f t="shared" si="19"/>
        <v>#NUM!</v>
      </c>
      <c r="L282" s="189"/>
      <c r="M282" s="191">
        <f t="shared" si="20"/>
        <v>0</v>
      </c>
    </row>
    <row r="283" spans="1:13" x14ac:dyDescent="0.25">
      <c r="A283" s="206"/>
      <c r="G283" s="177"/>
      <c r="H283" s="189">
        <v>278</v>
      </c>
      <c r="I283" s="190" t="str">
        <f t="shared" si="18"/>
        <v/>
      </c>
      <c r="J283" s="189" t="e">
        <f t="shared" si="21"/>
        <v>#NUM!</v>
      </c>
      <c r="K283" s="189" t="e">
        <f t="shared" si="19"/>
        <v>#NUM!</v>
      </c>
      <c r="L283" s="189"/>
      <c r="M283" s="191">
        <f t="shared" si="20"/>
        <v>0</v>
      </c>
    </row>
    <row r="284" spans="1:13" x14ac:dyDescent="0.25">
      <c r="A284" s="206"/>
      <c r="G284" s="177"/>
      <c r="H284" s="189">
        <v>279</v>
      </c>
      <c r="I284" s="190" t="str">
        <f t="shared" si="18"/>
        <v/>
      </c>
      <c r="J284" s="189" t="e">
        <f t="shared" si="21"/>
        <v>#NUM!</v>
      </c>
      <c r="K284" s="189" t="e">
        <f t="shared" si="19"/>
        <v>#NUM!</v>
      </c>
      <c r="L284" s="189"/>
      <c r="M284" s="191">
        <f t="shared" si="20"/>
        <v>0</v>
      </c>
    </row>
    <row r="285" spans="1:13" x14ac:dyDescent="0.25">
      <c r="A285" s="206"/>
      <c r="G285" s="177"/>
      <c r="H285" s="189">
        <v>280</v>
      </c>
      <c r="I285" s="190" t="str">
        <f t="shared" si="18"/>
        <v/>
      </c>
      <c r="J285" s="189" t="e">
        <f t="shared" si="21"/>
        <v>#NUM!</v>
      </c>
      <c r="K285" s="189" t="e">
        <f t="shared" si="19"/>
        <v>#NUM!</v>
      </c>
      <c r="L285" s="189"/>
      <c r="M285" s="191">
        <f t="shared" si="20"/>
        <v>0</v>
      </c>
    </row>
    <row r="286" spans="1:13" x14ac:dyDescent="0.25">
      <c r="A286" s="206"/>
      <c r="G286" s="177"/>
      <c r="H286" s="189">
        <v>281</v>
      </c>
      <c r="I286" s="190" t="str">
        <f t="shared" si="18"/>
        <v/>
      </c>
      <c r="J286" s="189" t="e">
        <f t="shared" si="21"/>
        <v>#NUM!</v>
      </c>
      <c r="K286" s="189" t="e">
        <f t="shared" si="19"/>
        <v>#NUM!</v>
      </c>
      <c r="L286" s="189"/>
      <c r="M286" s="191">
        <f t="shared" si="20"/>
        <v>0</v>
      </c>
    </row>
    <row r="287" spans="1:13" x14ac:dyDescent="0.25">
      <c r="A287" s="206"/>
      <c r="G287" s="177"/>
      <c r="H287" s="189">
        <v>282</v>
      </c>
      <c r="I287" s="190" t="str">
        <f t="shared" si="18"/>
        <v/>
      </c>
      <c r="J287" s="189" t="e">
        <f t="shared" si="21"/>
        <v>#NUM!</v>
      </c>
      <c r="K287" s="189" t="e">
        <f t="shared" si="19"/>
        <v>#NUM!</v>
      </c>
      <c r="L287" s="189"/>
      <c r="M287" s="191">
        <f t="shared" si="20"/>
        <v>0</v>
      </c>
    </row>
    <row r="288" spans="1:13" x14ac:dyDescent="0.25">
      <c r="A288" s="206"/>
      <c r="G288" s="177"/>
      <c r="H288" s="189">
        <v>283</v>
      </c>
      <c r="I288" s="190" t="str">
        <f t="shared" si="18"/>
        <v/>
      </c>
      <c r="J288" s="189" t="e">
        <f t="shared" si="21"/>
        <v>#NUM!</v>
      </c>
      <c r="K288" s="189" t="e">
        <f t="shared" si="19"/>
        <v>#NUM!</v>
      </c>
      <c r="L288" s="189"/>
      <c r="M288" s="191">
        <f t="shared" si="20"/>
        <v>0</v>
      </c>
    </row>
    <row r="289" spans="1:13" x14ac:dyDescent="0.25">
      <c r="A289" s="206"/>
      <c r="G289" s="177"/>
      <c r="H289" s="189">
        <v>284</v>
      </c>
      <c r="I289" s="190" t="str">
        <f t="shared" si="18"/>
        <v/>
      </c>
      <c r="J289" s="189" t="e">
        <f t="shared" si="21"/>
        <v>#NUM!</v>
      </c>
      <c r="K289" s="189" t="e">
        <f t="shared" si="19"/>
        <v>#NUM!</v>
      </c>
      <c r="L289" s="189"/>
      <c r="M289" s="191">
        <f t="shared" si="20"/>
        <v>0</v>
      </c>
    </row>
    <row r="290" spans="1:13" x14ac:dyDescent="0.25">
      <c r="A290" s="206"/>
      <c r="G290" s="177"/>
      <c r="H290" s="189">
        <v>285</v>
      </c>
      <c r="I290" s="190" t="str">
        <f t="shared" si="18"/>
        <v/>
      </c>
      <c r="J290" s="189" t="e">
        <f t="shared" si="21"/>
        <v>#NUM!</v>
      </c>
      <c r="K290" s="189" t="e">
        <f t="shared" si="19"/>
        <v>#NUM!</v>
      </c>
      <c r="L290" s="189"/>
      <c r="M290" s="191">
        <f t="shared" si="20"/>
        <v>0</v>
      </c>
    </row>
    <row r="291" spans="1:13" x14ac:dyDescent="0.25">
      <c r="A291" s="206"/>
      <c r="G291" s="177"/>
      <c r="H291" s="189">
        <v>286</v>
      </c>
      <c r="I291" s="190" t="str">
        <f t="shared" si="18"/>
        <v/>
      </c>
      <c r="J291" s="189" t="e">
        <f t="shared" si="21"/>
        <v>#NUM!</v>
      </c>
      <c r="K291" s="189" t="e">
        <f t="shared" si="19"/>
        <v>#NUM!</v>
      </c>
      <c r="L291" s="189"/>
      <c r="M291" s="191">
        <f t="shared" si="20"/>
        <v>0</v>
      </c>
    </row>
    <row r="292" spans="1:13" x14ac:dyDescent="0.25">
      <c r="A292" s="206"/>
      <c r="G292" s="177"/>
      <c r="H292" s="189">
        <v>287</v>
      </c>
      <c r="I292" s="190" t="str">
        <f t="shared" si="18"/>
        <v/>
      </c>
      <c r="J292" s="189" t="e">
        <f t="shared" si="21"/>
        <v>#NUM!</v>
      </c>
      <c r="K292" s="189" t="e">
        <f t="shared" si="19"/>
        <v>#NUM!</v>
      </c>
      <c r="L292" s="189"/>
      <c r="M292" s="191">
        <f t="shared" si="20"/>
        <v>0</v>
      </c>
    </row>
    <row r="293" spans="1:13" x14ac:dyDescent="0.25">
      <c r="A293" s="206"/>
      <c r="G293" s="177"/>
      <c r="H293" s="189">
        <v>288</v>
      </c>
      <c r="I293" s="190" t="str">
        <f t="shared" si="18"/>
        <v/>
      </c>
      <c r="J293" s="189" t="e">
        <f t="shared" si="21"/>
        <v>#NUM!</v>
      </c>
      <c r="K293" s="189" t="e">
        <f t="shared" si="19"/>
        <v>#NUM!</v>
      </c>
      <c r="L293" s="189"/>
      <c r="M293" s="191">
        <f t="shared" si="20"/>
        <v>0</v>
      </c>
    </row>
    <row r="294" spans="1:13" x14ac:dyDescent="0.25">
      <c r="A294" s="206"/>
      <c r="G294" s="177"/>
      <c r="H294" s="189">
        <v>289</v>
      </c>
      <c r="I294" s="190" t="str">
        <f t="shared" si="18"/>
        <v/>
      </c>
      <c r="J294" s="189" t="e">
        <f t="shared" si="21"/>
        <v>#NUM!</v>
      </c>
      <c r="K294" s="189" t="e">
        <f t="shared" si="19"/>
        <v>#NUM!</v>
      </c>
      <c r="L294" s="189"/>
      <c r="M294" s="191">
        <f t="shared" si="20"/>
        <v>0</v>
      </c>
    </row>
    <row r="295" spans="1:13" x14ac:dyDescent="0.25">
      <c r="A295" s="206"/>
      <c r="G295" s="177"/>
      <c r="H295" s="189">
        <v>290</v>
      </c>
      <c r="I295" s="190" t="str">
        <f t="shared" si="18"/>
        <v/>
      </c>
      <c r="J295" s="189" t="e">
        <f t="shared" si="21"/>
        <v>#NUM!</v>
      </c>
      <c r="K295" s="189" t="e">
        <f t="shared" si="19"/>
        <v>#NUM!</v>
      </c>
      <c r="L295" s="189"/>
      <c r="M295" s="191">
        <f t="shared" si="20"/>
        <v>0</v>
      </c>
    </row>
    <row r="296" spans="1:13" x14ac:dyDescent="0.25">
      <c r="A296" s="206"/>
      <c r="G296" s="177"/>
      <c r="H296" s="189">
        <v>291</v>
      </c>
      <c r="I296" s="190" t="str">
        <f t="shared" si="18"/>
        <v/>
      </c>
      <c r="J296" s="189" t="e">
        <f t="shared" si="21"/>
        <v>#NUM!</v>
      </c>
      <c r="K296" s="189" t="e">
        <f t="shared" si="19"/>
        <v>#NUM!</v>
      </c>
      <c r="L296" s="189"/>
      <c r="M296" s="191">
        <f t="shared" si="20"/>
        <v>0</v>
      </c>
    </row>
    <row r="297" spans="1:13" x14ac:dyDescent="0.25">
      <c r="A297" s="206"/>
      <c r="G297" s="177"/>
      <c r="H297" s="189">
        <v>292</v>
      </c>
      <c r="I297" s="190" t="str">
        <f t="shared" si="18"/>
        <v/>
      </c>
      <c r="J297" s="189" t="e">
        <f t="shared" si="21"/>
        <v>#NUM!</v>
      </c>
      <c r="K297" s="189" t="e">
        <f t="shared" si="19"/>
        <v>#NUM!</v>
      </c>
      <c r="L297" s="189"/>
      <c r="M297" s="191">
        <f t="shared" si="20"/>
        <v>0</v>
      </c>
    </row>
    <row r="298" spans="1:13" x14ac:dyDescent="0.25">
      <c r="A298" s="206"/>
      <c r="G298" s="177"/>
      <c r="H298" s="189">
        <v>293</v>
      </c>
      <c r="I298" s="190" t="str">
        <f t="shared" si="18"/>
        <v/>
      </c>
      <c r="J298" s="189" t="e">
        <f t="shared" si="21"/>
        <v>#NUM!</v>
      </c>
      <c r="K298" s="189" t="e">
        <f t="shared" si="19"/>
        <v>#NUM!</v>
      </c>
      <c r="L298" s="189"/>
      <c r="M298" s="191">
        <f t="shared" si="20"/>
        <v>0</v>
      </c>
    </row>
    <row r="299" spans="1:13" x14ac:dyDescent="0.25">
      <c r="A299" s="206"/>
      <c r="G299" s="177"/>
      <c r="H299" s="189">
        <v>294</v>
      </c>
      <c r="I299" s="190" t="str">
        <f t="shared" si="18"/>
        <v/>
      </c>
      <c r="J299" s="189" t="e">
        <f t="shared" si="21"/>
        <v>#NUM!</v>
      </c>
      <c r="K299" s="189" t="e">
        <f t="shared" si="19"/>
        <v>#NUM!</v>
      </c>
      <c r="L299" s="189"/>
      <c r="M299" s="191">
        <f t="shared" si="20"/>
        <v>0</v>
      </c>
    </row>
    <row r="300" spans="1:13" x14ac:dyDescent="0.25">
      <c r="A300" s="206"/>
      <c r="G300" s="177"/>
      <c r="H300" s="189">
        <v>295</v>
      </c>
      <c r="I300" s="190" t="str">
        <f t="shared" si="18"/>
        <v/>
      </c>
      <c r="J300" s="189" t="e">
        <f t="shared" si="21"/>
        <v>#NUM!</v>
      </c>
      <c r="K300" s="189" t="e">
        <f t="shared" si="19"/>
        <v>#NUM!</v>
      </c>
      <c r="L300" s="189"/>
      <c r="M300" s="191">
        <f t="shared" si="20"/>
        <v>0</v>
      </c>
    </row>
    <row r="301" spans="1:13" x14ac:dyDescent="0.25">
      <c r="A301" s="206"/>
      <c r="G301" s="177"/>
      <c r="H301" s="189">
        <v>296</v>
      </c>
      <c r="I301" s="190" t="str">
        <f t="shared" si="18"/>
        <v/>
      </c>
      <c r="J301" s="189" t="e">
        <f t="shared" si="21"/>
        <v>#NUM!</v>
      </c>
      <c r="K301" s="189" t="e">
        <f t="shared" si="19"/>
        <v>#NUM!</v>
      </c>
      <c r="L301" s="189"/>
      <c r="M301" s="191">
        <f t="shared" si="20"/>
        <v>0</v>
      </c>
    </row>
    <row r="302" spans="1:13" x14ac:dyDescent="0.25">
      <c r="A302" s="206"/>
      <c r="G302" s="177"/>
      <c r="H302" s="189">
        <v>297</v>
      </c>
      <c r="I302" s="190" t="str">
        <f t="shared" si="18"/>
        <v/>
      </c>
      <c r="J302" s="189" t="e">
        <f t="shared" si="21"/>
        <v>#NUM!</v>
      </c>
      <c r="K302" s="189" t="e">
        <f t="shared" si="19"/>
        <v>#NUM!</v>
      </c>
      <c r="L302" s="189"/>
      <c r="M302" s="191">
        <f t="shared" si="20"/>
        <v>0</v>
      </c>
    </row>
    <row r="303" spans="1:13" x14ac:dyDescent="0.25">
      <c r="A303" s="206"/>
      <c r="G303" s="177"/>
      <c r="H303" s="189">
        <v>298</v>
      </c>
      <c r="I303" s="190" t="str">
        <f t="shared" si="18"/>
        <v/>
      </c>
      <c r="J303" s="189" t="e">
        <f t="shared" si="21"/>
        <v>#NUM!</v>
      </c>
      <c r="K303" s="189" t="e">
        <f t="shared" si="19"/>
        <v>#NUM!</v>
      </c>
      <c r="L303" s="189"/>
      <c r="M303" s="191">
        <f t="shared" si="20"/>
        <v>0</v>
      </c>
    </row>
    <row r="304" spans="1:13" x14ac:dyDescent="0.25">
      <c r="A304" s="206"/>
      <c r="G304" s="177"/>
      <c r="H304" s="189">
        <v>299</v>
      </c>
      <c r="I304" s="190" t="str">
        <f t="shared" si="18"/>
        <v/>
      </c>
      <c r="J304" s="189" t="e">
        <f t="shared" si="21"/>
        <v>#NUM!</v>
      </c>
      <c r="K304" s="189" t="e">
        <f t="shared" si="19"/>
        <v>#NUM!</v>
      </c>
      <c r="L304" s="189"/>
      <c r="M304" s="191">
        <f t="shared" si="20"/>
        <v>0</v>
      </c>
    </row>
    <row r="305" spans="1:16" x14ac:dyDescent="0.25">
      <c r="A305" s="206"/>
      <c r="G305" s="177"/>
      <c r="H305" s="189">
        <v>300</v>
      </c>
      <c r="I305" s="190" t="str">
        <f t="shared" si="18"/>
        <v/>
      </c>
      <c r="J305" s="189" t="e">
        <f t="shared" si="21"/>
        <v>#NUM!</v>
      </c>
      <c r="K305" s="189" t="e">
        <f t="shared" si="19"/>
        <v>#NUM!</v>
      </c>
      <c r="L305" s="189"/>
      <c r="M305" s="191">
        <f t="shared" si="20"/>
        <v>0</v>
      </c>
    </row>
    <row r="306" spans="1:16" x14ac:dyDescent="0.25">
      <c r="A306" s="207"/>
      <c r="J306" s="208" t="e">
        <f t="shared" si="21"/>
        <v>#NUM!</v>
      </c>
    </row>
    <row r="307" spans="1:16" x14ac:dyDescent="0.25">
      <c r="J307" s="208" t="e">
        <f t="shared" si="21"/>
        <v>#NUM!</v>
      </c>
    </row>
    <row r="308" spans="1:16" x14ac:dyDescent="0.25">
      <c r="J308" s="208" t="e">
        <f t="shared" si="21"/>
        <v>#NUM!</v>
      </c>
    </row>
    <row r="309" spans="1:16" x14ac:dyDescent="0.25">
      <c r="J309" s="208" t="e">
        <f t="shared" si="21"/>
        <v>#NUM!</v>
      </c>
    </row>
    <row r="310" spans="1:16" x14ac:dyDescent="0.25">
      <c r="J310" s="208" t="e">
        <f t="shared" si="21"/>
        <v>#NUM!</v>
      </c>
    </row>
    <row r="311" spans="1:16" x14ac:dyDescent="0.25">
      <c r="J311" s="208" t="e">
        <f t="shared" si="21"/>
        <v>#NUM!</v>
      </c>
    </row>
    <row r="312" spans="1:16" x14ac:dyDescent="0.25">
      <c r="J312" s="208" t="e">
        <f t="shared" si="21"/>
        <v>#NUM!</v>
      </c>
    </row>
    <row r="313" spans="1:16" x14ac:dyDescent="0.25">
      <c r="J313" s="208" t="e">
        <f t="shared" si="21"/>
        <v>#NUM!</v>
      </c>
    </row>
    <row r="314" spans="1:16" x14ac:dyDescent="0.25">
      <c r="J314" s="208" t="e">
        <f t="shared" si="21"/>
        <v>#NUM!</v>
      </c>
      <c r="L314" s="210"/>
      <c r="P314" s="200"/>
    </row>
    <row r="315" spans="1:16" x14ac:dyDescent="0.25">
      <c r="J315" s="208" t="e">
        <f t="shared" si="21"/>
        <v>#NUM!</v>
      </c>
      <c r="L315" s="210"/>
      <c r="P315" s="200"/>
    </row>
    <row r="316" spans="1:16" x14ac:dyDescent="0.25">
      <c r="J316" s="208" t="e">
        <f t="shared" si="21"/>
        <v>#NUM!</v>
      </c>
      <c r="L316" s="210"/>
      <c r="P316" s="200"/>
    </row>
    <row r="317" spans="1:16" x14ac:dyDescent="0.25">
      <c r="J317" s="208" t="e">
        <f t="shared" si="21"/>
        <v>#NUM!</v>
      </c>
      <c r="L317" s="210"/>
      <c r="P317" s="200"/>
    </row>
    <row r="318" spans="1:16" x14ac:dyDescent="0.25">
      <c r="J318" s="208" t="e">
        <f t="shared" si="21"/>
        <v>#NUM!</v>
      </c>
    </row>
    <row r="319" spans="1:16" x14ac:dyDescent="0.25">
      <c r="J319" s="208" t="e">
        <f t="shared" si="21"/>
        <v>#NUM!</v>
      </c>
    </row>
    <row r="320" spans="1:16" x14ac:dyDescent="0.25">
      <c r="J320" s="208" t="e">
        <f t="shared" si="21"/>
        <v>#NUM!</v>
      </c>
    </row>
    <row r="321" spans="10:10" x14ac:dyDescent="0.25">
      <c r="J321" s="208" t="e">
        <f t="shared" si="21"/>
        <v>#NUM!</v>
      </c>
    </row>
    <row r="322" spans="10:10" x14ac:dyDescent="0.25">
      <c r="J322" s="208" t="e">
        <f t="shared" si="21"/>
        <v>#NUM!</v>
      </c>
    </row>
    <row r="323" spans="10:10" x14ac:dyDescent="0.25">
      <c r="J323" s="208" t="e">
        <f t="shared" si="21"/>
        <v>#NUM!</v>
      </c>
    </row>
    <row r="324" spans="10:10" x14ac:dyDescent="0.25">
      <c r="J324" s="208" t="e">
        <f t="shared" si="21"/>
        <v>#NUM!</v>
      </c>
    </row>
    <row r="325" spans="10:10" x14ac:dyDescent="0.25">
      <c r="J325" s="208" t="e">
        <f t="shared" si="21"/>
        <v>#NUM!</v>
      </c>
    </row>
    <row r="326" spans="10:10" x14ac:dyDescent="0.25">
      <c r="J326" s="208" t="e">
        <f t="shared" si="21"/>
        <v>#NUM!</v>
      </c>
    </row>
    <row r="327" spans="10:10" x14ac:dyDescent="0.25">
      <c r="J327" s="20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8" t="e">
        <f t="shared" si="22"/>
        <v>#NUM!</v>
      </c>
    </row>
    <row r="329" spans="10:10" x14ac:dyDescent="0.25">
      <c r="J329" s="208" t="e">
        <f t="shared" si="22"/>
        <v>#NUM!</v>
      </c>
    </row>
    <row r="330" spans="10:10" x14ac:dyDescent="0.25">
      <c r="J330" s="208" t="e">
        <f t="shared" si="22"/>
        <v>#NUM!</v>
      </c>
    </row>
    <row r="331" spans="10:10" x14ac:dyDescent="0.25">
      <c r="J331" s="208" t="e">
        <f t="shared" si="22"/>
        <v>#NUM!</v>
      </c>
    </row>
    <row r="332" spans="10:10" x14ac:dyDescent="0.25">
      <c r="J332" s="208" t="e">
        <f t="shared" si="22"/>
        <v>#NUM!</v>
      </c>
    </row>
    <row r="333" spans="10:10" x14ac:dyDescent="0.25">
      <c r="J333" s="208" t="e">
        <f t="shared" si="22"/>
        <v>#NUM!</v>
      </c>
    </row>
    <row r="334" spans="10:10" x14ac:dyDescent="0.25">
      <c r="J334" s="208" t="e">
        <f t="shared" si="22"/>
        <v>#NUM!</v>
      </c>
    </row>
    <row r="335" spans="10:10" x14ac:dyDescent="0.25">
      <c r="J335" s="208" t="e">
        <f t="shared" si="22"/>
        <v>#NUM!</v>
      </c>
    </row>
    <row r="336" spans="10:10" x14ac:dyDescent="0.25">
      <c r="J336" s="208" t="e">
        <f t="shared" si="22"/>
        <v>#NUM!</v>
      </c>
    </row>
    <row r="337" spans="10:10" x14ac:dyDescent="0.25">
      <c r="J337" s="208" t="e">
        <f t="shared" si="22"/>
        <v>#NUM!</v>
      </c>
    </row>
    <row r="338" spans="10:10" x14ac:dyDescent="0.25">
      <c r="J338" s="208" t="e">
        <f t="shared" si="22"/>
        <v>#NUM!</v>
      </c>
    </row>
    <row r="339" spans="10:10" x14ac:dyDescent="0.25">
      <c r="J339" s="208" t="e">
        <f t="shared" si="22"/>
        <v>#NUM!</v>
      </c>
    </row>
    <row r="340" spans="10:10" x14ac:dyDescent="0.25">
      <c r="J340" s="208" t="e">
        <f t="shared" si="22"/>
        <v>#NUM!</v>
      </c>
    </row>
    <row r="341" spans="10:10" x14ac:dyDescent="0.25">
      <c r="J341" s="208" t="e">
        <f t="shared" si="22"/>
        <v>#NUM!</v>
      </c>
    </row>
    <row r="342" spans="10:10" x14ac:dyDescent="0.25">
      <c r="J342" s="208" t="e">
        <f t="shared" si="22"/>
        <v>#NUM!</v>
      </c>
    </row>
    <row r="343" spans="10:10" x14ac:dyDescent="0.25">
      <c r="J343" s="208" t="e">
        <f t="shared" si="22"/>
        <v>#NUM!</v>
      </c>
    </row>
    <row r="344" spans="10:10" x14ac:dyDescent="0.25">
      <c r="J344" s="208" t="e">
        <f t="shared" si="22"/>
        <v>#NUM!</v>
      </c>
    </row>
    <row r="345" spans="10:10" x14ac:dyDescent="0.25">
      <c r="J345" s="208" t="e">
        <f t="shared" si="22"/>
        <v>#NUM!</v>
      </c>
    </row>
    <row r="346" spans="10:10" x14ac:dyDescent="0.25">
      <c r="J346" s="208" t="e">
        <f t="shared" si="22"/>
        <v>#NUM!</v>
      </c>
    </row>
    <row r="347" spans="10:10" x14ac:dyDescent="0.25">
      <c r="J347" s="208" t="e">
        <f t="shared" si="22"/>
        <v>#NUM!</v>
      </c>
    </row>
    <row r="348" spans="10:10" x14ac:dyDescent="0.25">
      <c r="J348" s="208" t="e">
        <f t="shared" si="22"/>
        <v>#NUM!</v>
      </c>
    </row>
    <row r="349" spans="10:10" x14ac:dyDescent="0.25">
      <c r="J349" s="208" t="e">
        <f t="shared" si="22"/>
        <v>#NUM!</v>
      </c>
    </row>
    <row r="350" spans="10:10" x14ac:dyDescent="0.25">
      <c r="J350" s="208" t="e">
        <f t="shared" si="22"/>
        <v>#NUM!</v>
      </c>
    </row>
    <row r="351" spans="10:10" x14ac:dyDescent="0.25">
      <c r="J351" s="208" t="e">
        <f t="shared" si="22"/>
        <v>#NUM!</v>
      </c>
    </row>
    <row r="352" spans="10:10" x14ac:dyDescent="0.25">
      <c r="J352" s="208" t="e">
        <f t="shared" si="22"/>
        <v>#NUM!</v>
      </c>
    </row>
    <row r="353" spans="10:10" x14ac:dyDescent="0.25">
      <c r="J353" s="208" t="e">
        <f t="shared" si="22"/>
        <v>#NUM!</v>
      </c>
    </row>
    <row r="354" spans="10:10" x14ac:dyDescent="0.25">
      <c r="J354" s="208" t="e">
        <f t="shared" si="22"/>
        <v>#NUM!</v>
      </c>
    </row>
    <row r="355" spans="10:10" x14ac:dyDescent="0.25">
      <c r="J355" s="208" t="e">
        <f t="shared" si="22"/>
        <v>#NUM!</v>
      </c>
    </row>
    <row r="356" spans="10:10" x14ac:dyDescent="0.25">
      <c r="J356" s="208" t="e">
        <f t="shared" si="22"/>
        <v>#NUM!</v>
      </c>
    </row>
    <row r="357" spans="10:10" x14ac:dyDescent="0.25">
      <c r="J357" s="208" t="e">
        <f t="shared" si="22"/>
        <v>#NUM!</v>
      </c>
    </row>
    <row r="358" spans="10:10" x14ac:dyDescent="0.25">
      <c r="J358" s="208" t="e">
        <f t="shared" si="22"/>
        <v>#NUM!</v>
      </c>
    </row>
    <row r="359" spans="10:10" x14ac:dyDescent="0.25">
      <c r="J359" s="208" t="e">
        <f t="shared" si="22"/>
        <v>#NUM!</v>
      </c>
    </row>
    <row r="360" spans="10:10" x14ac:dyDescent="0.25">
      <c r="J360" s="208" t="e">
        <f t="shared" si="22"/>
        <v>#NUM!</v>
      </c>
    </row>
    <row r="361" spans="10:10" x14ac:dyDescent="0.25">
      <c r="J361" s="208" t="e">
        <f t="shared" si="22"/>
        <v>#NUM!</v>
      </c>
    </row>
    <row r="362" spans="10:10" x14ac:dyDescent="0.25">
      <c r="J362" s="208" t="e">
        <f t="shared" si="22"/>
        <v>#NUM!</v>
      </c>
    </row>
    <row r="363" spans="10:10" x14ac:dyDescent="0.25">
      <c r="J363" s="208" t="e">
        <f t="shared" si="22"/>
        <v>#NUM!</v>
      </c>
    </row>
    <row r="364" spans="10:10" x14ac:dyDescent="0.25">
      <c r="J364" s="208" t="e">
        <f t="shared" si="22"/>
        <v>#NUM!</v>
      </c>
    </row>
    <row r="365" spans="10:10" x14ac:dyDescent="0.25">
      <c r="J365" s="208" t="e">
        <f t="shared" si="22"/>
        <v>#NUM!</v>
      </c>
    </row>
    <row r="366" spans="10:10" x14ac:dyDescent="0.25">
      <c r="J366" s="208" t="e">
        <f t="shared" si="22"/>
        <v>#NUM!</v>
      </c>
    </row>
    <row r="367" spans="10:10" x14ac:dyDescent="0.25">
      <c r="J367" s="208" t="e">
        <f t="shared" si="22"/>
        <v>#NUM!</v>
      </c>
    </row>
    <row r="368" spans="10:10" x14ac:dyDescent="0.25">
      <c r="J368" s="208" t="e">
        <f t="shared" si="22"/>
        <v>#NUM!</v>
      </c>
    </row>
    <row r="369" spans="10:10" x14ac:dyDescent="0.25">
      <c r="J369" s="208" t="e">
        <f t="shared" si="22"/>
        <v>#NUM!</v>
      </c>
    </row>
    <row r="370" spans="10:10" x14ac:dyDescent="0.25">
      <c r="J370" s="208" t="e">
        <f t="shared" si="22"/>
        <v>#NUM!</v>
      </c>
    </row>
    <row r="371" spans="10:10" x14ac:dyDescent="0.25">
      <c r="J371" s="208" t="e">
        <f t="shared" si="22"/>
        <v>#NUM!</v>
      </c>
    </row>
    <row r="372" spans="10:10" x14ac:dyDescent="0.25">
      <c r="J372" s="208" t="e">
        <f t="shared" si="22"/>
        <v>#NUM!</v>
      </c>
    </row>
    <row r="373" spans="10:10" x14ac:dyDescent="0.25">
      <c r="J373" s="208" t="e">
        <f t="shared" si="22"/>
        <v>#NUM!</v>
      </c>
    </row>
    <row r="374" spans="10:10" x14ac:dyDescent="0.25">
      <c r="J374" s="20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5606072E-DC3C-41F6-BC32-6B94D4640686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D443-1575-4045-A879-F85C35C0E003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26</v>
      </c>
      <c r="I1" s="179" t="s">
        <v>27</v>
      </c>
      <c r="J1" s="179" t="s">
        <v>28</v>
      </c>
      <c r="K1" s="180" t="s">
        <v>124</v>
      </c>
      <c r="L1" s="181"/>
      <c r="M1" s="181"/>
    </row>
    <row r="2" spans="1:36" x14ac:dyDescent="0.25">
      <c r="A2" s="177"/>
      <c r="B2" s="22" t="s">
        <v>30</v>
      </c>
      <c r="C2" s="135" t="s">
        <v>142</v>
      </c>
      <c r="D2" s="75"/>
      <c r="E2" s="23"/>
      <c r="F2" s="23"/>
      <c r="G2" s="23"/>
      <c r="H2" s="183">
        <v>0</v>
      </c>
      <c r="I2" s="184">
        <v>50</v>
      </c>
      <c r="J2" s="184">
        <v>10</v>
      </c>
      <c r="K2" s="211">
        <f>3*H2^(1/3)</f>
        <v>0</v>
      </c>
      <c r="L2" s="181"/>
      <c r="M2" s="181"/>
    </row>
    <row r="3" spans="1:36" x14ac:dyDescent="0.25">
      <c r="A3" s="177"/>
      <c r="B3" s="186" t="s">
        <v>32</v>
      </c>
      <c r="C3" s="76" t="s">
        <v>143</v>
      </c>
      <c r="D3" s="76"/>
      <c r="E3" s="28"/>
      <c r="F3" s="28"/>
      <c r="G3" s="28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81"/>
      <c r="I4" s="181"/>
      <c r="J4" s="212"/>
      <c r="K4" s="181"/>
      <c r="L4" s="181"/>
      <c r="M4" s="18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87" t="s">
        <v>40</v>
      </c>
      <c r="I5" s="188" t="s">
        <v>41</v>
      </c>
      <c r="J5" s="213" t="s">
        <v>42</v>
      </c>
      <c r="K5" s="188" t="s">
        <v>43</v>
      </c>
      <c r="L5" s="188" t="s">
        <v>44</v>
      </c>
      <c r="M5" s="187" t="s">
        <v>45</v>
      </c>
    </row>
    <row r="6" spans="1:36" ht="14.45" customHeight="1" x14ac:dyDescent="0.25">
      <c r="A6" s="102">
        <f>M6</f>
        <v>0</v>
      </c>
      <c r="B6" s="36" t="str">
        <f>IF(H6&gt;$H$2,"",(ROW()-5))</f>
        <v/>
      </c>
      <c r="C6" s="37"/>
      <c r="D6" s="37"/>
      <c r="E6" s="37"/>
      <c r="F6" s="37" t="s">
        <v>47</v>
      </c>
      <c r="G6" s="30"/>
      <c r="H6" s="189">
        <v>1</v>
      </c>
      <c r="I6" s="190" t="str">
        <f t="shared" ref="I6:I69" si="0">IF(H6&lt;$H$2+1,($I$2-($I$2-1)*(LOG(H6)/LOG($H$2))),"")</f>
        <v/>
      </c>
      <c r="J6" s="189" t="e">
        <f>INT(LOG($H$2,2))-ROUNDUP(LOG(H6,2),0)+IF(OR($H$2=1,$H$2=2,$H$2=4,$H$2=8,$H$2=16,$H$2=32,$H$2=64,$H$2=128,$H$2=256),0,1)</f>
        <v>#NUM!</v>
      </c>
      <c r="K6" s="189" t="e">
        <f t="shared" ref="K6:K69" si="1">J6*$J$2</f>
        <v>#NUM!</v>
      </c>
      <c r="L6" s="191">
        <f>3*K2</f>
        <v>0</v>
      </c>
      <c r="M6" s="191">
        <f t="shared" ref="M6:M69" si="2">IF(I6&lt;&gt;"",K6+I6+L6,0)</f>
        <v>0</v>
      </c>
    </row>
    <row r="7" spans="1:36" ht="14.45" customHeight="1" x14ac:dyDescent="0.25">
      <c r="A7" s="106">
        <f t="shared" ref="A7:A37" si="3">M7</f>
        <v>0</v>
      </c>
      <c r="B7" s="42" t="str">
        <f t="shared" ref="B7:B65" si="4">IF(H7&gt;$H$2,"",(ROW()-5))</f>
        <v/>
      </c>
      <c r="C7" s="43"/>
      <c r="D7" s="43"/>
      <c r="E7" s="43"/>
      <c r="F7" s="43" t="s">
        <v>47</v>
      </c>
      <c r="G7" s="30"/>
      <c r="H7" s="192">
        <v>2</v>
      </c>
      <c r="I7" s="193" t="str">
        <f t="shared" si="0"/>
        <v/>
      </c>
      <c r="J7" s="192" t="e">
        <f t="shared" ref="J7:J70" si="5">INT(LOG($H$2,2))-ROUNDUP(LOG(H7,2),0)+IF(OR($H$2=1,$H$2=2,$H$2=4,$H$2=8,$H$2=16,$H$2=32,$H$2=64,$H$2=128,$H$2=256),0,1)</f>
        <v>#NUM!</v>
      </c>
      <c r="K7" s="192" t="e">
        <f t="shared" si="1"/>
        <v>#NUM!</v>
      </c>
      <c r="L7" s="194">
        <f>2*K2</f>
        <v>0</v>
      </c>
      <c r="M7" s="194">
        <f t="shared" si="2"/>
        <v>0</v>
      </c>
    </row>
    <row r="8" spans="1:36" ht="14.45" customHeight="1" x14ac:dyDescent="0.25">
      <c r="A8" s="102">
        <f t="shared" si="3"/>
        <v>0</v>
      </c>
      <c r="B8" s="36" t="str">
        <f t="shared" si="4"/>
        <v/>
      </c>
      <c r="C8" s="37"/>
      <c r="D8" s="37"/>
      <c r="E8" s="37"/>
      <c r="F8" s="37" t="s">
        <v>47</v>
      </c>
      <c r="G8" s="30"/>
      <c r="H8" s="189">
        <v>3</v>
      </c>
      <c r="I8" s="190" t="str">
        <f t="shared" si="0"/>
        <v/>
      </c>
      <c r="J8" s="189" t="e">
        <f t="shared" si="5"/>
        <v>#NUM!</v>
      </c>
      <c r="K8" s="189" t="e">
        <f t="shared" si="1"/>
        <v>#NUM!</v>
      </c>
      <c r="L8" s="191">
        <f>K2</f>
        <v>0</v>
      </c>
      <c r="M8" s="191">
        <f t="shared" si="2"/>
        <v>0</v>
      </c>
    </row>
    <row r="9" spans="1:36" s="182" customFormat="1" ht="14.45" customHeight="1" x14ac:dyDescent="0.25">
      <c r="A9" s="106">
        <f t="shared" si="3"/>
        <v>0</v>
      </c>
      <c r="B9" s="42" t="str">
        <f>IF(H9&gt;$H$2,"",3)</f>
        <v/>
      </c>
      <c r="C9" s="43"/>
      <c r="D9" s="43"/>
      <c r="E9" s="43"/>
      <c r="F9" s="43"/>
      <c r="G9" s="30"/>
      <c r="H9" s="192">
        <v>3</v>
      </c>
      <c r="I9" s="193" t="str">
        <f t="shared" si="0"/>
        <v/>
      </c>
      <c r="J9" s="192" t="e">
        <f t="shared" si="5"/>
        <v>#NUM!</v>
      </c>
      <c r="K9" s="192" t="e">
        <f t="shared" si="1"/>
        <v>#NUM!</v>
      </c>
      <c r="L9" s="194">
        <f>K2</f>
        <v>0</v>
      </c>
      <c r="M9" s="194">
        <f t="shared" si="2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53</v>
      </c>
      <c r="AI9" s="182">
        <v>23</v>
      </c>
    </row>
    <row r="10" spans="1:36" ht="14.45" customHeight="1" x14ac:dyDescent="0.25">
      <c r="A10" s="102">
        <f t="shared" si="3"/>
        <v>0</v>
      </c>
      <c r="B10" s="36" t="str">
        <f t="shared" si="4"/>
        <v/>
      </c>
      <c r="C10" s="37"/>
      <c r="D10" s="37"/>
      <c r="E10" s="37"/>
      <c r="F10" s="37"/>
      <c r="G10" s="30"/>
      <c r="H10" s="189">
        <v>5</v>
      </c>
      <c r="I10" s="190" t="str">
        <f t="shared" si="0"/>
        <v/>
      </c>
      <c r="J10" s="189" t="e">
        <f t="shared" si="5"/>
        <v>#NUM!</v>
      </c>
      <c r="K10" s="189" t="e">
        <f t="shared" si="1"/>
        <v>#NUM!</v>
      </c>
      <c r="L10" s="189"/>
      <c r="M10" s="191">
        <f t="shared" si="2"/>
        <v>0</v>
      </c>
      <c r="V10" s="195"/>
      <c r="Z10" s="196"/>
      <c r="AA10" s="196"/>
      <c r="AG10" s="197"/>
      <c r="AH10" s="182" t="s">
        <v>55</v>
      </c>
      <c r="AI10" s="182">
        <v>45</v>
      </c>
    </row>
    <row r="11" spans="1:36" ht="14.45" customHeight="1" x14ac:dyDescent="0.25">
      <c r="A11" s="106">
        <f t="shared" si="3"/>
        <v>0</v>
      </c>
      <c r="B11" s="42" t="str">
        <f t="shared" si="4"/>
        <v/>
      </c>
      <c r="C11" s="43"/>
      <c r="D11" s="43"/>
      <c r="E11" s="43"/>
      <c r="F11" s="43"/>
      <c r="G11" s="30"/>
      <c r="H11" s="192">
        <v>6</v>
      </c>
      <c r="I11" s="193" t="str">
        <f t="shared" si="0"/>
        <v/>
      </c>
      <c r="J11" s="192" t="e">
        <f t="shared" si="5"/>
        <v>#NUM!</v>
      </c>
      <c r="K11" s="192" t="e">
        <f t="shared" si="1"/>
        <v>#NUM!</v>
      </c>
      <c r="L11" s="192"/>
      <c r="M11" s="194">
        <f t="shared" si="2"/>
        <v>0</v>
      </c>
      <c r="V11" s="198"/>
      <c r="Z11" s="196"/>
      <c r="AA11" s="196"/>
      <c r="AG11" s="197"/>
      <c r="AH11" s="182" t="s">
        <v>57</v>
      </c>
      <c r="AI11" s="182">
        <v>50</v>
      </c>
    </row>
    <row r="12" spans="1:36" ht="14.45" customHeight="1" x14ac:dyDescent="0.25">
      <c r="A12" s="102">
        <f t="shared" si="3"/>
        <v>0</v>
      </c>
      <c r="B12" s="36" t="str">
        <f t="shared" si="4"/>
        <v/>
      </c>
      <c r="C12" s="37"/>
      <c r="D12" s="37"/>
      <c r="E12" s="37"/>
      <c r="F12" s="37"/>
      <c r="G12" s="30"/>
      <c r="H12" s="189">
        <v>7</v>
      </c>
      <c r="I12" s="190" t="str">
        <f t="shared" si="0"/>
        <v/>
      </c>
      <c r="J12" s="189" t="e">
        <f t="shared" si="5"/>
        <v>#NUM!</v>
      </c>
      <c r="K12" s="189" t="e">
        <f t="shared" si="1"/>
        <v>#NUM!</v>
      </c>
      <c r="L12" s="189"/>
      <c r="M12" s="191">
        <f t="shared" si="2"/>
        <v>0</v>
      </c>
      <c r="Z12" s="196"/>
      <c r="AA12" s="196"/>
      <c r="AG12" s="197"/>
      <c r="AH12" s="182" t="s">
        <v>58</v>
      </c>
      <c r="AI12" s="182">
        <f>AI11-1</f>
        <v>49</v>
      </c>
    </row>
    <row r="13" spans="1:36" ht="14.45" customHeight="1" x14ac:dyDescent="0.25">
      <c r="A13" s="106">
        <f t="shared" si="3"/>
        <v>0</v>
      </c>
      <c r="B13" s="42" t="str">
        <f t="shared" si="4"/>
        <v/>
      </c>
      <c r="C13" s="43"/>
      <c r="D13" s="43"/>
      <c r="E13" s="43"/>
      <c r="F13" s="43"/>
      <c r="G13" s="30"/>
      <c r="H13" s="192">
        <v>8</v>
      </c>
      <c r="I13" s="193" t="str">
        <f t="shared" si="0"/>
        <v/>
      </c>
      <c r="J13" s="192" t="e">
        <f t="shared" si="5"/>
        <v>#NUM!</v>
      </c>
      <c r="K13" s="192" t="e">
        <f t="shared" si="1"/>
        <v>#NUM!</v>
      </c>
      <c r="L13" s="192"/>
      <c r="M13" s="194">
        <f t="shared" si="2"/>
        <v>0</v>
      </c>
      <c r="X13" s="195"/>
      <c r="AG13" s="197"/>
      <c r="AH13" s="182" t="s">
        <v>59</v>
      </c>
      <c r="AI13" s="182">
        <f>LOG(AI9)</f>
        <v>1.3617278360175928</v>
      </c>
    </row>
    <row r="14" spans="1:36" x14ac:dyDescent="0.25">
      <c r="A14" s="102">
        <f t="shared" si="3"/>
        <v>0</v>
      </c>
      <c r="B14" s="36" t="str">
        <f t="shared" si="4"/>
        <v/>
      </c>
      <c r="C14" s="37"/>
      <c r="D14" s="37"/>
      <c r="E14" s="37"/>
      <c r="F14" s="37"/>
      <c r="G14" s="30"/>
      <c r="H14" s="189">
        <v>9</v>
      </c>
      <c r="I14" s="190" t="str">
        <f t="shared" si="0"/>
        <v/>
      </c>
      <c r="J14" s="189" t="e">
        <f t="shared" si="5"/>
        <v>#NUM!</v>
      </c>
      <c r="K14" s="189" t="e">
        <f t="shared" si="1"/>
        <v>#NUM!</v>
      </c>
      <c r="L14" s="189"/>
      <c r="M14" s="191">
        <f t="shared" si="2"/>
        <v>0</v>
      </c>
      <c r="X14" s="199"/>
      <c r="Z14" s="196"/>
      <c r="AA14" s="196"/>
      <c r="AG14" s="197"/>
      <c r="AH14" s="182" t="s">
        <v>65</v>
      </c>
      <c r="AI14" s="182">
        <f>LOG(AI10)</f>
        <v>1.6532125137753437</v>
      </c>
    </row>
    <row r="15" spans="1:36" x14ac:dyDescent="0.25">
      <c r="A15" s="106">
        <f t="shared" si="3"/>
        <v>0</v>
      </c>
      <c r="B15" s="42" t="str">
        <f t="shared" si="4"/>
        <v/>
      </c>
      <c r="C15" s="43"/>
      <c r="D15" s="43"/>
      <c r="E15" s="43"/>
      <c r="F15" s="43"/>
      <c r="G15" s="30"/>
      <c r="H15" s="192">
        <v>10</v>
      </c>
      <c r="I15" s="193" t="str">
        <f t="shared" si="0"/>
        <v/>
      </c>
      <c r="J15" s="192" t="e">
        <f t="shared" si="5"/>
        <v>#NUM!</v>
      </c>
      <c r="K15" s="192" t="e">
        <f t="shared" si="1"/>
        <v>#NUM!</v>
      </c>
      <c r="L15" s="192"/>
      <c r="M15" s="194">
        <f t="shared" si="2"/>
        <v>0</v>
      </c>
      <c r="X15" s="195"/>
      <c r="Z15" s="196"/>
      <c r="AA15" s="196"/>
    </row>
    <row r="16" spans="1:36" x14ac:dyDescent="0.25">
      <c r="A16" s="102">
        <f t="shared" si="3"/>
        <v>0</v>
      </c>
      <c r="B16" s="36" t="str">
        <f t="shared" si="4"/>
        <v/>
      </c>
      <c r="C16" s="37"/>
      <c r="D16" s="37"/>
      <c r="E16" s="37"/>
      <c r="F16" s="37"/>
      <c r="G16" s="30"/>
      <c r="H16" s="189">
        <v>11</v>
      </c>
      <c r="I16" s="190" t="str">
        <f t="shared" si="0"/>
        <v/>
      </c>
      <c r="J16" s="189" t="e">
        <f t="shared" si="5"/>
        <v>#NUM!</v>
      </c>
      <c r="K16" s="189" t="e">
        <f t="shared" si="1"/>
        <v>#NUM!</v>
      </c>
      <c r="L16" s="189"/>
      <c r="M16" s="191">
        <f t="shared" si="2"/>
        <v>0</v>
      </c>
      <c r="R16" s="200"/>
      <c r="Z16" s="196"/>
      <c r="AA16" s="196"/>
      <c r="AH16" s="201" t="s">
        <v>61</v>
      </c>
      <c r="AI16" s="182">
        <f>AI11-AI12*AI13/AI14</f>
        <v>9.6393909380186855</v>
      </c>
      <c r="AJ16" s="182" t="s">
        <v>62</v>
      </c>
    </row>
    <row r="17" spans="1:19" x14ac:dyDescent="0.25">
      <c r="A17" s="106">
        <f t="shared" si="3"/>
        <v>0</v>
      </c>
      <c r="B17" s="42" t="str">
        <f t="shared" si="4"/>
        <v/>
      </c>
      <c r="C17" s="43"/>
      <c r="D17" s="43"/>
      <c r="E17" s="43"/>
      <c r="F17" s="43"/>
      <c r="G17" s="30"/>
      <c r="H17" s="192">
        <v>12</v>
      </c>
      <c r="I17" s="193" t="str">
        <f t="shared" si="0"/>
        <v/>
      </c>
      <c r="J17" s="192" t="e">
        <f t="shared" si="5"/>
        <v>#NUM!</v>
      </c>
      <c r="K17" s="192" t="e">
        <f t="shared" si="1"/>
        <v>#NUM!</v>
      </c>
      <c r="L17" s="192"/>
      <c r="M17" s="194">
        <f t="shared" si="2"/>
        <v>0</v>
      </c>
    </row>
    <row r="18" spans="1:19" x14ac:dyDescent="0.25">
      <c r="A18" s="102">
        <f t="shared" si="3"/>
        <v>0</v>
      </c>
      <c r="B18" s="36" t="str">
        <f t="shared" si="4"/>
        <v/>
      </c>
      <c r="C18" s="37"/>
      <c r="D18" s="37"/>
      <c r="E18" s="37"/>
      <c r="F18" s="37"/>
      <c r="G18" s="30"/>
      <c r="H18" s="189">
        <v>13</v>
      </c>
      <c r="I18" s="190" t="str">
        <f t="shared" si="0"/>
        <v/>
      </c>
      <c r="J18" s="189" t="e">
        <f t="shared" si="5"/>
        <v>#NUM!</v>
      </c>
      <c r="K18" s="189" t="e">
        <f t="shared" si="1"/>
        <v>#NUM!</v>
      </c>
      <c r="L18" s="189"/>
      <c r="M18" s="191">
        <f t="shared" si="2"/>
        <v>0</v>
      </c>
    </row>
    <row r="19" spans="1:19" x14ac:dyDescent="0.25">
      <c r="A19" s="106">
        <f t="shared" si="3"/>
        <v>0</v>
      </c>
      <c r="B19" s="42" t="str">
        <f t="shared" si="4"/>
        <v/>
      </c>
      <c r="C19" s="43"/>
      <c r="D19" s="43"/>
      <c r="E19" s="43"/>
      <c r="F19" s="43"/>
      <c r="G19" s="30"/>
      <c r="H19" s="192">
        <v>14</v>
      </c>
      <c r="I19" s="193" t="str">
        <f t="shared" si="0"/>
        <v/>
      </c>
      <c r="J19" s="192" t="e">
        <f t="shared" si="5"/>
        <v>#NUM!</v>
      </c>
      <c r="K19" s="192" t="e">
        <f t="shared" si="1"/>
        <v>#NUM!</v>
      </c>
      <c r="L19" s="192"/>
      <c r="M19" s="194">
        <f t="shared" si="2"/>
        <v>0</v>
      </c>
    </row>
    <row r="20" spans="1:19" x14ac:dyDescent="0.25">
      <c r="A20" s="102">
        <f t="shared" si="3"/>
        <v>0</v>
      </c>
      <c r="B20" s="36" t="str">
        <f t="shared" si="4"/>
        <v/>
      </c>
      <c r="C20" s="37"/>
      <c r="D20" s="37"/>
      <c r="E20" s="37"/>
      <c r="F20" s="37"/>
      <c r="G20" s="30"/>
      <c r="H20" s="189">
        <v>15</v>
      </c>
      <c r="I20" s="190" t="str">
        <f t="shared" si="0"/>
        <v/>
      </c>
      <c r="J20" s="189" t="e">
        <f t="shared" si="5"/>
        <v>#NUM!</v>
      </c>
      <c r="K20" s="189" t="e">
        <f t="shared" si="1"/>
        <v>#NUM!</v>
      </c>
      <c r="L20" s="189"/>
      <c r="M20" s="191">
        <f t="shared" si="2"/>
        <v>0</v>
      </c>
      <c r="R20" s="202"/>
      <c r="S20" s="203"/>
    </row>
    <row r="21" spans="1:19" x14ac:dyDescent="0.25">
      <c r="A21" s="106">
        <f t="shared" si="3"/>
        <v>0</v>
      </c>
      <c r="B21" s="42" t="str">
        <f t="shared" si="4"/>
        <v/>
      </c>
      <c r="C21" s="43"/>
      <c r="D21" s="43"/>
      <c r="E21" s="43"/>
      <c r="F21" s="43"/>
      <c r="G21" s="30"/>
      <c r="H21" s="192">
        <v>16</v>
      </c>
      <c r="I21" s="193" t="str">
        <f t="shared" si="0"/>
        <v/>
      </c>
      <c r="J21" s="192" t="e">
        <f t="shared" si="5"/>
        <v>#NUM!</v>
      </c>
      <c r="K21" s="192" t="e">
        <f t="shared" si="1"/>
        <v>#NUM!</v>
      </c>
      <c r="L21" s="192"/>
      <c r="M21" s="194">
        <f t="shared" si="2"/>
        <v>0</v>
      </c>
    </row>
    <row r="22" spans="1:19" x14ac:dyDescent="0.25">
      <c r="A22" s="102">
        <f t="shared" si="3"/>
        <v>0</v>
      </c>
      <c r="B22" s="36" t="str">
        <f t="shared" si="4"/>
        <v/>
      </c>
      <c r="C22" s="37"/>
      <c r="D22" s="37"/>
      <c r="E22" s="37"/>
      <c r="F22" s="37"/>
      <c r="G22" s="30"/>
      <c r="H22" s="189">
        <v>17</v>
      </c>
      <c r="I22" s="190" t="str">
        <f t="shared" si="0"/>
        <v/>
      </c>
      <c r="J22" s="189" t="e">
        <f t="shared" si="5"/>
        <v>#NUM!</v>
      </c>
      <c r="K22" s="189" t="e">
        <f t="shared" si="1"/>
        <v>#NUM!</v>
      </c>
      <c r="L22" s="189"/>
      <c r="M22" s="191">
        <f t="shared" si="2"/>
        <v>0</v>
      </c>
    </row>
    <row r="23" spans="1:19" x14ac:dyDescent="0.25">
      <c r="A23" s="106">
        <f t="shared" si="3"/>
        <v>0</v>
      </c>
      <c r="B23" s="42" t="str">
        <f t="shared" si="4"/>
        <v/>
      </c>
      <c r="C23" s="43"/>
      <c r="D23" s="43"/>
      <c r="E23" s="43"/>
      <c r="F23" s="43"/>
      <c r="G23" s="30"/>
      <c r="H23" s="192">
        <v>18</v>
      </c>
      <c r="I23" s="193" t="str">
        <f t="shared" si="0"/>
        <v/>
      </c>
      <c r="J23" s="192" t="e">
        <f t="shared" si="5"/>
        <v>#NUM!</v>
      </c>
      <c r="K23" s="192" t="e">
        <f t="shared" si="1"/>
        <v>#NUM!</v>
      </c>
      <c r="L23" s="192"/>
      <c r="M23" s="194">
        <f t="shared" si="2"/>
        <v>0</v>
      </c>
    </row>
    <row r="24" spans="1:19" x14ac:dyDescent="0.25">
      <c r="A24" s="102">
        <f t="shared" si="3"/>
        <v>0</v>
      </c>
      <c r="B24" s="36" t="str">
        <f t="shared" si="4"/>
        <v/>
      </c>
      <c r="C24" s="37"/>
      <c r="D24" s="37"/>
      <c r="E24" s="37"/>
      <c r="F24" s="37"/>
      <c r="G24" s="30"/>
      <c r="H24" s="189">
        <v>19</v>
      </c>
      <c r="I24" s="190" t="str">
        <f t="shared" si="0"/>
        <v/>
      </c>
      <c r="J24" s="189" t="e">
        <f t="shared" si="5"/>
        <v>#NUM!</v>
      </c>
      <c r="K24" s="189" t="e">
        <f t="shared" si="1"/>
        <v>#NUM!</v>
      </c>
      <c r="L24" s="189"/>
      <c r="M24" s="191">
        <f t="shared" si="2"/>
        <v>0</v>
      </c>
      <c r="R24" s="202"/>
      <c r="S24" s="203"/>
    </row>
    <row r="25" spans="1:19" x14ac:dyDescent="0.25">
      <c r="A25" s="106">
        <f t="shared" si="3"/>
        <v>0</v>
      </c>
      <c r="B25" s="42" t="str">
        <f t="shared" si="4"/>
        <v/>
      </c>
      <c r="C25" s="43"/>
      <c r="D25" s="43"/>
      <c r="E25" s="43"/>
      <c r="F25" s="43"/>
      <c r="G25" s="30"/>
      <c r="H25" s="192">
        <v>20</v>
      </c>
      <c r="I25" s="193" t="str">
        <f t="shared" si="0"/>
        <v/>
      </c>
      <c r="J25" s="192" t="e">
        <f t="shared" si="5"/>
        <v>#NUM!</v>
      </c>
      <c r="K25" s="192" t="e">
        <f t="shared" si="1"/>
        <v>#NUM!</v>
      </c>
      <c r="L25" s="192"/>
      <c r="M25" s="194">
        <f t="shared" si="2"/>
        <v>0</v>
      </c>
    </row>
    <row r="26" spans="1:19" x14ac:dyDescent="0.25">
      <c r="A26" s="102">
        <f t="shared" si="3"/>
        <v>0</v>
      </c>
      <c r="B26" s="36" t="str">
        <f t="shared" si="4"/>
        <v/>
      </c>
      <c r="C26" s="37"/>
      <c r="D26" s="37"/>
      <c r="E26" s="37"/>
      <c r="F26" s="37"/>
      <c r="G26" s="30"/>
      <c r="H26" s="189">
        <v>21</v>
      </c>
      <c r="I26" s="190" t="str">
        <f t="shared" si="0"/>
        <v/>
      </c>
      <c r="J26" s="189" t="e">
        <f t="shared" si="5"/>
        <v>#NUM!</v>
      </c>
      <c r="K26" s="189" t="e">
        <f t="shared" si="1"/>
        <v>#NUM!</v>
      </c>
      <c r="L26" s="189"/>
      <c r="M26" s="191">
        <f t="shared" si="2"/>
        <v>0</v>
      </c>
    </row>
    <row r="27" spans="1:19" x14ac:dyDescent="0.25">
      <c r="A27" s="106">
        <f t="shared" si="3"/>
        <v>0</v>
      </c>
      <c r="B27" s="42" t="str">
        <f t="shared" si="4"/>
        <v/>
      </c>
      <c r="C27" s="43"/>
      <c r="D27" s="43"/>
      <c r="E27" s="43"/>
      <c r="F27" s="43"/>
      <c r="G27" s="30"/>
      <c r="H27" s="192">
        <v>22</v>
      </c>
      <c r="I27" s="193" t="str">
        <f t="shared" si="0"/>
        <v/>
      </c>
      <c r="J27" s="192" t="e">
        <f t="shared" si="5"/>
        <v>#NUM!</v>
      </c>
      <c r="K27" s="192" t="e">
        <f t="shared" si="1"/>
        <v>#NUM!</v>
      </c>
      <c r="L27" s="192"/>
      <c r="M27" s="194">
        <f t="shared" si="2"/>
        <v>0</v>
      </c>
    </row>
    <row r="28" spans="1:19" x14ac:dyDescent="0.25">
      <c r="A28" s="102">
        <f t="shared" si="3"/>
        <v>0</v>
      </c>
      <c r="B28" s="36" t="str">
        <f t="shared" si="4"/>
        <v/>
      </c>
      <c r="C28" s="37"/>
      <c r="D28" s="37"/>
      <c r="E28" s="37"/>
      <c r="F28" s="37"/>
      <c r="G28" s="30"/>
      <c r="H28" s="189">
        <v>23</v>
      </c>
      <c r="I28" s="190" t="str">
        <f t="shared" si="0"/>
        <v/>
      </c>
      <c r="J28" s="189" t="e">
        <f t="shared" si="5"/>
        <v>#NUM!</v>
      </c>
      <c r="K28" s="189" t="e">
        <f t="shared" si="1"/>
        <v>#NUM!</v>
      </c>
      <c r="L28" s="189"/>
      <c r="M28" s="191">
        <f t="shared" si="2"/>
        <v>0</v>
      </c>
      <c r="R28" s="202"/>
      <c r="S28" s="203"/>
    </row>
    <row r="29" spans="1:19" x14ac:dyDescent="0.25">
      <c r="A29" s="106">
        <f t="shared" si="3"/>
        <v>0</v>
      </c>
      <c r="B29" s="42" t="str">
        <f t="shared" si="4"/>
        <v/>
      </c>
      <c r="C29" s="43"/>
      <c r="D29" s="43"/>
      <c r="E29" s="43"/>
      <c r="F29" s="43"/>
      <c r="G29" s="177"/>
      <c r="H29" s="192">
        <v>24</v>
      </c>
      <c r="I29" s="193" t="str">
        <f t="shared" si="0"/>
        <v/>
      </c>
      <c r="J29" s="192" t="e">
        <f t="shared" si="5"/>
        <v>#NUM!</v>
      </c>
      <c r="K29" s="192" t="e">
        <f t="shared" si="1"/>
        <v>#NUM!</v>
      </c>
      <c r="L29" s="192"/>
      <c r="M29" s="194">
        <f t="shared" si="2"/>
        <v>0</v>
      </c>
    </row>
    <row r="30" spans="1:19" x14ac:dyDescent="0.25">
      <c r="A30" s="102">
        <f t="shared" si="3"/>
        <v>0</v>
      </c>
      <c r="B30" s="36" t="str">
        <f t="shared" si="4"/>
        <v/>
      </c>
      <c r="C30" s="37"/>
      <c r="D30" s="37"/>
      <c r="E30" s="37"/>
      <c r="F30" s="37"/>
      <c r="G30" s="177"/>
      <c r="H30" s="189">
        <v>25</v>
      </c>
      <c r="I30" s="190" t="str">
        <f t="shared" si="0"/>
        <v/>
      </c>
      <c r="J30" s="189" t="e">
        <f t="shared" si="5"/>
        <v>#NUM!</v>
      </c>
      <c r="K30" s="189" t="e">
        <f t="shared" si="1"/>
        <v>#NUM!</v>
      </c>
      <c r="L30" s="189"/>
      <c r="M30" s="191">
        <f t="shared" si="2"/>
        <v>0</v>
      </c>
    </row>
    <row r="31" spans="1:19" x14ac:dyDescent="0.25">
      <c r="A31" s="106">
        <f t="shared" si="3"/>
        <v>0</v>
      </c>
      <c r="B31" s="42" t="str">
        <f t="shared" si="4"/>
        <v/>
      </c>
      <c r="C31" s="43"/>
      <c r="D31" s="43"/>
      <c r="E31" s="43"/>
      <c r="F31" s="43"/>
      <c r="G31" s="177"/>
      <c r="H31" s="192">
        <v>26</v>
      </c>
      <c r="I31" s="193" t="str">
        <f t="shared" si="0"/>
        <v/>
      </c>
      <c r="J31" s="192" t="e">
        <f t="shared" si="5"/>
        <v>#NUM!</v>
      </c>
      <c r="K31" s="192" t="e">
        <f t="shared" si="1"/>
        <v>#NUM!</v>
      </c>
      <c r="L31" s="192"/>
      <c r="M31" s="194">
        <f t="shared" si="2"/>
        <v>0</v>
      </c>
    </row>
    <row r="32" spans="1:19" x14ac:dyDescent="0.25">
      <c r="A32" s="102">
        <f t="shared" si="3"/>
        <v>0</v>
      </c>
      <c r="B32" s="36" t="str">
        <f t="shared" si="4"/>
        <v/>
      </c>
      <c r="C32" s="37"/>
      <c r="D32" s="37"/>
      <c r="E32" s="37"/>
      <c r="F32" s="37"/>
      <c r="G32" s="177"/>
      <c r="H32" s="189">
        <v>27</v>
      </c>
      <c r="I32" s="190" t="str">
        <f t="shared" si="0"/>
        <v/>
      </c>
      <c r="J32" s="189" t="e">
        <f t="shared" si="5"/>
        <v>#NUM!</v>
      </c>
      <c r="K32" s="189" t="e">
        <f t="shared" si="1"/>
        <v>#NUM!</v>
      </c>
      <c r="L32" s="189"/>
      <c r="M32" s="191">
        <f t="shared" si="2"/>
        <v>0</v>
      </c>
      <c r="R32" s="202"/>
      <c r="S32" s="203"/>
    </row>
    <row r="33" spans="1:21" x14ac:dyDescent="0.25">
      <c r="A33" s="106">
        <f t="shared" si="3"/>
        <v>0</v>
      </c>
      <c r="B33" s="42" t="str">
        <f t="shared" si="4"/>
        <v/>
      </c>
      <c r="C33" s="43"/>
      <c r="D33" s="43"/>
      <c r="E33" s="43"/>
      <c r="F33" s="43"/>
      <c r="G33" s="177"/>
      <c r="H33" s="192">
        <v>28</v>
      </c>
      <c r="I33" s="193" t="str">
        <f t="shared" si="0"/>
        <v/>
      </c>
      <c r="J33" s="192" t="e">
        <f t="shared" si="5"/>
        <v>#NUM!</v>
      </c>
      <c r="K33" s="192" t="e">
        <f t="shared" si="1"/>
        <v>#NUM!</v>
      </c>
      <c r="L33" s="192"/>
      <c r="M33" s="194">
        <f t="shared" si="2"/>
        <v>0</v>
      </c>
    </row>
    <row r="34" spans="1:21" x14ac:dyDescent="0.25">
      <c r="A34" s="102">
        <f t="shared" si="3"/>
        <v>0</v>
      </c>
      <c r="B34" s="36" t="str">
        <f t="shared" si="4"/>
        <v/>
      </c>
      <c r="C34" s="37"/>
      <c r="D34" s="37"/>
      <c r="E34" s="37"/>
      <c r="F34" s="37"/>
      <c r="G34" s="177"/>
      <c r="H34" s="189">
        <v>29</v>
      </c>
      <c r="I34" s="190" t="str">
        <f t="shared" si="0"/>
        <v/>
      </c>
      <c r="J34" s="189" t="e">
        <f t="shared" si="5"/>
        <v>#NUM!</v>
      </c>
      <c r="K34" s="189" t="e">
        <f t="shared" si="1"/>
        <v>#NUM!</v>
      </c>
      <c r="L34" s="189"/>
      <c r="M34" s="191">
        <f t="shared" si="2"/>
        <v>0</v>
      </c>
    </row>
    <row r="35" spans="1:21" x14ac:dyDescent="0.25">
      <c r="A35" s="106">
        <f t="shared" si="3"/>
        <v>0</v>
      </c>
      <c r="B35" s="42" t="str">
        <f t="shared" si="4"/>
        <v/>
      </c>
      <c r="C35" s="43"/>
      <c r="D35" s="43"/>
      <c r="E35" s="43"/>
      <c r="F35" s="43"/>
      <c r="G35" s="177"/>
      <c r="H35" s="192">
        <v>30</v>
      </c>
      <c r="I35" s="193" t="str">
        <f t="shared" si="0"/>
        <v/>
      </c>
      <c r="J35" s="192" t="e">
        <f t="shared" si="5"/>
        <v>#NUM!</v>
      </c>
      <c r="K35" s="192" t="e">
        <f t="shared" si="1"/>
        <v>#NUM!</v>
      </c>
      <c r="L35" s="192"/>
      <c r="M35" s="194">
        <f t="shared" si="2"/>
        <v>0</v>
      </c>
    </row>
    <row r="36" spans="1:21" x14ac:dyDescent="0.25">
      <c r="A36" s="102">
        <f t="shared" si="3"/>
        <v>0</v>
      </c>
      <c r="B36" s="36" t="str">
        <f t="shared" si="4"/>
        <v/>
      </c>
      <c r="C36" s="37"/>
      <c r="D36" s="37"/>
      <c r="E36" s="37"/>
      <c r="F36" s="37"/>
      <c r="G36" s="177"/>
      <c r="H36" s="189">
        <v>31</v>
      </c>
      <c r="I36" s="190" t="str">
        <f t="shared" si="0"/>
        <v/>
      </c>
      <c r="J36" s="189" t="e">
        <f t="shared" si="5"/>
        <v>#NUM!</v>
      </c>
      <c r="K36" s="189" t="e">
        <f t="shared" si="1"/>
        <v>#NUM!</v>
      </c>
      <c r="L36" s="189"/>
      <c r="M36" s="191">
        <f t="shared" si="2"/>
        <v>0</v>
      </c>
      <c r="R36" s="202"/>
      <c r="S36" s="203"/>
    </row>
    <row r="37" spans="1:21" x14ac:dyDescent="0.25">
      <c r="A37" s="106">
        <f t="shared" si="3"/>
        <v>0</v>
      </c>
      <c r="B37" s="42" t="str">
        <f t="shared" si="4"/>
        <v/>
      </c>
      <c r="C37" s="43"/>
      <c r="D37" s="43"/>
      <c r="E37" s="43"/>
      <c r="F37" s="43"/>
      <c r="G37" s="177"/>
      <c r="H37" s="192">
        <v>32</v>
      </c>
      <c r="I37" s="193" t="str">
        <f t="shared" si="0"/>
        <v/>
      </c>
      <c r="J37" s="192" t="e">
        <f t="shared" si="5"/>
        <v>#NUM!</v>
      </c>
      <c r="K37" s="192" t="e">
        <f t="shared" si="1"/>
        <v>#NUM!</v>
      </c>
      <c r="L37" s="192"/>
      <c r="M37" s="194">
        <f t="shared" si="2"/>
        <v>0</v>
      </c>
    </row>
    <row r="38" spans="1:21" x14ac:dyDescent="0.25">
      <c r="A38" s="102"/>
      <c r="B38" s="36" t="str">
        <f t="shared" si="4"/>
        <v/>
      </c>
      <c r="C38" s="37"/>
      <c r="D38" s="37"/>
      <c r="E38" s="37"/>
      <c r="F38" s="37"/>
      <c r="G38" s="177"/>
      <c r="H38" s="189">
        <v>33</v>
      </c>
      <c r="I38" s="190" t="str">
        <f t="shared" si="0"/>
        <v/>
      </c>
      <c r="J38" s="189" t="e">
        <f t="shared" si="5"/>
        <v>#NUM!</v>
      </c>
      <c r="K38" s="189" t="e">
        <f t="shared" si="1"/>
        <v>#NUM!</v>
      </c>
      <c r="L38" s="189"/>
      <c r="M38" s="191">
        <f t="shared" si="2"/>
        <v>0</v>
      </c>
    </row>
    <row r="39" spans="1:21" x14ac:dyDescent="0.25">
      <c r="A39" s="106"/>
      <c r="B39" s="42" t="str">
        <f t="shared" si="4"/>
        <v/>
      </c>
      <c r="C39" s="43"/>
      <c r="D39" s="43"/>
      <c r="E39" s="43"/>
      <c r="F39" s="43"/>
      <c r="G39" s="177"/>
      <c r="H39" s="192">
        <v>34</v>
      </c>
      <c r="I39" s="193" t="str">
        <f t="shared" si="0"/>
        <v/>
      </c>
      <c r="J39" s="192" t="e">
        <f t="shared" si="5"/>
        <v>#NUM!</v>
      </c>
      <c r="K39" s="192" t="e">
        <f t="shared" si="1"/>
        <v>#NUM!</v>
      </c>
      <c r="L39" s="192"/>
      <c r="M39" s="194">
        <f t="shared" si="2"/>
        <v>0</v>
      </c>
    </row>
    <row r="40" spans="1:21" x14ac:dyDescent="0.25">
      <c r="A40" s="102"/>
      <c r="B40" s="36" t="str">
        <f t="shared" si="4"/>
        <v/>
      </c>
      <c r="C40" s="37"/>
      <c r="D40" s="37"/>
      <c r="E40" s="37"/>
      <c r="F40" s="37"/>
      <c r="G40" s="177"/>
      <c r="H40" s="189">
        <v>35</v>
      </c>
      <c r="I40" s="190" t="str">
        <f t="shared" si="0"/>
        <v/>
      </c>
      <c r="J40" s="189" t="e">
        <f t="shared" si="5"/>
        <v>#NUM!</v>
      </c>
      <c r="K40" s="189" t="e">
        <f t="shared" si="1"/>
        <v>#NUM!</v>
      </c>
      <c r="L40" s="189"/>
      <c r="M40" s="191">
        <f t="shared" si="2"/>
        <v>0</v>
      </c>
    </row>
    <row r="41" spans="1:21" x14ac:dyDescent="0.25">
      <c r="A41" s="106"/>
      <c r="B41" s="42" t="str">
        <f t="shared" si="4"/>
        <v/>
      </c>
      <c r="C41" s="43"/>
      <c r="D41" s="43"/>
      <c r="E41" s="43"/>
      <c r="F41" s="43"/>
      <c r="G41" s="177"/>
      <c r="H41" s="192">
        <v>36</v>
      </c>
      <c r="I41" s="193" t="str">
        <f t="shared" si="0"/>
        <v/>
      </c>
      <c r="J41" s="192" t="e">
        <f t="shared" si="5"/>
        <v>#NUM!</v>
      </c>
      <c r="K41" s="192" t="e">
        <f t="shared" si="1"/>
        <v>#NUM!</v>
      </c>
      <c r="L41" s="192"/>
      <c r="M41" s="194">
        <f t="shared" si="2"/>
        <v>0</v>
      </c>
      <c r="S41" s="204"/>
    </row>
    <row r="42" spans="1:21" x14ac:dyDescent="0.25">
      <c r="A42" s="102"/>
      <c r="B42" s="36" t="str">
        <f t="shared" si="4"/>
        <v/>
      </c>
      <c r="C42" s="37"/>
      <c r="D42" s="37"/>
      <c r="E42" s="37"/>
      <c r="F42" s="37"/>
      <c r="G42" s="177"/>
      <c r="H42" s="189">
        <v>37</v>
      </c>
      <c r="I42" s="190" t="str">
        <f t="shared" si="0"/>
        <v/>
      </c>
      <c r="J42" s="189" t="e">
        <f t="shared" si="5"/>
        <v>#NUM!</v>
      </c>
      <c r="K42" s="189" t="e">
        <f t="shared" si="1"/>
        <v>#NUM!</v>
      </c>
      <c r="L42" s="189"/>
      <c r="M42" s="191">
        <f t="shared" si="2"/>
        <v>0</v>
      </c>
    </row>
    <row r="43" spans="1:21" x14ac:dyDescent="0.25">
      <c r="A43" s="106"/>
      <c r="B43" s="42" t="str">
        <f t="shared" si="4"/>
        <v/>
      </c>
      <c r="C43" s="43"/>
      <c r="D43" s="43"/>
      <c r="E43" s="43"/>
      <c r="F43" s="43"/>
      <c r="G43" s="177"/>
      <c r="H43" s="192">
        <v>38</v>
      </c>
      <c r="I43" s="193" t="str">
        <f t="shared" si="0"/>
        <v/>
      </c>
      <c r="J43" s="192" t="e">
        <f t="shared" si="5"/>
        <v>#NUM!</v>
      </c>
      <c r="K43" s="192" t="e">
        <f t="shared" si="1"/>
        <v>#NUM!</v>
      </c>
      <c r="L43" s="192"/>
      <c r="M43" s="194">
        <f t="shared" si="2"/>
        <v>0</v>
      </c>
    </row>
    <row r="44" spans="1:21" x14ac:dyDescent="0.25">
      <c r="A44" s="102"/>
      <c r="B44" s="36" t="str">
        <f t="shared" si="4"/>
        <v/>
      </c>
      <c r="C44" s="37"/>
      <c r="D44" s="37"/>
      <c r="E44" s="37"/>
      <c r="F44" s="37"/>
      <c r="G44" s="177"/>
      <c r="H44" s="189">
        <v>39</v>
      </c>
      <c r="I44" s="190" t="str">
        <f t="shared" si="0"/>
        <v/>
      </c>
      <c r="J44" s="189" t="e">
        <f t="shared" si="5"/>
        <v>#NUM!</v>
      </c>
      <c r="K44" s="189" t="e">
        <f t="shared" si="1"/>
        <v>#NUM!</v>
      </c>
      <c r="L44" s="189"/>
      <c r="M44" s="191">
        <f t="shared" si="2"/>
        <v>0</v>
      </c>
    </row>
    <row r="45" spans="1:21" x14ac:dyDescent="0.25">
      <c r="A45" s="106"/>
      <c r="B45" s="42" t="str">
        <f t="shared" si="4"/>
        <v/>
      </c>
      <c r="C45" s="43"/>
      <c r="D45" s="43"/>
      <c r="E45" s="43"/>
      <c r="F45" s="43"/>
      <c r="G45" s="177"/>
      <c r="H45" s="192">
        <v>40</v>
      </c>
      <c r="I45" s="193" t="str">
        <f t="shared" si="0"/>
        <v/>
      </c>
      <c r="J45" s="192" t="e">
        <f t="shared" si="5"/>
        <v>#NUM!</v>
      </c>
      <c r="K45" s="192" t="e">
        <f t="shared" si="1"/>
        <v>#NUM!</v>
      </c>
      <c r="L45" s="192"/>
      <c r="M45" s="194">
        <f t="shared" si="2"/>
        <v>0</v>
      </c>
    </row>
    <row r="46" spans="1:21" x14ac:dyDescent="0.25">
      <c r="A46" s="102"/>
      <c r="B46" s="36" t="str">
        <f t="shared" si="4"/>
        <v/>
      </c>
      <c r="C46" s="37"/>
      <c r="D46" s="37"/>
      <c r="E46" s="37"/>
      <c r="F46" s="37"/>
      <c r="G46" s="177"/>
      <c r="H46" s="189">
        <v>41</v>
      </c>
      <c r="I46" s="190" t="str">
        <f t="shared" si="0"/>
        <v/>
      </c>
      <c r="J46" s="189" t="e">
        <f t="shared" si="5"/>
        <v>#NUM!</v>
      </c>
      <c r="K46" s="189" t="e">
        <f t="shared" si="1"/>
        <v>#NUM!</v>
      </c>
      <c r="L46" s="189"/>
      <c r="M46" s="191">
        <f t="shared" si="2"/>
        <v>0</v>
      </c>
      <c r="R46" s="177" t="e">
        <f>LOG($H$2,2)</f>
        <v>#NUM!</v>
      </c>
      <c r="T46" s="182">
        <f>LOG(H38,2)</f>
        <v>5.0443941193584534</v>
      </c>
      <c r="U46" s="182" t="e">
        <f>R46-T46</f>
        <v>#NUM!</v>
      </c>
    </row>
    <row r="47" spans="1:21" x14ac:dyDescent="0.25">
      <c r="A47" s="106"/>
      <c r="B47" s="42" t="str">
        <f t="shared" si="4"/>
        <v/>
      </c>
      <c r="C47" s="43"/>
      <c r="D47" s="43"/>
      <c r="E47" s="43"/>
      <c r="F47" s="43"/>
      <c r="G47" s="177"/>
      <c r="H47" s="192">
        <v>42</v>
      </c>
      <c r="I47" s="193" t="str">
        <f t="shared" si="0"/>
        <v/>
      </c>
      <c r="J47" s="192" t="e">
        <f t="shared" si="5"/>
        <v>#NUM!</v>
      </c>
      <c r="K47" s="192" t="e">
        <f t="shared" si="1"/>
        <v>#NUM!</v>
      </c>
      <c r="L47" s="192"/>
      <c r="M47" s="194">
        <f t="shared" si="2"/>
        <v>0</v>
      </c>
    </row>
    <row r="48" spans="1:21" x14ac:dyDescent="0.25">
      <c r="A48" s="102"/>
      <c r="B48" s="36" t="str">
        <f t="shared" si="4"/>
        <v/>
      </c>
      <c r="C48" s="37"/>
      <c r="D48" s="37"/>
      <c r="E48" s="37"/>
      <c r="F48" s="37"/>
      <c r="G48" s="177"/>
      <c r="H48" s="189">
        <v>43</v>
      </c>
      <c r="I48" s="190" t="str">
        <f t="shared" si="0"/>
        <v/>
      </c>
      <c r="J48" s="189" t="e">
        <f t="shared" si="5"/>
        <v>#NUM!</v>
      </c>
      <c r="K48" s="189" t="e">
        <f t="shared" si="1"/>
        <v>#NUM!</v>
      </c>
      <c r="L48" s="189"/>
      <c r="M48" s="191">
        <f t="shared" si="2"/>
        <v>0</v>
      </c>
    </row>
    <row r="49" spans="1:13" x14ac:dyDescent="0.25">
      <c r="A49" s="106"/>
      <c r="B49" s="42" t="str">
        <f t="shared" si="4"/>
        <v/>
      </c>
      <c r="C49" s="43"/>
      <c r="D49" s="43"/>
      <c r="E49" s="43"/>
      <c r="F49" s="43"/>
      <c r="G49" s="177"/>
      <c r="H49" s="192">
        <v>44</v>
      </c>
      <c r="I49" s="193" t="str">
        <f t="shared" si="0"/>
        <v/>
      </c>
      <c r="J49" s="192" t="e">
        <f t="shared" si="5"/>
        <v>#NUM!</v>
      </c>
      <c r="K49" s="192" t="e">
        <f t="shared" si="1"/>
        <v>#NUM!</v>
      </c>
      <c r="L49" s="192"/>
      <c r="M49" s="194">
        <f t="shared" si="2"/>
        <v>0</v>
      </c>
    </row>
    <row r="50" spans="1:13" x14ac:dyDescent="0.25">
      <c r="A50" s="102"/>
      <c r="B50" s="36" t="str">
        <f t="shared" si="4"/>
        <v/>
      </c>
      <c r="C50" s="37"/>
      <c r="D50" s="37"/>
      <c r="E50" s="37"/>
      <c r="F50" s="37"/>
      <c r="G50" s="177"/>
      <c r="H50" s="189">
        <v>45</v>
      </c>
      <c r="I50" s="190" t="str">
        <f t="shared" si="0"/>
        <v/>
      </c>
      <c r="J50" s="189" t="e">
        <f t="shared" si="5"/>
        <v>#NUM!</v>
      </c>
      <c r="K50" s="189" t="e">
        <f t="shared" si="1"/>
        <v>#NUM!</v>
      </c>
      <c r="L50" s="189"/>
      <c r="M50" s="191">
        <f t="shared" si="2"/>
        <v>0</v>
      </c>
    </row>
    <row r="51" spans="1:13" x14ac:dyDescent="0.25">
      <c r="A51" s="106"/>
      <c r="B51" s="42" t="str">
        <f t="shared" si="4"/>
        <v/>
      </c>
      <c r="C51" s="43"/>
      <c r="D51" s="43"/>
      <c r="E51" s="43"/>
      <c r="F51" s="43"/>
      <c r="G51" s="177"/>
      <c r="H51" s="192">
        <v>46</v>
      </c>
      <c r="I51" s="193" t="str">
        <f t="shared" si="0"/>
        <v/>
      </c>
      <c r="J51" s="192" t="e">
        <f t="shared" si="5"/>
        <v>#NUM!</v>
      </c>
      <c r="K51" s="192" t="e">
        <f t="shared" si="1"/>
        <v>#NUM!</v>
      </c>
      <c r="L51" s="192"/>
      <c r="M51" s="194">
        <f t="shared" si="2"/>
        <v>0</v>
      </c>
    </row>
    <row r="52" spans="1:13" x14ac:dyDescent="0.25">
      <c r="A52" s="102"/>
      <c r="B52" s="36" t="str">
        <f t="shared" si="4"/>
        <v/>
      </c>
      <c r="C52" s="37"/>
      <c r="D52" s="37"/>
      <c r="E52" s="37"/>
      <c r="F52" s="37"/>
      <c r="G52" s="177"/>
      <c r="H52" s="189">
        <v>47</v>
      </c>
      <c r="I52" s="190" t="str">
        <f t="shared" si="0"/>
        <v/>
      </c>
      <c r="J52" s="189" t="e">
        <f t="shared" si="5"/>
        <v>#NUM!</v>
      </c>
      <c r="K52" s="189" t="e">
        <f t="shared" si="1"/>
        <v>#NUM!</v>
      </c>
      <c r="L52" s="189"/>
      <c r="M52" s="191">
        <f t="shared" si="2"/>
        <v>0</v>
      </c>
    </row>
    <row r="53" spans="1:13" x14ac:dyDescent="0.25">
      <c r="A53" s="106"/>
      <c r="B53" s="42" t="str">
        <f t="shared" si="4"/>
        <v/>
      </c>
      <c r="C53" s="43"/>
      <c r="D53" s="43"/>
      <c r="E53" s="43"/>
      <c r="F53" s="43"/>
      <c r="G53" s="177"/>
      <c r="H53" s="192">
        <v>48</v>
      </c>
      <c r="I53" s="193" t="str">
        <f t="shared" si="0"/>
        <v/>
      </c>
      <c r="J53" s="192" t="e">
        <f t="shared" si="5"/>
        <v>#NUM!</v>
      </c>
      <c r="K53" s="192" t="e">
        <f t="shared" si="1"/>
        <v>#NUM!</v>
      </c>
      <c r="L53" s="192"/>
      <c r="M53" s="194">
        <f t="shared" si="2"/>
        <v>0</v>
      </c>
    </row>
    <row r="54" spans="1:13" x14ac:dyDescent="0.25">
      <c r="A54" s="102"/>
      <c r="B54" s="36" t="str">
        <f t="shared" si="4"/>
        <v/>
      </c>
      <c r="C54" s="37"/>
      <c r="D54" s="37"/>
      <c r="E54" s="37"/>
      <c r="F54" s="37"/>
      <c r="G54" s="177"/>
      <c r="H54" s="189">
        <v>49</v>
      </c>
      <c r="I54" s="190" t="str">
        <f t="shared" si="0"/>
        <v/>
      </c>
      <c r="J54" s="189" t="e">
        <f t="shared" si="5"/>
        <v>#NUM!</v>
      </c>
      <c r="K54" s="189" t="e">
        <f t="shared" si="1"/>
        <v>#NUM!</v>
      </c>
      <c r="L54" s="189"/>
      <c r="M54" s="191">
        <f t="shared" si="2"/>
        <v>0</v>
      </c>
    </row>
    <row r="55" spans="1:13" x14ac:dyDescent="0.25">
      <c r="A55" s="106"/>
      <c r="B55" s="42" t="str">
        <f t="shared" si="4"/>
        <v/>
      </c>
      <c r="C55" s="43"/>
      <c r="D55" s="43"/>
      <c r="E55" s="43"/>
      <c r="F55" s="43"/>
      <c r="G55" s="177"/>
      <c r="H55" s="192">
        <v>50</v>
      </c>
      <c r="I55" s="193" t="str">
        <f t="shared" si="0"/>
        <v/>
      </c>
      <c r="J55" s="192" t="e">
        <f t="shared" si="5"/>
        <v>#NUM!</v>
      </c>
      <c r="K55" s="192" t="e">
        <f t="shared" si="1"/>
        <v>#NUM!</v>
      </c>
      <c r="L55" s="192"/>
      <c r="M55" s="194">
        <f t="shared" si="2"/>
        <v>0</v>
      </c>
    </row>
    <row r="56" spans="1:13" x14ac:dyDescent="0.25">
      <c r="A56" s="102"/>
      <c r="B56" s="36" t="str">
        <f t="shared" si="4"/>
        <v/>
      </c>
      <c r="C56" s="37"/>
      <c r="D56" s="37"/>
      <c r="E56" s="37"/>
      <c r="F56" s="37"/>
      <c r="G56" s="177"/>
      <c r="H56" s="189">
        <v>51</v>
      </c>
      <c r="I56" s="190" t="str">
        <f t="shared" si="0"/>
        <v/>
      </c>
      <c r="J56" s="189" t="e">
        <f t="shared" si="5"/>
        <v>#NUM!</v>
      </c>
      <c r="K56" s="189" t="e">
        <f t="shared" si="1"/>
        <v>#NUM!</v>
      </c>
      <c r="L56" s="189"/>
      <c r="M56" s="191">
        <f t="shared" si="2"/>
        <v>0</v>
      </c>
    </row>
    <row r="57" spans="1:13" x14ac:dyDescent="0.25">
      <c r="A57" s="106"/>
      <c r="B57" s="42" t="str">
        <f t="shared" si="4"/>
        <v/>
      </c>
      <c r="C57" s="43"/>
      <c r="D57" s="43"/>
      <c r="E57" s="43"/>
      <c r="F57" s="43"/>
      <c r="G57" s="177"/>
      <c r="H57" s="192">
        <v>52</v>
      </c>
      <c r="I57" s="193" t="str">
        <f t="shared" si="0"/>
        <v/>
      </c>
      <c r="J57" s="192" t="e">
        <f t="shared" si="5"/>
        <v>#NUM!</v>
      </c>
      <c r="K57" s="192" t="e">
        <f t="shared" si="1"/>
        <v>#NUM!</v>
      </c>
      <c r="L57" s="192"/>
      <c r="M57" s="194">
        <f t="shared" si="2"/>
        <v>0</v>
      </c>
    </row>
    <row r="58" spans="1:13" x14ac:dyDescent="0.25">
      <c r="A58" s="102"/>
      <c r="B58" s="36" t="str">
        <f t="shared" si="4"/>
        <v/>
      </c>
      <c r="C58" s="37"/>
      <c r="D58" s="37"/>
      <c r="E58" s="37"/>
      <c r="F58" s="37"/>
      <c r="G58" s="177"/>
      <c r="H58" s="189">
        <v>53</v>
      </c>
      <c r="I58" s="190" t="str">
        <f t="shared" si="0"/>
        <v/>
      </c>
      <c r="J58" s="189" t="e">
        <f t="shared" si="5"/>
        <v>#NUM!</v>
      </c>
      <c r="K58" s="189" t="e">
        <f t="shared" si="1"/>
        <v>#NUM!</v>
      </c>
      <c r="L58" s="189"/>
      <c r="M58" s="191">
        <f t="shared" si="2"/>
        <v>0</v>
      </c>
    </row>
    <row r="59" spans="1:13" x14ac:dyDescent="0.25">
      <c r="A59" s="106"/>
      <c r="B59" s="42" t="str">
        <f t="shared" si="4"/>
        <v/>
      </c>
      <c r="C59" s="43"/>
      <c r="D59" s="43"/>
      <c r="E59" s="43"/>
      <c r="F59" s="43"/>
      <c r="G59" s="177"/>
      <c r="H59" s="192">
        <v>54</v>
      </c>
      <c r="I59" s="193" t="str">
        <f t="shared" si="0"/>
        <v/>
      </c>
      <c r="J59" s="192" t="e">
        <f t="shared" si="5"/>
        <v>#NUM!</v>
      </c>
      <c r="K59" s="192" t="e">
        <f t="shared" si="1"/>
        <v>#NUM!</v>
      </c>
      <c r="L59" s="192"/>
      <c r="M59" s="194">
        <f t="shared" si="2"/>
        <v>0</v>
      </c>
    </row>
    <row r="60" spans="1:13" x14ac:dyDescent="0.25">
      <c r="A60" s="102"/>
      <c r="B60" s="36" t="str">
        <f t="shared" si="4"/>
        <v/>
      </c>
      <c r="C60" s="37"/>
      <c r="D60" s="37"/>
      <c r="E60" s="37"/>
      <c r="F60" s="37"/>
      <c r="G60" s="177"/>
      <c r="H60" s="189">
        <v>55</v>
      </c>
      <c r="I60" s="190" t="str">
        <f t="shared" si="0"/>
        <v/>
      </c>
      <c r="J60" s="189" t="e">
        <f t="shared" si="5"/>
        <v>#NUM!</v>
      </c>
      <c r="K60" s="189" t="e">
        <f t="shared" si="1"/>
        <v>#NUM!</v>
      </c>
      <c r="L60" s="189"/>
      <c r="M60" s="191">
        <f t="shared" si="2"/>
        <v>0</v>
      </c>
    </row>
    <row r="61" spans="1:13" x14ac:dyDescent="0.25">
      <c r="A61" s="106"/>
      <c r="B61" s="42" t="str">
        <f t="shared" si="4"/>
        <v/>
      </c>
      <c r="C61" s="43"/>
      <c r="D61" s="43"/>
      <c r="E61" s="43"/>
      <c r="F61" s="43"/>
      <c r="G61" s="177"/>
      <c r="H61" s="192">
        <v>56</v>
      </c>
      <c r="I61" s="193" t="str">
        <f t="shared" si="0"/>
        <v/>
      </c>
      <c r="J61" s="192" t="e">
        <f t="shared" si="5"/>
        <v>#NUM!</v>
      </c>
      <c r="K61" s="192" t="e">
        <f t="shared" si="1"/>
        <v>#NUM!</v>
      </c>
      <c r="L61" s="192"/>
      <c r="M61" s="194">
        <f t="shared" si="2"/>
        <v>0</v>
      </c>
    </row>
    <row r="62" spans="1:13" x14ac:dyDescent="0.25">
      <c r="A62" s="102"/>
      <c r="B62" s="36" t="str">
        <f t="shared" si="4"/>
        <v/>
      </c>
      <c r="C62" s="37"/>
      <c r="D62" s="37"/>
      <c r="E62" s="37"/>
      <c r="F62" s="37"/>
      <c r="G62" s="177"/>
      <c r="H62" s="189">
        <v>57</v>
      </c>
      <c r="I62" s="190" t="str">
        <f t="shared" si="0"/>
        <v/>
      </c>
      <c r="J62" s="189" t="e">
        <f t="shared" si="5"/>
        <v>#NUM!</v>
      </c>
      <c r="K62" s="189" t="e">
        <f t="shared" si="1"/>
        <v>#NUM!</v>
      </c>
      <c r="L62" s="189"/>
      <c r="M62" s="191">
        <f t="shared" si="2"/>
        <v>0</v>
      </c>
    </row>
    <row r="63" spans="1:13" x14ac:dyDescent="0.25">
      <c r="A63" s="106"/>
      <c r="B63" s="42" t="str">
        <f t="shared" si="4"/>
        <v/>
      </c>
      <c r="C63" s="43"/>
      <c r="D63" s="43"/>
      <c r="E63" s="43"/>
      <c r="F63" s="43"/>
      <c r="G63" s="177"/>
      <c r="H63" s="192">
        <v>58</v>
      </c>
      <c r="I63" s="193" t="str">
        <f t="shared" si="0"/>
        <v/>
      </c>
      <c r="J63" s="192" t="e">
        <f t="shared" si="5"/>
        <v>#NUM!</v>
      </c>
      <c r="K63" s="192" t="e">
        <f t="shared" si="1"/>
        <v>#NUM!</v>
      </c>
      <c r="L63" s="192"/>
      <c r="M63" s="194">
        <f t="shared" si="2"/>
        <v>0</v>
      </c>
    </row>
    <row r="64" spans="1:13" x14ac:dyDescent="0.25">
      <c r="A64" s="102"/>
      <c r="B64" s="36" t="str">
        <f t="shared" si="4"/>
        <v/>
      </c>
      <c r="C64" s="37"/>
      <c r="D64" s="37"/>
      <c r="E64" s="37"/>
      <c r="F64" s="37"/>
      <c r="G64" s="177"/>
      <c r="H64" s="189">
        <v>59</v>
      </c>
      <c r="I64" s="190" t="str">
        <f t="shared" si="0"/>
        <v/>
      </c>
      <c r="J64" s="189" t="e">
        <f t="shared" si="5"/>
        <v>#NUM!</v>
      </c>
      <c r="K64" s="189" t="e">
        <f t="shared" si="1"/>
        <v>#NUM!</v>
      </c>
      <c r="L64" s="189"/>
      <c r="M64" s="191">
        <f t="shared" si="2"/>
        <v>0</v>
      </c>
    </row>
    <row r="65" spans="1:13" x14ac:dyDescent="0.25">
      <c r="A65" s="106"/>
      <c r="B65" s="42" t="str">
        <f t="shared" si="4"/>
        <v/>
      </c>
      <c r="C65" s="43"/>
      <c r="D65" s="43"/>
      <c r="E65" s="43"/>
      <c r="F65" s="43"/>
      <c r="G65" s="177"/>
      <c r="H65" s="192">
        <v>60</v>
      </c>
      <c r="I65" s="193" t="str">
        <f t="shared" si="0"/>
        <v/>
      </c>
      <c r="J65" s="192" t="e">
        <f t="shared" si="5"/>
        <v>#NUM!</v>
      </c>
      <c r="K65" s="192" t="e">
        <f t="shared" si="1"/>
        <v>#NUM!</v>
      </c>
      <c r="L65" s="192"/>
      <c r="M65" s="194">
        <f t="shared" si="2"/>
        <v>0</v>
      </c>
    </row>
    <row r="66" spans="1:13" x14ac:dyDescent="0.25">
      <c r="A66" s="214"/>
      <c r="B66" s="36"/>
      <c r="G66" s="177"/>
      <c r="H66" s="189">
        <v>61</v>
      </c>
      <c r="I66" s="190" t="str">
        <f t="shared" si="0"/>
        <v/>
      </c>
      <c r="J66" s="189" t="e">
        <f t="shared" si="5"/>
        <v>#NUM!</v>
      </c>
      <c r="K66" s="189" t="e">
        <f t="shared" si="1"/>
        <v>#NUM!</v>
      </c>
      <c r="L66" s="189"/>
      <c r="M66" s="191">
        <f t="shared" si="2"/>
        <v>0</v>
      </c>
    </row>
    <row r="67" spans="1:13" x14ac:dyDescent="0.25">
      <c r="A67" s="214"/>
      <c r="B67" s="42"/>
      <c r="G67" s="177"/>
      <c r="H67" s="189">
        <v>62</v>
      </c>
      <c r="I67" s="190" t="str">
        <f t="shared" si="0"/>
        <v/>
      </c>
      <c r="J67" s="189" t="e">
        <f t="shared" si="5"/>
        <v>#NUM!</v>
      </c>
      <c r="K67" s="189" t="e">
        <f t="shared" si="1"/>
        <v>#NUM!</v>
      </c>
      <c r="L67" s="189"/>
      <c r="M67" s="191">
        <f t="shared" si="2"/>
        <v>0</v>
      </c>
    </row>
    <row r="68" spans="1:13" x14ac:dyDescent="0.25">
      <c r="A68" s="214"/>
      <c r="B68" s="36"/>
      <c r="G68" s="177"/>
      <c r="H68" s="189">
        <v>63</v>
      </c>
      <c r="I68" s="190" t="str">
        <f t="shared" si="0"/>
        <v/>
      </c>
      <c r="J68" s="189" t="e">
        <f t="shared" si="5"/>
        <v>#NUM!</v>
      </c>
      <c r="K68" s="189" t="e">
        <f t="shared" si="1"/>
        <v>#NUM!</v>
      </c>
      <c r="L68" s="189"/>
      <c r="M68" s="191">
        <f t="shared" si="2"/>
        <v>0</v>
      </c>
    </row>
    <row r="69" spans="1:13" x14ac:dyDescent="0.25">
      <c r="A69" s="214"/>
      <c r="B69" s="42"/>
      <c r="G69" s="177"/>
      <c r="H69" s="189">
        <v>64</v>
      </c>
      <c r="I69" s="190" t="str">
        <f t="shared" si="0"/>
        <v/>
      </c>
      <c r="J69" s="189" t="e">
        <f t="shared" si="5"/>
        <v>#NUM!</v>
      </c>
      <c r="K69" s="189" t="e">
        <f t="shared" si="1"/>
        <v>#NUM!</v>
      </c>
      <c r="L69" s="189"/>
      <c r="M69" s="191">
        <f t="shared" si="2"/>
        <v>0</v>
      </c>
    </row>
    <row r="70" spans="1:13" x14ac:dyDescent="0.25">
      <c r="A70" s="214"/>
      <c r="G70" s="177"/>
      <c r="H70" s="189">
        <v>65</v>
      </c>
      <c r="I70" s="190" t="str">
        <f t="shared" ref="I70:I133" si="6">IF(H70&lt;$H$2+1,($I$2-($I$2-1)*(LOG(H70)/LOG($H$2))),"")</f>
        <v/>
      </c>
      <c r="J70" s="189" t="e">
        <f t="shared" si="5"/>
        <v>#NUM!</v>
      </c>
      <c r="K70" s="189" t="e">
        <f t="shared" ref="K70:K133" si="7">J70*$J$2</f>
        <v>#NUM!</v>
      </c>
      <c r="L70" s="189"/>
      <c r="M70" s="191">
        <f t="shared" ref="M70:M133" si="8">IF(I70&lt;&gt;"",K70+I70+L70,0)</f>
        <v>0</v>
      </c>
    </row>
    <row r="71" spans="1:13" x14ac:dyDescent="0.25">
      <c r="A71" s="214"/>
      <c r="G71" s="177"/>
      <c r="H71" s="189">
        <v>66</v>
      </c>
      <c r="I71" s="190" t="str">
        <f t="shared" si="6"/>
        <v/>
      </c>
      <c r="J71" s="189" t="e">
        <f t="shared" ref="J71:J134" si="9">INT(LOG($H$2,2))-ROUNDUP(LOG(H71,2),0)+IF(OR($H$2=1,$H$2=2,$H$2=4,$H$2=8,$H$2=16,$H$2=32,$H$2=64,$H$2=128,$H$2=256),0,1)</f>
        <v>#NUM!</v>
      </c>
      <c r="K71" s="189" t="e">
        <f t="shared" si="7"/>
        <v>#NUM!</v>
      </c>
      <c r="L71" s="189"/>
      <c r="M71" s="191">
        <f t="shared" si="8"/>
        <v>0</v>
      </c>
    </row>
    <row r="72" spans="1:13" x14ac:dyDescent="0.25">
      <c r="A72" s="214"/>
      <c r="G72" s="177"/>
      <c r="H72" s="189">
        <v>67</v>
      </c>
      <c r="I72" s="190" t="str">
        <f t="shared" si="6"/>
        <v/>
      </c>
      <c r="J72" s="189" t="e">
        <f t="shared" si="9"/>
        <v>#NUM!</v>
      </c>
      <c r="K72" s="189" t="e">
        <f t="shared" si="7"/>
        <v>#NUM!</v>
      </c>
      <c r="L72" s="189"/>
      <c r="M72" s="191">
        <f t="shared" si="8"/>
        <v>0</v>
      </c>
    </row>
    <row r="73" spans="1:13" x14ac:dyDescent="0.25">
      <c r="A73" s="214"/>
      <c r="G73" s="177"/>
      <c r="H73" s="189">
        <v>68</v>
      </c>
      <c r="I73" s="190" t="str">
        <f t="shared" si="6"/>
        <v/>
      </c>
      <c r="J73" s="189" t="e">
        <f t="shared" si="9"/>
        <v>#NUM!</v>
      </c>
      <c r="K73" s="189" t="e">
        <f t="shared" si="7"/>
        <v>#NUM!</v>
      </c>
      <c r="L73" s="189"/>
      <c r="M73" s="191">
        <f t="shared" si="8"/>
        <v>0</v>
      </c>
    </row>
    <row r="74" spans="1:13" x14ac:dyDescent="0.25">
      <c r="A74" s="214"/>
      <c r="G74" s="177"/>
      <c r="H74" s="189">
        <v>69</v>
      </c>
      <c r="I74" s="190" t="str">
        <f t="shared" si="6"/>
        <v/>
      </c>
      <c r="J74" s="189" t="e">
        <f t="shared" si="9"/>
        <v>#NUM!</v>
      </c>
      <c r="K74" s="189" t="e">
        <f t="shared" si="7"/>
        <v>#NUM!</v>
      </c>
      <c r="L74" s="189"/>
      <c r="M74" s="191">
        <f t="shared" si="8"/>
        <v>0</v>
      </c>
    </row>
    <row r="75" spans="1:13" x14ac:dyDescent="0.25">
      <c r="A75" s="214"/>
      <c r="G75" s="177"/>
      <c r="H75" s="189">
        <v>70</v>
      </c>
      <c r="I75" s="190" t="str">
        <f t="shared" si="6"/>
        <v/>
      </c>
      <c r="J75" s="189" t="e">
        <f t="shared" si="9"/>
        <v>#NUM!</v>
      </c>
      <c r="K75" s="189" t="e">
        <f t="shared" si="7"/>
        <v>#NUM!</v>
      </c>
      <c r="L75" s="189"/>
      <c r="M75" s="191">
        <f t="shared" si="8"/>
        <v>0</v>
      </c>
    </row>
    <row r="76" spans="1:13" x14ac:dyDescent="0.25">
      <c r="A76" s="214"/>
      <c r="G76" s="177"/>
      <c r="H76" s="189">
        <v>71</v>
      </c>
      <c r="I76" s="190" t="str">
        <f t="shared" si="6"/>
        <v/>
      </c>
      <c r="J76" s="189" t="e">
        <f t="shared" si="9"/>
        <v>#NUM!</v>
      </c>
      <c r="K76" s="189" t="e">
        <f t="shared" si="7"/>
        <v>#NUM!</v>
      </c>
      <c r="L76" s="189"/>
      <c r="M76" s="191">
        <f t="shared" si="8"/>
        <v>0</v>
      </c>
    </row>
    <row r="77" spans="1:13" x14ac:dyDescent="0.25">
      <c r="A77" s="214"/>
      <c r="G77" s="177"/>
      <c r="H77" s="189">
        <v>72</v>
      </c>
      <c r="I77" s="190" t="str">
        <f t="shared" si="6"/>
        <v/>
      </c>
      <c r="J77" s="189" t="e">
        <f t="shared" si="9"/>
        <v>#NUM!</v>
      </c>
      <c r="K77" s="189" t="e">
        <f t="shared" si="7"/>
        <v>#NUM!</v>
      </c>
      <c r="L77" s="189"/>
      <c r="M77" s="191">
        <f t="shared" si="8"/>
        <v>0</v>
      </c>
    </row>
    <row r="78" spans="1:13" x14ac:dyDescent="0.25">
      <c r="A78" s="214"/>
      <c r="G78" s="177"/>
      <c r="H78" s="189">
        <v>73</v>
      </c>
      <c r="I78" s="190" t="str">
        <f t="shared" si="6"/>
        <v/>
      </c>
      <c r="J78" s="189" t="e">
        <f t="shared" si="9"/>
        <v>#NUM!</v>
      </c>
      <c r="K78" s="189" t="e">
        <f t="shared" si="7"/>
        <v>#NUM!</v>
      </c>
      <c r="L78" s="189"/>
      <c r="M78" s="191">
        <f t="shared" si="8"/>
        <v>0</v>
      </c>
    </row>
    <row r="79" spans="1:13" x14ac:dyDescent="0.25">
      <c r="A79" s="214"/>
      <c r="G79" s="177"/>
      <c r="H79" s="189">
        <v>74</v>
      </c>
      <c r="I79" s="190" t="str">
        <f t="shared" si="6"/>
        <v/>
      </c>
      <c r="J79" s="189" t="e">
        <f t="shared" si="9"/>
        <v>#NUM!</v>
      </c>
      <c r="K79" s="189" t="e">
        <f t="shared" si="7"/>
        <v>#NUM!</v>
      </c>
      <c r="L79" s="189"/>
      <c r="M79" s="191">
        <f t="shared" si="8"/>
        <v>0</v>
      </c>
    </row>
    <row r="80" spans="1:13" x14ac:dyDescent="0.25">
      <c r="A80" s="214"/>
      <c r="G80" s="177"/>
      <c r="H80" s="189">
        <v>75</v>
      </c>
      <c r="I80" s="190" t="str">
        <f t="shared" si="6"/>
        <v/>
      </c>
      <c r="J80" s="189" t="e">
        <f t="shared" si="9"/>
        <v>#NUM!</v>
      </c>
      <c r="K80" s="189" t="e">
        <f t="shared" si="7"/>
        <v>#NUM!</v>
      </c>
      <c r="L80" s="189"/>
      <c r="M80" s="191">
        <f t="shared" si="8"/>
        <v>0</v>
      </c>
    </row>
    <row r="81" spans="1:13" x14ac:dyDescent="0.25">
      <c r="A81" s="214"/>
      <c r="G81" s="177"/>
      <c r="H81" s="189">
        <v>76</v>
      </c>
      <c r="I81" s="190" t="str">
        <f t="shared" si="6"/>
        <v/>
      </c>
      <c r="J81" s="189" t="e">
        <f t="shared" si="9"/>
        <v>#NUM!</v>
      </c>
      <c r="K81" s="189" t="e">
        <f t="shared" si="7"/>
        <v>#NUM!</v>
      </c>
      <c r="L81" s="189"/>
      <c r="M81" s="191">
        <f t="shared" si="8"/>
        <v>0</v>
      </c>
    </row>
    <row r="82" spans="1:13" x14ac:dyDescent="0.25">
      <c r="A82" s="214"/>
      <c r="G82" s="177"/>
      <c r="H82" s="189">
        <v>77</v>
      </c>
      <c r="I82" s="190" t="str">
        <f t="shared" si="6"/>
        <v/>
      </c>
      <c r="J82" s="189" t="e">
        <f t="shared" si="9"/>
        <v>#NUM!</v>
      </c>
      <c r="K82" s="189" t="e">
        <f t="shared" si="7"/>
        <v>#NUM!</v>
      </c>
      <c r="L82" s="189"/>
      <c r="M82" s="191">
        <f t="shared" si="8"/>
        <v>0</v>
      </c>
    </row>
    <row r="83" spans="1:13" x14ac:dyDescent="0.25">
      <c r="A83" s="214"/>
      <c r="G83" s="177"/>
      <c r="H83" s="189">
        <v>78</v>
      </c>
      <c r="I83" s="190" t="str">
        <f t="shared" si="6"/>
        <v/>
      </c>
      <c r="J83" s="189" t="e">
        <f t="shared" si="9"/>
        <v>#NUM!</v>
      </c>
      <c r="K83" s="189" t="e">
        <f t="shared" si="7"/>
        <v>#NUM!</v>
      </c>
      <c r="L83" s="189"/>
      <c r="M83" s="191">
        <f t="shared" si="8"/>
        <v>0</v>
      </c>
    </row>
    <row r="84" spans="1:13" x14ac:dyDescent="0.25">
      <c r="A84" s="214"/>
      <c r="G84" s="177"/>
      <c r="H84" s="189">
        <v>79</v>
      </c>
      <c r="I84" s="190" t="str">
        <f t="shared" si="6"/>
        <v/>
      </c>
      <c r="J84" s="189" t="e">
        <f t="shared" si="9"/>
        <v>#NUM!</v>
      </c>
      <c r="K84" s="189" t="e">
        <f t="shared" si="7"/>
        <v>#NUM!</v>
      </c>
      <c r="L84" s="189"/>
      <c r="M84" s="191">
        <f t="shared" si="8"/>
        <v>0</v>
      </c>
    </row>
    <row r="85" spans="1:13" x14ac:dyDescent="0.25">
      <c r="A85" s="214"/>
      <c r="G85" s="177"/>
      <c r="H85" s="189">
        <v>80</v>
      </c>
      <c r="I85" s="190" t="str">
        <f t="shared" si="6"/>
        <v/>
      </c>
      <c r="J85" s="189" t="e">
        <f t="shared" si="9"/>
        <v>#NUM!</v>
      </c>
      <c r="K85" s="189" t="e">
        <f t="shared" si="7"/>
        <v>#NUM!</v>
      </c>
      <c r="L85" s="189"/>
      <c r="M85" s="191">
        <f t="shared" si="8"/>
        <v>0</v>
      </c>
    </row>
    <row r="86" spans="1:13" x14ac:dyDescent="0.25">
      <c r="A86" s="214"/>
      <c r="G86" s="177"/>
      <c r="H86" s="189">
        <v>81</v>
      </c>
      <c r="I86" s="190" t="str">
        <f t="shared" si="6"/>
        <v/>
      </c>
      <c r="J86" s="189" t="e">
        <f t="shared" si="9"/>
        <v>#NUM!</v>
      </c>
      <c r="K86" s="189" t="e">
        <f t="shared" si="7"/>
        <v>#NUM!</v>
      </c>
      <c r="L86" s="189"/>
      <c r="M86" s="191">
        <f t="shared" si="8"/>
        <v>0</v>
      </c>
    </row>
    <row r="87" spans="1:13" x14ac:dyDescent="0.25">
      <c r="A87" s="214"/>
      <c r="G87" s="177"/>
      <c r="H87" s="189">
        <v>82</v>
      </c>
      <c r="I87" s="190" t="str">
        <f t="shared" si="6"/>
        <v/>
      </c>
      <c r="J87" s="189" t="e">
        <f t="shared" si="9"/>
        <v>#NUM!</v>
      </c>
      <c r="K87" s="189" t="e">
        <f t="shared" si="7"/>
        <v>#NUM!</v>
      </c>
      <c r="L87" s="189"/>
      <c r="M87" s="191">
        <f t="shared" si="8"/>
        <v>0</v>
      </c>
    </row>
    <row r="88" spans="1:13" x14ac:dyDescent="0.25">
      <c r="A88" s="214"/>
      <c r="G88" s="177"/>
      <c r="H88" s="189">
        <v>83</v>
      </c>
      <c r="I88" s="190" t="str">
        <f t="shared" si="6"/>
        <v/>
      </c>
      <c r="J88" s="189" t="e">
        <f t="shared" si="9"/>
        <v>#NUM!</v>
      </c>
      <c r="K88" s="189" t="e">
        <f t="shared" si="7"/>
        <v>#NUM!</v>
      </c>
      <c r="L88" s="189"/>
      <c r="M88" s="191">
        <f t="shared" si="8"/>
        <v>0</v>
      </c>
    </row>
    <row r="89" spans="1:13" x14ac:dyDescent="0.25">
      <c r="A89" s="214"/>
      <c r="G89" s="177"/>
      <c r="H89" s="189">
        <v>84</v>
      </c>
      <c r="I89" s="190" t="str">
        <f t="shared" si="6"/>
        <v/>
      </c>
      <c r="J89" s="189" t="e">
        <f t="shared" si="9"/>
        <v>#NUM!</v>
      </c>
      <c r="K89" s="189" t="e">
        <f t="shared" si="7"/>
        <v>#NUM!</v>
      </c>
      <c r="L89" s="189"/>
      <c r="M89" s="191">
        <f t="shared" si="8"/>
        <v>0</v>
      </c>
    </row>
    <row r="90" spans="1:13" x14ac:dyDescent="0.25">
      <c r="A90" s="214"/>
      <c r="G90" s="177"/>
      <c r="H90" s="189">
        <v>85</v>
      </c>
      <c r="I90" s="190" t="str">
        <f t="shared" si="6"/>
        <v/>
      </c>
      <c r="J90" s="189" t="e">
        <f t="shared" si="9"/>
        <v>#NUM!</v>
      </c>
      <c r="K90" s="189" t="e">
        <f t="shared" si="7"/>
        <v>#NUM!</v>
      </c>
      <c r="L90" s="189"/>
      <c r="M90" s="191">
        <f t="shared" si="8"/>
        <v>0</v>
      </c>
    </row>
    <row r="91" spans="1:13" x14ac:dyDescent="0.25">
      <c r="A91" s="214"/>
      <c r="G91" s="177"/>
      <c r="H91" s="189">
        <v>86</v>
      </c>
      <c r="I91" s="190" t="str">
        <f t="shared" si="6"/>
        <v/>
      </c>
      <c r="J91" s="189" t="e">
        <f t="shared" si="9"/>
        <v>#NUM!</v>
      </c>
      <c r="K91" s="189" t="e">
        <f t="shared" si="7"/>
        <v>#NUM!</v>
      </c>
      <c r="L91" s="189"/>
      <c r="M91" s="191">
        <f t="shared" si="8"/>
        <v>0</v>
      </c>
    </row>
    <row r="92" spans="1:13" x14ac:dyDescent="0.25">
      <c r="A92" s="214"/>
      <c r="G92" s="177"/>
      <c r="H92" s="189">
        <v>87</v>
      </c>
      <c r="I92" s="190" t="str">
        <f t="shared" si="6"/>
        <v/>
      </c>
      <c r="J92" s="189" t="e">
        <f t="shared" si="9"/>
        <v>#NUM!</v>
      </c>
      <c r="K92" s="189" t="e">
        <f t="shared" si="7"/>
        <v>#NUM!</v>
      </c>
      <c r="L92" s="189"/>
      <c r="M92" s="191">
        <f t="shared" si="8"/>
        <v>0</v>
      </c>
    </row>
    <row r="93" spans="1:13" x14ac:dyDescent="0.25">
      <c r="A93" s="214"/>
      <c r="G93" s="177"/>
      <c r="H93" s="189">
        <v>88</v>
      </c>
      <c r="I93" s="190" t="str">
        <f t="shared" si="6"/>
        <v/>
      </c>
      <c r="J93" s="189" t="e">
        <f t="shared" si="9"/>
        <v>#NUM!</v>
      </c>
      <c r="K93" s="189" t="e">
        <f t="shared" si="7"/>
        <v>#NUM!</v>
      </c>
      <c r="L93" s="189"/>
      <c r="M93" s="191">
        <f t="shared" si="8"/>
        <v>0</v>
      </c>
    </row>
    <row r="94" spans="1:13" x14ac:dyDescent="0.25">
      <c r="A94" s="214"/>
      <c r="G94" s="177"/>
      <c r="H94" s="189">
        <v>89</v>
      </c>
      <c r="I94" s="190" t="str">
        <f t="shared" si="6"/>
        <v/>
      </c>
      <c r="J94" s="189" t="e">
        <f t="shared" si="9"/>
        <v>#NUM!</v>
      </c>
      <c r="K94" s="189" t="e">
        <f t="shared" si="7"/>
        <v>#NUM!</v>
      </c>
      <c r="L94" s="189"/>
      <c r="M94" s="191">
        <f t="shared" si="8"/>
        <v>0</v>
      </c>
    </row>
    <row r="95" spans="1:13" x14ac:dyDescent="0.25">
      <c r="A95" s="214"/>
      <c r="G95" s="177"/>
      <c r="H95" s="189">
        <v>90</v>
      </c>
      <c r="I95" s="190" t="str">
        <f t="shared" si="6"/>
        <v/>
      </c>
      <c r="J95" s="189" t="e">
        <f t="shared" si="9"/>
        <v>#NUM!</v>
      </c>
      <c r="K95" s="189" t="e">
        <f t="shared" si="7"/>
        <v>#NUM!</v>
      </c>
      <c r="L95" s="189"/>
      <c r="M95" s="191">
        <f t="shared" si="8"/>
        <v>0</v>
      </c>
    </row>
    <row r="96" spans="1:13" x14ac:dyDescent="0.25">
      <c r="A96" s="214"/>
      <c r="G96" s="177"/>
      <c r="H96" s="189">
        <v>91</v>
      </c>
      <c r="I96" s="190" t="str">
        <f t="shared" si="6"/>
        <v/>
      </c>
      <c r="J96" s="189" t="e">
        <f t="shared" si="9"/>
        <v>#NUM!</v>
      </c>
      <c r="K96" s="189" t="e">
        <f t="shared" si="7"/>
        <v>#NUM!</v>
      </c>
      <c r="L96" s="189"/>
      <c r="M96" s="191">
        <f t="shared" si="8"/>
        <v>0</v>
      </c>
    </row>
    <row r="97" spans="1:13" x14ac:dyDescent="0.25">
      <c r="A97" s="214"/>
      <c r="G97" s="177"/>
      <c r="H97" s="189">
        <v>92</v>
      </c>
      <c r="I97" s="190" t="str">
        <f t="shared" si="6"/>
        <v/>
      </c>
      <c r="J97" s="189" t="e">
        <f t="shared" si="9"/>
        <v>#NUM!</v>
      </c>
      <c r="K97" s="189" t="e">
        <f t="shared" si="7"/>
        <v>#NUM!</v>
      </c>
      <c r="L97" s="189"/>
      <c r="M97" s="191">
        <f t="shared" si="8"/>
        <v>0</v>
      </c>
    </row>
    <row r="98" spans="1:13" x14ac:dyDescent="0.25">
      <c r="A98" s="214"/>
      <c r="G98" s="177"/>
      <c r="H98" s="189">
        <v>93</v>
      </c>
      <c r="I98" s="190" t="str">
        <f t="shared" si="6"/>
        <v/>
      </c>
      <c r="J98" s="189" t="e">
        <f t="shared" si="9"/>
        <v>#NUM!</v>
      </c>
      <c r="K98" s="189" t="e">
        <f t="shared" si="7"/>
        <v>#NUM!</v>
      </c>
      <c r="L98" s="189"/>
      <c r="M98" s="191">
        <f t="shared" si="8"/>
        <v>0</v>
      </c>
    </row>
    <row r="99" spans="1:13" x14ac:dyDescent="0.25">
      <c r="A99" s="214"/>
      <c r="G99" s="177"/>
      <c r="H99" s="189">
        <v>94</v>
      </c>
      <c r="I99" s="190" t="str">
        <f t="shared" si="6"/>
        <v/>
      </c>
      <c r="J99" s="189" t="e">
        <f t="shared" si="9"/>
        <v>#NUM!</v>
      </c>
      <c r="K99" s="189" t="e">
        <f t="shared" si="7"/>
        <v>#NUM!</v>
      </c>
      <c r="L99" s="189"/>
      <c r="M99" s="191">
        <f t="shared" si="8"/>
        <v>0</v>
      </c>
    </row>
    <row r="100" spans="1:13" x14ac:dyDescent="0.25">
      <c r="A100" s="214"/>
      <c r="G100" s="177"/>
      <c r="H100" s="189">
        <v>95</v>
      </c>
      <c r="I100" s="190" t="str">
        <f t="shared" si="6"/>
        <v/>
      </c>
      <c r="J100" s="189" t="e">
        <f t="shared" si="9"/>
        <v>#NUM!</v>
      </c>
      <c r="K100" s="189" t="e">
        <f t="shared" si="7"/>
        <v>#NUM!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89" t="e">
        <f t="shared" si="9"/>
        <v>#NUM!</v>
      </c>
      <c r="K101" s="189" t="e">
        <f t="shared" si="7"/>
        <v>#NUM!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89" t="e">
        <f t="shared" si="9"/>
        <v>#NUM!</v>
      </c>
      <c r="K102" s="189" t="e">
        <f t="shared" si="7"/>
        <v>#NUM!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89" t="e">
        <f t="shared" si="9"/>
        <v>#NUM!</v>
      </c>
      <c r="K103" s="189" t="e">
        <f t="shared" si="7"/>
        <v>#NUM!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89" t="e">
        <f t="shared" si="9"/>
        <v>#NUM!</v>
      </c>
      <c r="K104" s="189" t="e">
        <f t="shared" si="7"/>
        <v>#NUM!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89" t="e">
        <f t="shared" si="9"/>
        <v>#NUM!</v>
      </c>
      <c r="K105" s="189" t="e">
        <f t="shared" si="7"/>
        <v>#NUM!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89" t="e">
        <f t="shared" si="9"/>
        <v>#NUM!</v>
      </c>
      <c r="K106" s="189" t="e">
        <f t="shared" si="7"/>
        <v>#NUM!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89" t="e">
        <f t="shared" si="9"/>
        <v>#NUM!</v>
      </c>
      <c r="K107" s="189" t="e">
        <f t="shared" si="7"/>
        <v>#NUM!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89" t="e">
        <f t="shared" si="9"/>
        <v>#NUM!</v>
      </c>
      <c r="K108" s="189" t="e">
        <f t="shared" si="7"/>
        <v>#NUM!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89" t="e">
        <f t="shared" si="9"/>
        <v>#NUM!</v>
      </c>
      <c r="K109" s="189" t="e">
        <f t="shared" si="7"/>
        <v>#NUM!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89" t="e">
        <f t="shared" si="9"/>
        <v>#NUM!</v>
      </c>
      <c r="K110" s="189" t="e">
        <f t="shared" si="7"/>
        <v>#NUM!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89" t="e">
        <f t="shared" si="9"/>
        <v>#NUM!</v>
      </c>
      <c r="K111" s="189" t="e">
        <f t="shared" si="7"/>
        <v>#NUM!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89" t="e">
        <f t="shared" si="9"/>
        <v>#NUM!</v>
      </c>
      <c r="K112" s="189" t="e">
        <f t="shared" si="7"/>
        <v>#NUM!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89" t="e">
        <f t="shared" si="9"/>
        <v>#NUM!</v>
      </c>
      <c r="K113" s="189" t="e">
        <f t="shared" si="7"/>
        <v>#NUM!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89" t="e">
        <f t="shared" si="9"/>
        <v>#NUM!</v>
      </c>
      <c r="K114" s="189" t="e">
        <f t="shared" si="7"/>
        <v>#NUM!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89" t="e">
        <f t="shared" si="9"/>
        <v>#NUM!</v>
      </c>
      <c r="K115" s="189" t="e">
        <f t="shared" si="7"/>
        <v>#NUM!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89" t="e">
        <f t="shared" si="9"/>
        <v>#NUM!</v>
      </c>
      <c r="K116" s="189" t="e">
        <f t="shared" si="7"/>
        <v>#NUM!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89" t="e">
        <f t="shared" si="9"/>
        <v>#NUM!</v>
      </c>
      <c r="K117" s="189" t="e">
        <f t="shared" si="7"/>
        <v>#NUM!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89" t="e">
        <f t="shared" si="9"/>
        <v>#NUM!</v>
      </c>
      <c r="K118" s="189" t="e">
        <f t="shared" si="7"/>
        <v>#NUM!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89" t="e">
        <f t="shared" si="9"/>
        <v>#NUM!</v>
      </c>
      <c r="K119" s="189" t="e">
        <f t="shared" si="7"/>
        <v>#NUM!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89" t="e">
        <f t="shared" si="9"/>
        <v>#NUM!</v>
      </c>
      <c r="K120" s="189" t="e">
        <f t="shared" si="7"/>
        <v>#NUM!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89" t="e">
        <f t="shared" si="9"/>
        <v>#NUM!</v>
      </c>
      <c r="K121" s="189" t="e">
        <f t="shared" si="7"/>
        <v>#NUM!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89" t="e">
        <f t="shared" si="9"/>
        <v>#NUM!</v>
      </c>
      <c r="K122" s="189" t="e">
        <f t="shared" si="7"/>
        <v>#NUM!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89" t="e">
        <f t="shared" si="9"/>
        <v>#NUM!</v>
      </c>
      <c r="K123" s="189" t="e">
        <f t="shared" si="7"/>
        <v>#NUM!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89" t="e">
        <f t="shared" si="9"/>
        <v>#NUM!</v>
      </c>
      <c r="K124" s="189" t="e">
        <f t="shared" si="7"/>
        <v>#NUM!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89" t="e">
        <f t="shared" si="9"/>
        <v>#NUM!</v>
      </c>
      <c r="K125" s="189" t="e">
        <f t="shared" si="7"/>
        <v>#NUM!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89" t="e">
        <f t="shared" si="9"/>
        <v>#NUM!</v>
      </c>
      <c r="K126" s="189" t="e">
        <f t="shared" si="7"/>
        <v>#NUM!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89" t="e">
        <f t="shared" si="9"/>
        <v>#NUM!</v>
      </c>
      <c r="K127" s="189" t="e">
        <f t="shared" si="7"/>
        <v>#NUM!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89" t="e">
        <f t="shared" si="9"/>
        <v>#NUM!</v>
      </c>
      <c r="K128" s="189" t="e">
        <f t="shared" si="7"/>
        <v>#NUM!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89" t="e">
        <f t="shared" si="9"/>
        <v>#NUM!</v>
      </c>
      <c r="K129" s="189" t="e">
        <f t="shared" si="7"/>
        <v>#NUM!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89" t="e">
        <f t="shared" si="9"/>
        <v>#NUM!</v>
      </c>
      <c r="K130" s="189" t="e">
        <f t="shared" si="7"/>
        <v>#NUM!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89" t="e">
        <f t="shared" si="9"/>
        <v>#NUM!</v>
      </c>
      <c r="K131" s="189" t="e">
        <f t="shared" si="7"/>
        <v>#NUM!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89" t="e">
        <f t="shared" si="9"/>
        <v>#NUM!</v>
      </c>
      <c r="K132" s="189" t="e">
        <f t="shared" si="7"/>
        <v>#NUM!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89" t="e">
        <f t="shared" si="9"/>
        <v>#NUM!</v>
      </c>
      <c r="K133" s="189" t="e">
        <f t="shared" si="7"/>
        <v>#NUM!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0">IF(H134&lt;$H$2+1,($I$2-($I$2-1)*(LOG(H134)/LOG($H$2))),"")</f>
        <v/>
      </c>
      <c r="J134" s="189" t="e">
        <f t="shared" si="9"/>
        <v>#NUM!</v>
      </c>
      <c r="K134" s="189" t="e">
        <f t="shared" ref="K134:K197" si="11">J134*$J$2</f>
        <v>#NUM!</v>
      </c>
      <c r="L134" s="189"/>
      <c r="M134" s="191">
        <f t="shared" ref="M134:M197" si="12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0"/>
        <v/>
      </c>
      <c r="J135" s="189" t="e">
        <f t="shared" ref="J135:J198" si="13">INT(LOG($H$2,2))-ROUNDUP(LOG(H135,2),0)+IF(OR($H$2=1,$H$2=2,$H$2=4,$H$2=8,$H$2=16,$H$2=32,$H$2=64,$H$2=128,$H$2=256),0,1)</f>
        <v>#NUM!</v>
      </c>
      <c r="K135" s="189" t="e">
        <f t="shared" si="11"/>
        <v>#NUM!</v>
      </c>
      <c r="L135" s="189"/>
      <c r="M135" s="191">
        <f t="shared" si="12"/>
        <v>0</v>
      </c>
    </row>
    <row r="136" spans="1:13" x14ac:dyDescent="0.25">
      <c r="A136" s="206"/>
      <c r="G136" s="177"/>
      <c r="H136" s="189">
        <v>131</v>
      </c>
      <c r="I136" s="190" t="str">
        <f t="shared" si="10"/>
        <v/>
      </c>
      <c r="J136" s="189" t="e">
        <f t="shared" si="13"/>
        <v>#NUM!</v>
      </c>
      <c r="K136" s="189" t="e">
        <f t="shared" si="11"/>
        <v>#NUM!</v>
      </c>
      <c r="L136" s="189"/>
      <c r="M136" s="191">
        <f t="shared" si="12"/>
        <v>0</v>
      </c>
    </row>
    <row r="137" spans="1:13" x14ac:dyDescent="0.25">
      <c r="A137" s="206"/>
      <c r="G137" s="177"/>
      <c r="H137" s="189">
        <v>132</v>
      </c>
      <c r="I137" s="190" t="str">
        <f t="shared" si="10"/>
        <v/>
      </c>
      <c r="J137" s="189" t="e">
        <f t="shared" si="13"/>
        <v>#NUM!</v>
      </c>
      <c r="K137" s="189" t="e">
        <f t="shared" si="11"/>
        <v>#NUM!</v>
      </c>
      <c r="L137" s="189"/>
      <c r="M137" s="191">
        <f t="shared" si="12"/>
        <v>0</v>
      </c>
    </row>
    <row r="138" spans="1:13" x14ac:dyDescent="0.25">
      <c r="A138" s="206"/>
      <c r="G138" s="177"/>
      <c r="H138" s="189">
        <v>133</v>
      </c>
      <c r="I138" s="190" t="str">
        <f t="shared" si="10"/>
        <v/>
      </c>
      <c r="J138" s="189" t="e">
        <f t="shared" si="13"/>
        <v>#NUM!</v>
      </c>
      <c r="K138" s="189" t="e">
        <f t="shared" si="11"/>
        <v>#NUM!</v>
      </c>
      <c r="L138" s="189"/>
      <c r="M138" s="191">
        <f t="shared" si="12"/>
        <v>0</v>
      </c>
    </row>
    <row r="139" spans="1:13" x14ac:dyDescent="0.25">
      <c r="A139" s="206"/>
      <c r="G139" s="177"/>
      <c r="H139" s="189">
        <v>134</v>
      </c>
      <c r="I139" s="190" t="str">
        <f t="shared" si="10"/>
        <v/>
      </c>
      <c r="J139" s="189" t="e">
        <f t="shared" si="13"/>
        <v>#NUM!</v>
      </c>
      <c r="K139" s="189" t="e">
        <f t="shared" si="11"/>
        <v>#NUM!</v>
      </c>
      <c r="L139" s="189"/>
      <c r="M139" s="191">
        <f t="shared" si="12"/>
        <v>0</v>
      </c>
    </row>
    <row r="140" spans="1:13" x14ac:dyDescent="0.25">
      <c r="A140" s="206"/>
      <c r="G140" s="177"/>
      <c r="H140" s="189">
        <v>135</v>
      </c>
      <c r="I140" s="190" t="str">
        <f t="shared" si="10"/>
        <v/>
      </c>
      <c r="J140" s="189" t="e">
        <f t="shared" si="13"/>
        <v>#NUM!</v>
      </c>
      <c r="K140" s="189" t="e">
        <f t="shared" si="11"/>
        <v>#NUM!</v>
      </c>
      <c r="L140" s="189"/>
      <c r="M140" s="191">
        <f t="shared" si="12"/>
        <v>0</v>
      </c>
    </row>
    <row r="141" spans="1:13" x14ac:dyDescent="0.25">
      <c r="A141" s="206"/>
      <c r="G141" s="177"/>
      <c r="H141" s="189">
        <v>136</v>
      </c>
      <c r="I141" s="190" t="str">
        <f t="shared" si="10"/>
        <v/>
      </c>
      <c r="J141" s="189" t="e">
        <f t="shared" si="13"/>
        <v>#NUM!</v>
      </c>
      <c r="K141" s="189" t="e">
        <f t="shared" si="11"/>
        <v>#NUM!</v>
      </c>
      <c r="L141" s="189"/>
      <c r="M141" s="191">
        <f t="shared" si="12"/>
        <v>0</v>
      </c>
    </row>
    <row r="142" spans="1:13" x14ac:dyDescent="0.25">
      <c r="A142" s="206"/>
      <c r="G142" s="177"/>
      <c r="H142" s="189">
        <v>137</v>
      </c>
      <c r="I142" s="190" t="str">
        <f t="shared" si="10"/>
        <v/>
      </c>
      <c r="J142" s="189" t="e">
        <f t="shared" si="13"/>
        <v>#NUM!</v>
      </c>
      <c r="K142" s="189" t="e">
        <f t="shared" si="11"/>
        <v>#NUM!</v>
      </c>
      <c r="L142" s="189"/>
      <c r="M142" s="191">
        <f t="shared" si="12"/>
        <v>0</v>
      </c>
    </row>
    <row r="143" spans="1:13" x14ac:dyDescent="0.25">
      <c r="A143" s="206"/>
      <c r="G143" s="177"/>
      <c r="H143" s="189">
        <v>138</v>
      </c>
      <c r="I143" s="190" t="str">
        <f t="shared" si="10"/>
        <v/>
      </c>
      <c r="J143" s="189" t="e">
        <f t="shared" si="13"/>
        <v>#NUM!</v>
      </c>
      <c r="K143" s="189" t="e">
        <f t="shared" si="11"/>
        <v>#NUM!</v>
      </c>
      <c r="L143" s="189"/>
      <c r="M143" s="191">
        <f t="shared" si="12"/>
        <v>0</v>
      </c>
    </row>
    <row r="144" spans="1:13" x14ac:dyDescent="0.25">
      <c r="A144" s="206"/>
      <c r="G144" s="177"/>
      <c r="H144" s="189">
        <v>139</v>
      </c>
      <c r="I144" s="190" t="str">
        <f t="shared" si="10"/>
        <v/>
      </c>
      <c r="J144" s="189" t="e">
        <f t="shared" si="13"/>
        <v>#NUM!</v>
      </c>
      <c r="K144" s="189" t="e">
        <f t="shared" si="11"/>
        <v>#NUM!</v>
      </c>
      <c r="L144" s="189"/>
      <c r="M144" s="191">
        <f t="shared" si="12"/>
        <v>0</v>
      </c>
    </row>
    <row r="145" spans="1:13" x14ac:dyDescent="0.25">
      <c r="A145" s="206"/>
      <c r="G145" s="177"/>
      <c r="H145" s="189">
        <v>140</v>
      </c>
      <c r="I145" s="190" t="str">
        <f t="shared" si="10"/>
        <v/>
      </c>
      <c r="J145" s="189" t="e">
        <f t="shared" si="13"/>
        <v>#NUM!</v>
      </c>
      <c r="K145" s="189" t="e">
        <f t="shared" si="11"/>
        <v>#NUM!</v>
      </c>
      <c r="L145" s="189"/>
      <c r="M145" s="191">
        <f t="shared" si="12"/>
        <v>0</v>
      </c>
    </row>
    <row r="146" spans="1:13" x14ac:dyDescent="0.25">
      <c r="A146" s="206"/>
      <c r="G146" s="177"/>
      <c r="H146" s="189">
        <v>141</v>
      </c>
      <c r="I146" s="190" t="str">
        <f t="shared" si="10"/>
        <v/>
      </c>
      <c r="J146" s="189" t="e">
        <f t="shared" si="13"/>
        <v>#NUM!</v>
      </c>
      <c r="K146" s="189" t="e">
        <f t="shared" si="11"/>
        <v>#NUM!</v>
      </c>
      <c r="L146" s="189"/>
      <c r="M146" s="191">
        <f t="shared" si="12"/>
        <v>0</v>
      </c>
    </row>
    <row r="147" spans="1:13" x14ac:dyDescent="0.25">
      <c r="A147" s="206"/>
      <c r="G147" s="177"/>
      <c r="H147" s="189">
        <v>142</v>
      </c>
      <c r="I147" s="190" t="str">
        <f t="shared" si="10"/>
        <v/>
      </c>
      <c r="J147" s="189" t="e">
        <f t="shared" si="13"/>
        <v>#NUM!</v>
      </c>
      <c r="K147" s="189" t="e">
        <f t="shared" si="11"/>
        <v>#NUM!</v>
      </c>
      <c r="L147" s="189"/>
      <c r="M147" s="191">
        <f t="shared" si="12"/>
        <v>0</v>
      </c>
    </row>
    <row r="148" spans="1:13" x14ac:dyDescent="0.25">
      <c r="A148" s="206"/>
      <c r="G148" s="177"/>
      <c r="H148" s="189">
        <v>143</v>
      </c>
      <c r="I148" s="190" t="str">
        <f t="shared" si="10"/>
        <v/>
      </c>
      <c r="J148" s="189" t="e">
        <f t="shared" si="13"/>
        <v>#NUM!</v>
      </c>
      <c r="K148" s="189" t="e">
        <f t="shared" si="11"/>
        <v>#NUM!</v>
      </c>
      <c r="L148" s="189"/>
      <c r="M148" s="191">
        <f t="shared" si="12"/>
        <v>0</v>
      </c>
    </row>
    <row r="149" spans="1:13" x14ac:dyDescent="0.25">
      <c r="A149" s="206"/>
      <c r="G149" s="177"/>
      <c r="H149" s="189">
        <v>144</v>
      </c>
      <c r="I149" s="190" t="str">
        <f t="shared" si="10"/>
        <v/>
      </c>
      <c r="J149" s="189" t="e">
        <f t="shared" si="13"/>
        <v>#NUM!</v>
      </c>
      <c r="K149" s="189" t="e">
        <f t="shared" si="11"/>
        <v>#NUM!</v>
      </c>
      <c r="L149" s="189"/>
      <c r="M149" s="191">
        <f t="shared" si="12"/>
        <v>0</v>
      </c>
    </row>
    <row r="150" spans="1:13" x14ac:dyDescent="0.25">
      <c r="A150" s="206"/>
      <c r="G150" s="177"/>
      <c r="H150" s="189">
        <v>145</v>
      </c>
      <c r="I150" s="190" t="str">
        <f t="shared" si="10"/>
        <v/>
      </c>
      <c r="J150" s="189" t="e">
        <f t="shared" si="13"/>
        <v>#NUM!</v>
      </c>
      <c r="K150" s="189" t="e">
        <f t="shared" si="11"/>
        <v>#NUM!</v>
      </c>
      <c r="L150" s="189"/>
      <c r="M150" s="191">
        <f t="shared" si="12"/>
        <v>0</v>
      </c>
    </row>
    <row r="151" spans="1:13" x14ac:dyDescent="0.25">
      <c r="A151" s="206"/>
      <c r="G151" s="177"/>
      <c r="H151" s="189">
        <v>146</v>
      </c>
      <c r="I151" s="190" t="str">
        <f t="shared" si="10"/>
        <v/>
      </c>
      <c r="J151" s="189" t="e">
        <f t="shared" si="13"/>
        <v>#NUM!</v>
      </c>
      <c r="K151" s="189" t="e">
        <f t="shared" si="11"/>
        <v>#NUM!</v>
      </c>
      <c r="L151" s="189"/>
      <c r="M151" s="191">
        <f t="shared" si="12"/>
        <v>0</v>
      </c>
    </row>
    <row r="152" spans="1:13" x14ac:dyDescent="0.25">
      <c r="A152" s="206"/>
      <c r="G152" s="177"/>
      <c r="H152" s="189">
        <v>147</v>
      </c>
      <c r="I152" s="190" t="str">
        <f t="shared" si="10"/>
        <v/>
      </c>
      <c r="J152" s="189" t="e">
        <f t="shared" si="13"/>
        <v>#NUM!</v>
      </c>
      <c r="K152" s="189" t="e">
        <f t="shared" si="11"/>
        <v>#NUM!</v>
      </c>
      <c r="L152" s="189"/>
      <c r="M152" s="191">
        <f t="shared" si="12"/>
        <v>0</v>
      </c>
    </row>
    <row r="153" spans="1:13" x14ac:dyDescent="0.25">
      <c r="A153" s="206"/>
      <c r="G153" s="177"/>
      <c r="H153" s="189">
        <v>148</v>
      </c>
      <c r="I153" s="190" t="str">
        <f t="shared" si="10"/>
        <v/>
      </c>
      <c r="J153" s="189" t="e">
        <f t="shared" si="13"/>
        <v>#NUM!</v>
      </c>
      <c r="K153" s="189" t="e">
        <f t="shared" si="11"/>
        <v>#NUM!</v>
      </c>
      <c r="L153" s="189"/>
      <c r="M153" s="191">
        <f t="shared" si="12"/>
        <v>0</v>
      </c>
    </row>
    <row r="154" spans="1:13" x14ac:dyDescent="0.25">
      <c r="A154" s="206"/>
      <c r="G154" s="177"/>
      <c r="H154" s="189">
        <v>149</v>
      </c>
      <c r="I154" s="190" t="str">
        <f t="shared" si="10"/>
        <v/>
      </c>
      <c r="J154" s="189" t="e">
        <f t="shared" si="13"/>
        <v>#NUM!</v>
      </c>
      <c r="K154" s="189" t="e">
        <f t="shared" si="11"/>
        <v>#NUM!</v>
      </c>
      <c r="L154" s="189"/>
      <c r="M154" s="191">
        <f t="shared" si="12"/>
        <v>0</v>
      </c>
    </row>
    <row r="155" spans="1:13" x14ac:dyDescent="0.25">
      <c r="A155" s="206"/>
      <c r="G155" s="177"/>
      <c r="H155" s="189">
        <v>150</v>
      </c>
      <c r="I155" s="190" t="str">
        <f t="shared" si="10"/>
        <v/>
      </c>
      <c r="J155" s="189" t="e">
        <f t="shared" si="13"/>
        <v>#NUM!</v>
      </c>
      <c r="K155" s="189" t="e">
        <f t="shared" si="11"/>
        <v>#NUM!</v>
      </c>
      <c r="L155" s="189"/>
      <c r="M155" s="191">
        <f t="shared" si="12"/>
        <v>0</v>
      </c>
    </row>
    <row r="156" spans="1:13" x14ac:dyDescent="0.25">
      <c r="A156" s="206"/>
      <c r="G156" s="177"/>
      <c r="H156" s="189">
        <v>151</v>
      </c>
      <c r="I156" s="190" t="str">
        <f t="shared" si="10"/>
        <v/>
      </c>
      <c r="J156" s="189" t="e">
        <f t="shared" si="13"/>
        <v>#NUM!</v>
      </c>
      <c r="K156" s="189" t="e">
        <f t="shared" si="11"/>
        <v>#NUM!</v>
      </c>
      <c r="L156" s="189"/>
      <c r="M156" s="191">
        <f t="shared" si="12"/>
        <v>0</v>
      </c>
    </row>
    <row r="157" spans="1:13" x14ac:dyDescent="0.25">
      <c r="A157" s="206"/>
      <c r="G157" s="177"/>
      <c r="H157" s="189">
        <v>152</v>
      </c>
      <c r="I157" s="190" t="str">
        <f t="shared" si="10"/>
        <v/>
      </c>
      <c r="J157" s="189" t="e">
        <f t="shared" si="13"/>
        <v>#NUM!</v>
      </c>
      <c r="K157" s="189" t="e">
        <f t="shared" si="11"/>
        <v>#NUM!</v>
      </c>
      <c r="L157" s="189"/>
      <c r="M157" s="191">
        <f t="shared" si="12"/>
        <v>0</v>
      </c>
    </row>
    <row r="158" spans="1:13" x14ac:dyDescent="0.25">
      <c r="A158" s="206"/>
      <c r="G158" s="177"/>
      <c r="H158" s="189">
        <v>153</v>
      </c>
      <c r="I158" s="190" t="str">
        <f t="shared" si="10"/>
        <v/>
      </c>
      <c r="J158" s="189" t="e">
        <f t="shared" si="13"/>
        <v>#NUM!</v>
      </c>
      <c r="K158" s="189" t="e">
        <f t="shared" si="11"/>
        <v>#NUM!</v>
      </c>
      <c r="L158" s="189"/>
      <c r="M158" s="191">
        <f t="shared" si="12"/>
        <v>0</v>
      </c>
    </row>
    <row r="159" spans="1:13" x14ac:dyDescent="0.25">
      <c r="A159" s="206"/>
      <c r="G159" s="177"/>
      <c r="H159" s="189">
        <v>154</v>
      </c>
      <c r="I159" s="190" t="str">
        <f t="shared" si="10"/>
        <v/>
      </c>
      <c r="J159" s="189" t="e">
        <f t="shared" si="13"/>
        <v>#NUM!</v>
      </c>
      <c r="K159" s="189" t="e">
        <f t="shared" si="11"/>
        <v>#NUM!</v>
      </c>
      <c r="L159" s="189"/>
      <c r="M159" s="191">
        <f t="shared" si="12"/>
        <v>0</v>
      </c>
    </row>
    <row r="160" spans="1:13" x14ac:dyDescent="0.25">
      <c r="A160" s="206"/>
      <c r="G160" s="177"/>
      <c r="H160" s="189">
        <v>155</v>
      </c>
      <c r="I160" s="190" t="str">
        <f t="shared" si="10"/>
        <v/>
      </c>
      <c r="J160" s="189" t="e">
        <f t="shared" si="13"/>
        <v>#NUM!</v>
      </c>
      <c r="K160" s="189" t="e">
        <f t="shared" si="11"/>
        <v>#NUM!</v>
      </c>
      <c r="L160" s="189"/>
      <c r="M160" s="191">
        <f t="shared" si="12"/>
        <v>0</v>
      </c>
    </row>
    <row r="161" spans="1:13" x14ac:dyDescent="0.25">
      <c r="A161" s="206"/>
      <c r="G161" s="177"/>
      <c r="H161" s="189">
        <v>156</v>
      </c>
      <c r="I161" s="190" t="str">
        <f t="shared" si="10"/>
        <v/>
      </c>
      <c r="J161" s="189" t="e">
        <f t="shared" si="13"/>
        <v>#NUM!</v>
      </c>
      <c r="K161" s="189" t="e">
        <f t="shared" si="11"/>
        <v>#NUM!</v>
      </c>
      <c r="L161" s="189"/>
      <c r="M161" s="191">
        <f t="shared" si="12"/>
        <v>0</v>
      </c>
    </row>
    <row r="162" spans="1:13" x14ac:dyDescent="0.25">
      <c r="A162" s="206"/>
      <c r="G162" s="177"/>
      <c r="H162" s="189">
        <v>157</v>
      </c>
      <c r="I162" s="190" t="str">
        <f t="shared" si="10"/>
        <v/>
      </c>
      <c r="J162" s="189" t="e">
        <f t="shared" si="13"/>
        <v>#NUM!</v>
      </c>
      <c r="K162" s="189" t="e">
        <f t="shared" si="11"/>
        <v>#NUM!</v>
      </c>
      <c r="L162" s="189"/>
      <c r="M162" s="191">
        <f t="shared" si="12"/>
        <v>0</v>
      </c>
    </row>
    <row r="163" spans="1:13" x14ac:dyDescent="0.25">
      <c r="A163" s="206"/>
      <c r="G163" s="177"/>
      <c r="H163" s="189">
        <v>158</v>
      </c>
      <c r="I163" s="190" t="str">
        <f t="shared" si="10"/>
        <v/>
      </c>
      <c r="J163" s="189" t="e">
        <f t="shared" si="13"/>
        <v>#NUM!</v>
      </c>
      <c r="K163" s="189" t="e">
        <f t="shared" si="11"/>
        <v>#NUM!</v>
      </c>
      <c r="L163" s="189"/>
      <c r="M163" s="191">
        <f t="shared" si="12"/>
        <v>0</v>
      </c>
    </row>
    <row r="164" spans="1:13" x14ac:dyDescent="0.25">
      <c r="A164" s="206"/>
      <c r="G164" s="177"/>
      <c r="H164" s="189">
        <v>159</v>
      </c>
      <c r="I164" s="190" t="str">
        <f t="shared" si="10"/>
        <v/>
      </c>
      <c r="J164" s="189" t="e">
        <f t="shared" si="13"/>
        <v>#NUM!</v>
      </c>
      <c r="K164" s="189" t="e">
        <f t="shared" si="11"/>
        <v>#NUM!</v>
      </c>
      <c r="L164" s="189"/>
      <c r="M164" s="191">
        <f t="shared" si="12"/>
        <v>0</v>
      </c>
    </row>
    <row r="165" spans="1:13" x14ac:dyDescent="0.25">
      <c r="A165" s="206"/>
      <c r="G165" s="177"/>
      <c r="H165" s="189">
        <v>160</v>
      </c>
      <c r="I165" s="190" t="str">
        <f t="shared" si="10"/>
        <v/>
      </c>
      <c r="J165" s="189" t="e">
        <f t="shared" si="13"/>
        <v>#NUM!</v>
      </c>
      <c r="K165" s="189" t="e">
        <f t="shared" si="11"/>
        <v>#NUM!</v>
      </c>
      <c r="L165" s="189"/>
      <c r="M165" s="191">
        <f t="shared" si="12"/>
        <v>0</v>
      </c>
    </row>
    <row r="166" spans="1:13" x14ac:dyDescent="0.25">
      <c r="A166" s="206"/>
      <c r="G166" s="177"/>
      <c r="H166" s="189">
        <v>161</v>
      </c>
      <c r="I166" s="190" t="str">
        <f t="shared" si="10"/>
        <v/>
      </c>
      <c r="J166" s="189" t="e">
        <f t="shared" si="13"/>
        <v>#NUM!</v>
      </c>
      <c r="K166" s="189" t="e">
        <f t="shared" si="11"/>
        <v>#NUM!</v>
      </c>
      <c r="L166" s="189"/>
      <c r="M166" s="191">
        <f t="shared" si="12"/>
        <v>0</v>
      </c>
    </row>
    <row r="167" spans="1:13" x14ac:dyDescent="0.25">
      <c r="A167" s="206"/>
      <c r="G167" s="177"/>
      <c r="H167" s="189">
        <v>162</v>
      </c>
      <c r="I167" s="190" t="str">
        <f t="shared" si="10"/>
        <v/>
      </c>
      <c r="J167" s="189" t="e">
        <f t="shared" si="13"/>
        <v>#NUM!</v>
      </c>
      <c r="K167" s="189" t="e">
        <f t="shared" si="11"/>
        <v>#NUM!</v>
      </c>
      <c r="L167" s="189"/>
      <c r="M167" s="191">
        <f t="shared" si="12"/>
        <v>0</v>
      </c>
    </row>
    <row r="168" spans="1:13" x14ac:dyDescent="0.25">
      <c r="A168" s="206"/>
      <c r="G168" s="177"/>
      <c r="H168" s="189">
        <v>163</v>
      </c>
      <c r="I168" s="190" t="str">
        <f t="shared" si="10"/>
        <v/>
      </c>
      <c r="J168" s="189" t="e">
        <f t="shared" si="13"/>
        <v>#NUM!</v>
      </c>
      <c r="K168" s="189" t="e">
        <f t="shared" si="11"/>
        <v>#NUM!</v>
      </c>
      <c r="L168" s="189"/>
      <c r="M168" s="191">
        <f t="shared" si="12"/>
        <v>0</v>
      </c>
    </row>
    <row r="169" spans="1:13" x14ac:dyDescent="0.25">
      <c r="A169" s="206"/>
      <c r="C169" s="205" t="s">
        <v>53</v>
      </c>
      <c r="G169" s="177"/>
      <c r="H169" s="189">
        <v>164</v>
      </c>
      <c r="I169" s="190" t="str">
        <f t="shared" si="10"/>
        <v/>
      </c>
      <c r="J169" s="189" t="e">
        <f t="shared" si="13"/>
        <v>#NUM!</v>
      </c>
      <c r="K169" s="189" t="e">
        <f t="shared" si="11"/>
        <v>#NUM!</v>
      </c>
      <c r="L169" s="189"/>
      <c r="M169" s="191">
        <f t="shared" si="12"/>
        <v>0</v>
      </c>
    </row>
    <row r="170" spans="1:13" x14ac:dyDescent="0.25">
      <c r="A170" s="206"/>
      <c r="G170" s="177"/>
      <c r="H170" s="189">
        <v>165</v>
      </c>
      <c r="I170" s="190" t="str">
        <f t="shared" si="10"/>
        <v/>
      </c>
      <c r="J170" s="189" t="e">
        <f t="shared" si="13"/>
        <v>#NUM!</v>
      </c>
      <c r="K170" s="189" t="e">
        <f t="shared" si="11"/>
        <v>#NUM!</v>
      </c>
      <c r="L170" s="189"/>
      <c r="M170" s="191">
        <f t="shared" si="12"/>
        <v>0</v>
      </c>
    </row>
    <row r="171" spans="1:13" x14ac:dyDescent="0.25">
      <c r="A171" s="206"/>
      <c r="G171" s="177"/>
      <c r="H171" s="189">
        <v>166</v>
      </c>
      <c r="I171" s="190" t="str">
        <f t="shared" si="10"/>
        <v/>
      </c>
      <c r="J171" s="189" t="e">
        <f t="shared" si="13"/>
        <v>#NUM!</v>
      </c>
      <c r="K171" s="189" t="e">
        <f t="shared" si="11"/>
        <v>#NUM!</v>
      </c>
      <c r="L171" s="189"/>
      <c r="M171" s="191">
        <f t="shared" si="12"/>
        <v>0</v>
      </c>
    </row>
    <row r="172" spans="1:13" x14ac:dyDescent="0.25">
      <c r="A172" s="206"/>
      <c r="G172" s="177"/>
      <c r="H172" s="189">
        <v>167</v>
      </c>
      <c r="I172" s="190" t="str">
        <f t="shared" si="10"/>
        <v/>
      </c>
      <c r="J172" s="189" t="e">
        <f t="shared" si="13"/>
        <v>#NUM!</v>
      </c>
      <c r="K172" s="189" t="e">
        <f t="shared" si="11"/>
        <v>#NUM!</v>
      </c>
      <c r="L172" s="189"/>
      <c r="M172" s="191">
        <f t="shared" si="12"/>
        <v>0</v>
      </c>
    </row>
    <row r="173" spans="1:13" x14ac:dyDescent="0.25">
      <c r="A173" s="206"/>
      <c r="G173" s="177"/>
      <c r="H173" s="189">
        <v>168</v>
      </c>
      <c r="I173" s="190" t="str">
        <f t="shared" si="10"/>
        <v/>
      </c>
      <c r="J173" s="189" t="e">
        <f t="shared" si="13"/>
        <v>#NUM!</v>
      </c>
      <c r="K173" s="189" t="e">
        <f t="shared" si="11"/>
        <v>#NUM!</v>
      </c>
      <c r="L173" s="189"/>
      <c r="M173" s="191">
        <f t="shared" si="12"/>
        <v>0</v>
      </c>
    </row>
    <row r="174" spans="1:13" x14ac:dyDescent="0.25">
      <c r="A174" s="206"/>
      <c r="G174" s="177"/>
      <c r="H174" s="189">
        <v>169</v>
      </c>
      <c r="I174" s="190" t="str">
        <f t="shared" si="10"/>
        <v/>
      </c>
      <c r="J174" s="189" t="e">
        <f t="shared" si="13"/>
        <v>#NUM!</v>
      </c>
      <c r="K174" s="189" t="e">
        <f t="shared" si="11"/>
        <v>#NUM!</v>
      </c>
      <c r="L174" s="189"/>
      <c r="M174" s="191">
        <f t="shared" si="12"/>
        <v>0</v>
      </c>
    </row>
    <row r="175" spans="1:13" x14ac:dyDescent="0.25">
      <c r="A175" s="206"/>
      <c r="G175" s="177"/>
      <c r="H175" s="189">
        <v>170</v>
      </c>
      <c r="I175" s="190" t="str">
        <f t="shared" si="10"/>
        <v/>
      </c>
      <c r="J175" s="189" t="e">
        <f t="shared" si="13"/>
        <v>#NUM!</v>
      </c>
      <c r="K175" s="189" t="e">
        <f t="shared" si="11"/>
        <v>#NUM!</v>
      </c>
      <c r="L175" s="189"/>
      <c r="M175" s="191">
        <f t="shared" si="12"/>
        <v>0</v>
      </c>
    </row>
    <row r="176" spans="1:13" x14ac:dyDescent="0.25">
      <c r="A176" s="206"/>
      <c r="G176" s="177"/>
      <c r="H176" s="189">
        <v>171</v>
      </c>
      <c r="I176" s="190" t="str">
        <f t="shared" si="10"/>
        <v/>
      </c>
      <c r="J176" s="189" t="e">
        <f t="shared" si="13"/>
        <v>#NUM!</v>
      </c>
      <c r="K176" s="189" t="e">
        <f t="shared" si="11"/>
        <v>#NUM!</v>
      </c>
      <c r="L176" s="189"/>
      <c r="M176" s="191">
        <f t="shared" si="12"/>
        <v>0</v>
      </c>
    </row>
    <row r="177" spans="1:13" x14ac:dyDescent="0.25">
      <c r="A177" s="206"/>
      <c r="G177" s="177"/>
      <c r="H177" s="189">
        <v>172</v>
      </c>
      <c r="I177" s="190" t="str">
        <f t="shared" si="10"/>
        <v/>
      </c>
      <c r="J177" s="189" t="e">
        <f t="shared" si="13"/>
        <v>#NUM!</v>
      </c>
      <c r="K177" s="189" t="e">
        <f t="shared" si="11"/>
        <v>#NUM!</v>
      </c>
      <c r="L177" s="189"/>
      <c r="M177" s="191">
        <f t="shared" si="12"/>
        <v>0</v>
      </c>
    </row>
    <row r="178" spans="1:13" x14ac:dyDescent="0.25">
      <c r="A178" s="206"/>
      <c r="G178" s="177"/>
      <c r="H178" s="189">
        <v>173</v>
      </c>
      <c r="I178" s="190" t="str">
        <f t="shared" si="10"/>
        <v/>
      </c>
      <c r="J178" s="189" t="e">
        <f t="shared" si="13"/>
        <v>#NUM!</v>
      </c>
      <c r="K178" s="189" t="e">
        <f t="shared" si="11"/>
        <v>#NUM!</v>
      </c>
      <c r="L178" s="189"/>
      <c r="M178" s="191">
        <f t="shared" si="12"/>
        <v>0</v>
      </c>
    </row>
    <row r="179" spans="1:13" x14ac:dyDescent="0.25">
      <c r="A179" s="206"/>
      <c r="G179" s="177"/>
      <c r="H179" s="189">
        <v>174</v>
      </c>
      <c r="I179" s="190" t="str">
        <f t="shared" si="10"/>
        <v/>
      </c>
      <c r="J179" s="189" t="e">
        <f t="shared" si="13"/>
        <v>#NUM!</v>
      </c>
      <c r="K179" s="189" t="e">
        <f t="shared" si="11"/>
        <v>#NUM!</v>
      </c>
      <c r="L179" s="189"/>
      <c r="M179" s="191">
        <f t="shared" si="12"/>
        <v>0</v>
      </c>
    </row>
    <row r="180" spans="1:13" x14ac:dyDescent="0.25">
      <c r="A180" s="206"/>
      <c r="G180" s="177"/>
      <c r="H180" s="189">
        <v>175</v>
      </c>
      <c r="I180" s="190" t="str">
        <f t="shared" si="10"/>
        <v/>
      </c>
      <c r="J180" s="189" t="e">
        <f t="shared" si="13"/>
        <v>#NUM!</v>
      </c>
      <c r="K180" s="189" t="e">
        <f t="shared" si="11"/>
        <v>#NUM!</v>
      </c>
      <c r="L180" s="189"/>
      <c r="M180" s="191">
        <f t="shared" si="12"/>
        <v>0</v>
      </c>
    </row>
    <row r="181" spans="1:13" x14ac:dyDescent="0.25">
      <c r="A181" s="206"/>
      <c r="G181" s="177"/>
      <c r="H181" s="189">
        <v>176</v>
      </c>
      <c r="I181" s="190" t="str">
        <f t="shared" si="10"/>
        <v/>
      </c>
      <c r="J181" s="189" t="e">
        <f t="shared" si="13"/>
        <v>#NUM!</v>
      </c>
      <c r="K181" s="189" t="e">
        <f t="shared" si="11"/>
        <v>#NUM!</v>
      </c>
      <c r="L181" s="189"/>
      <c r="M181" s="191">
        <f t="shared" si="12"/>
        <v>0</v>
      </c>
    </row>
    <row r="182" spans="1:13" x14ac:dyDescent="0.25">
      <c r="A182" s="206"/>
      <c r="G182" s="177"/>
      <c r="H182" s="189">
        <v>177</v>
      </c>
      <c r="I182" s="190" t="str">
        <f t="shared" si="10"/>
        <v/>
      </c>
      <c r="J182" s="189" t="e">
        <f t="shared" si="13"/>
        <v>#NUM!</v>
      </c>
      <c r="K182" s="189" t="e">
        <f t="shared" si="11"/>
        <v>#NUM!</v>
      </c>
      <c r="L182" s="189"/>
      <c r="M182" s="191">
        <f t="shared" si="12"/>
        <v>0</v>
      </c>
    </row>
    <row r="183" spans="1:13" x14ac:dyDescent="0.25">
      <c r="A183" s="206"/>
      <c r="G183" s="177"/>
      <c r="H183" s="189">
        <v>178</v>
      </c>
      <c r="I183" s="190" t="str">
        <f t="shared" si="10"/>
        <v/>
      </c>
      <c r="J183" s="189" t="e">
        <f t="shared" si="13"/>
        <v>#NUM!</v>
      </c>
      <c r="K183" s="189" t="e">
        <f t="shared" si="11"/>
        <v>#NUM!</v>
      </c>
      <c r="L183" s="189"/>
      <c r="M183" s="191">
        <f t="shared" si="12"/>
        <v>0</v>
      </c>
    </row>
    <row r="184" spans="1:13" x14ac:dyDescent="0.25">
      <c r="A184" s="206"/>
      <c r="G184" s="177"/>
      <c r="H184" s="189">
        <v>179</v>
      </c>
      <c r="I184" s="190" t="str">
        <f t="shared" si="10"/>
        <v/>
      </c>
      <c r="J184" s="189" t="e">
        <f t="shared" si="13"/>
        <v>#NUM!</v>
      </c>
      <c r="K184" s="189" t="e">
        <f t="shared" si="11"/>
        <v>#NUM!</v>
      </c>
      <c r="L184" s="189"/>
      <c r="M184" s="191">
        <f t="shared" si="12"/>
        <v>0</v>
      </c>
    </row>
    <row r="185" spans="1:13" x14ac:dyDescent="0.25">
      <c r="A185" s="206"/>
      <c r="G185" s="177"/>
      <c r="H185" s="189">
        <v>180</v>
      </c>
      <c r="I185" s="190" t="str">
        <f t="shared" si="10"/>
        <v/>
      </c>
      <c r="J185" s="189" t="e">
        <f t="shared" si="13"/>
        <v>#NUM!</v>
      </c>
      <c r="K185" s="189" t="e">
        <f t="shared" si="11"/>
        <v>#NUM!</v>
      </c>
      <c r="L185" s="189"/>
      <c r="M185" s="191">
        <f t="shared" si="12"/>
        <v>0</v>
      </c>
    </row>
    <row r="186" spans="1:13" x14ac:dyDescent="0.25">
      <c r="A186" s="206"/>
      <c r="G186" s="177"/>
      <c r="H186" s="189">
        <v>181</v>
      </c>
      <c r="I186" s="190" t="str">
        <f t="shared" si="10"/>
        <v/>
      </c>
      <c r="J186" s="189" t="e">
        <f t="shared" si="13"/>
        <v>#NUM!</v>
      </c>
      <c r="K186" s="189" t="e">
        <f t="shared" si="11"/>
        <v>#NUM!</v>
      </c>
      <c r="L186" s="189"/>
      <c r="M186" s="191">
        <f t="shared" si="12"/>
        <v>0</v>
      </c>
    </row>
    <row r="187" spans="1:13" x14ac:dyDescent="0.25">
      <c r="A187" s="206"/>
      <c r="G187" s="177"/>
      <c r="H187" s="189">
        <v>182</v>
      </c>
      <c r="I187" s="190" t="str">
        <f t="shared" si="10"/>
        <v/>
      </c>
      <c r="J187" s="189" t="e">
        <f t="shared" si="13"/>
        <v>#NUM!</v>
      </c>
      <c r="K187" s="189" t="e">
        <f t="shared" si="11"/>
        <v>#NUM!</v>
      </c>
      <c r="L187" s="189"/>
      <c r="M187" s="191">
        <f t="shared" si="12"/>
        <v>0</v>
      </c>
    </row>
    <row r="188" spans="1:13" x14ac:dyDescent="0.25">
      <c r="A188" s="206"/>
      <c r="G188" s="177"/>
      <c r="H188" s="189">
        <v>183</v>
      </c>
      <c r="I188" s="190" t="str">
        <f t="shared" si="10"/>
        <v/>
      </c>
      <c r="J188" s="189" t="e">
        <f t="shared" si="13"/>
        <v>#NUM!</v>
      </c>
      <c r="K188" s="189" t="e">
        <f t="shared" si="11"/>
        <v>#NUM!</v>
      </c>
      <c r="L188" s="189"/>
      <c r="M188" s="191">
        <f t="shared" si="12"/>
        <v>0</v>
      </c>
    </row>
    <row r="189" spans="1:13" x14ac:dyDescent="0.25">
      <c r="A189" s="206"/>
      <c r="G189" s="177"/>
      <c r="H189" s="189">
        <v>184</v>
      </c>
      <c r="I189" s="190" t="str">
        <f t="shared" si="10"/>
        <v/>
      </c>
      <c r="J189" s="189" t="e">
        <f t="shared" si="13"/>
        <v>#NUM!</v>
      </c>
      <c r="K189" s="189" t="e">
        <f t="shared" si="11"/>
        <v>#NUM!</v>
      </c>
      <c r="L189" s="189"/>
      <c r="M189" s="191">
        <f t="shared" si="12"/>
        <v>0</v>
      </c>
    </row>
    <row r="190" spans="1:13" x14ac:dyDescent="0.25">
      <c r="A190" s="206"/>
      <c r="G190" s="177"/>
      <c r="H190" s="189">
        <v>185</v>
      </c>
      <c r="I190" s="190" t="str">
        <f t="shared" si="10"/>
        <v/>
      </c>
      <c r="J190" s="189" t="e">
        <f t="shared" si="13"/>
        <v>#NUM!</v>
      </c>
      <c r="K190" s="189" t="e">
        <f t="shared" si="11"/>
        <v>#NUM!</v>
      </c>
      <c r="L190" s="189"/>
      <c r="M190" s="191">
        <f t="shared" si="12"/>
        <v>0</v>
      </c>
    </row>
    <row r="191" spans="1:13" x14ac:dyDescent="0.25">
      <c r="A191" s="206"/>
      <c r="G191" s="177"/>
      <c r="H191" s="189">
        <v>186</v>
      </c>
      <c r="I191" s="190" t="str">
        <f t="shared" si="10"/>
        <v/>
      </c>
      <c r="J191" s="189" t="e">
        <f t="shared" si="13"/>
        <v>#NUM!</v>
      </c>
      <c r="K191" s="189" t="e">
        <f t="shared" si="11"/>
        <v>#NUM!</v>
      </c>
      <c r="L191" s="189"/>
      <c r="M191" s="191">
        <f t="shared" si="12"/>
        <v>0</v>
      </c>
    </row>
    <row r="192" spans="1:13" x14ac:dyDescent="0.25">
      <c r="A192" s="206"/>
      <c r="G192" s="177"/>
      <c r="H192" s="189">
        <v>187</v>
      </c>
      <c r="I192" s="190" t="str">
        <f t="shared" si="10"/>
        <v/>
      </c>
      <c r="J192" s="189" t="e">
        <f t="shared" si="13"/>
        <v>#NUM!</v>
      </c>
      <c r="K192" s="189" t="e">
        <f t="shared" si="11"/>
        <v>#NUM!</v>
      </c>
      <c r="L192" s="189"/>
      <c r="M192" s="191">
        <f t="shared" si="12"/>
        <v>0</v>
      </c>
    </row>
    <row r="193" spans="1:13" x14ac:dyDescent="0.25">
      <c r="A193" s="206"/>
      <c r="G193" s="177"/>
      <c r="H193" s="189">
        <v>188</v>
      </c>
      <c r="I193" s="190" t="str">
        <f t="shared" si="10"/>
        <v/>
      </c>
      <c r="J193" s="189" t="e">
        <f t="shared" si="13"/>
        <v>#NUM!</v>
      </c>
      <c r="K193" s="189" t="e">
        <f t="shared" si="11"/>
        <v>#NUM!</v>
      </c>
      <c r="L193" s="189"/>
      <c r="M193" s="191">
        <f t="shared" si="12"/>
        <v>0</v>
      </c>
    </row>
    <row r="194" spans="1:13" x14ac:dyDescent="0.25">
      <c r="A194" s="206"/>
      <c r="G194" s="177"/>
      <c r="H194" s="189">
        <v>189</v>
      </c>
      <c r="I194" s="190" t="str">
        <f t="shared" si="10"/>
        <v/>
      </c>
      <c r="J194" s="189" t="e">
        <f t="shared" si="13"/>
        <v>#NUM!</v>
      </c>
      <c r="K194" s="189" t="e">
        <f t="shared" si="11"/>
        <v>#NUM!</v>
      </c>
      <c r="L194" s="189"/>
      <c r="M194" s="191">
        <f t="shared" si="12"/>
        <v>0</v>
      </c>
    </row>
    <row r="195" spans="1:13" x14ac:dyDescent="0.25">
      <c r="A195" s="206"/>
      <c r="G195" s="177"/>
      <c r="H195" s="189">
        <v>190</v>
      </c>
      <c r="I195" s="190" t="str">
        <f t="shared" si="10"/>
        <v/>
      </c>
      <c r="J195" s="189" t="e">
        <f t="shared" si="13"/>
        <v>#NUM!</v>
      </c>
      <c r="K195" s="189" t="e">
        <f t="shared" si="11"/>
        <v>#NUM!</v>
      </c>
      <c r="L195" s="189"/>
      <c r="M195" s="191">
        <f t="shared" si="12"/>
        <v>0</v>
      </c>
    </row>
    <row r="196" spans="1:13" x14ac:dyDescent="0.25">
      <c r="A196" s="206"/>
      <c r="G196" s="177"/>
      <c r="H196" s="189">
        <v>191</v>
      </c>
      <c r="I196" s="190" t="str">
        <f t="shared" si="10"/>
        <v/>
      </c>
      <c r="J196" s="189" t="e">
        <f t="shared" si="13"/>
        <v>#NUM!</v>
      </c>
      <c r="K196" s="189" t="e">
        <f t="shared" si="11"/>
        <v>#NUM!</v>
      </c>
      <c r="L196" s="189"/>
      <c r="M196" s="191">
        <f t="shared" si="12"/>
        <v>0</v>
      </c>
    </row>
    <row r="197" spans="1:13" x14ac:dyDescent="0.25">
      <c r="A197" s="206"/>
      <c r="G197" s="177"/>
      <c r="H197" s="189">
        <v>192</v>
      </c>
      <c r="I197" s="190" t="str">
        <f t="shared" si="10"/>
        <v/>
      </c>
      <c r="J197" s="189" t="e">
        <f t="shared" si="13"/>
        <v>#NUM!</v>
      </c>
      <c r="K197" s="189" t="e">
        <f t="shared" si="11"/>
        <v>#NUM!</v>
      </c>
      <c r="L197" s="189"/>
      <c r="M197" s="191">
        <f t="shared" si="12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4">IF(H198&lt;$H$2+1,($I$2-($I$2-1)*(LOG(H198)/LOG($H$2))),"")</f>
        <v/>
      </c>
      <c r="J198" s="189" t="e">
        <f t="shared" si="13"/>
        <v>#NUM!</v>
      </c>
      <c r="K198" s="189" t="e">
        <f t="shared" ref="K198:K261" si="15">J198*$J$2</f>
        <v>#NUM!</v>
      </c>
      <c r="L198" s="189"/>
      <c r="M198" s="191">
        <f t="shared" ref="M198:M261" si="16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4"/>
        <v/>
      </c>
      <c r="J199" s="189" t="e">
        <f t="shared" ref="J199:J262" si="17">INT(LOG($H$2,2))-ROUNDUP(LOG(H199,2),0)+IF(OR($H$2=1,$H$2=2,$H$2=4,$H$2=8,$H$2=16,$H$2=32,$H$2=64,$H$2=128,$H$2=256),0,1)</f>
        <v>#NUM!</v>
      </c>
      <c r="K199" s="189" t="e">
        <f t="shared" si="15"/>
        <v>#NUM!</v>
      </c>
      <c r="L199" s="189"/>
      <c r="M199" s="191">
        <f t="shared" si="16"/>
        <v>0</v>
      </c>
    </row>
    <row r="200" spans="1:13" x14ac:dyDescent="0.25">
      <c r="A200" s="206"/>
      <c r="G200" s="177"/>
      <c r="H200" s="189">
        <v>195</v>
      </c>
      <c r="I200" s="190" t="str">
        <f t="shared" si="14"/>
        <v/>
      </c>
      <c r="J200" s="189" t="e">
        <f t="shared" si="17"/>
        <v>#NUM!</v>
      </c>
      <c r="K200" s="189" t="e">
        <f t="shared" si="15"/>
        <v>#NUM!</v>
      </c>
      <c r="L200" s="189"/>
      <c r="M200" s="191">
        <f t="shared" si="16"/>
        <v>0</v>
      </c>
    </row>
    <row r="201" spans="1:13" x14ac:dyDescent="0.25">
      <c r="A201" s="206"/>
      <c r="G201" s="177"/>
      <c r="H201" s="189">
        <v>196</v>
      </c>
      <c r="I201" s="190" t="str">
        <f t="shared" si="14"/>
        <v/>
      </c>
      <c r="J201" s="189" t="e">
        <f t="shared" si="17"/>
        <v>#NUM!</v>
      </c>
      <c r="K201" s="189" t="e">
        <f t="shared" si="15"/>
        <v>#NUM!</v>
      </c>
      <c r="L201" s="189"/>
      <c r="M201" s="191">
        <f t="shared" si="16"/>
        <v>0</v>
      </c>
    </row>
    <row r="202" spans="1:13" x14ac:dyDescent="0.25">
      <c r="A202" s="206"/>
      <c r="G202" s="177"/>
      <c r="H202" s="189">
        <v>197</v>
      </c>
      <c r="I202" s="190" t="str">
        <f t="shared" si="14"/>
        <v/>
      </c>
      <c r="J202" s="189" t="e">
        <f t="shared" si="17"/>
        <v>#NUM!</v>
      </c>
      <c r="K202" s="189" t="e">
        <f t="shared" si="15"/>
        <v>#NUM!</v>
      </c>
      <c r="L202" s="189"/>
      <c r="M202" s="191">
        <f t="shared" si="16"/>
        <v>0</v>
      </c>
    </row>
    <row r="203" spans="1:13" x14ac:dyDescent="0.25">
      <c r="A203" s="206"/>
      <c r="G203" s="177"/>
      <c r="H203" s="189">
        <v>198</v>
      </c>
      <c r="I203" s="190" t="str">
        <f t="shared" si="14"/>
        <v/>
      </c>
      <c r="J203" s="189" t="e">
        <f t="shared" si="17"/>
        <v>#NUM!</v>
      </c>
      <c r="K203" s="189" t="e">
        <f t="shared" si="15"/>
        <v>#NUM!</v>
      </c>
      <c r="L203" s="189"/>
      <c r="M203" s="191">
        <f t="shared" si="16"/>
        <v>0</v>
      </c>
    </row>
    <row r="204" spans="1:13" x14ac:dyDescent="0.25">
      <c r="A204" s="206"/>
      <c r="G204" s="177"/>
      <c r="H204" s="189">
        <v>199</v>
      </c>
      <c r="I204" s="190" t="str">
        <f t="shared" si="14"/>
        <v/>
      </c>
      <c r="J204" s="189" t="e">
        <f t="shared" si="17"/>
        <v>#NUM!</v>
      </c>
      <c r="K204" s="189" t="e">
        <f t="shared" si="15"/>
        <v>#NUM!</v>
      </c>
      <c r="L204" s="189"/>
      <c r="M204" s="191">
        <f t="shared" si="16"/>
        <v>0</v>
      </c>
    </row>
    <row r="205" spans="1:13" x14ac:dyDescent="0.25">
      <c r="A205" s="206"/>
      <c r="G205" s="177"/>
      <c r="H205" s="189">
        <v>200</v>
      </c>
      <c r="I205" s="190" t="str">
        <f t="shared" si="14"/>
        <v/>
      </c>
      <c r="J205" s="189" t="e">
        <f t="shared" si="17"/>
        <v>#NUM!</v>
      </c>
      <c r="K205" s="189" t="e">
        <f t="shared" si="15"/>
        <v>#NUM!</v>
      </c>
      <c r="L205" s="189"/>
      <c r="M205" s="191">
        <f t="shared" si="16"/>
        <v>0</v>
      </c>
    </row>
    <row r="206" spans="1:13" x14ac:dyDescent="0.25">
      <c r="A206" s="206"/>
      <c r="G206" s="177"/>
      <c r="H206" s="189">
        <v>201</v>
      </c>
      <c r="I206" s="190" t="str">
        <f t="shared" si="14"/>
        <v/>
      </c>
      <c r="J206" s="189" t="e">
        <f t="shared" si="17"/>
        <v>#NUM!</v>
      </c>
      <c r="K206" s="189" t="e">
        <f t="shared" si="15"/>
        <v>#NUM!</v>
      </c>
      <c r="L206" s="189"/>
      <c r="M206" s="191">
        <f t="shared" si="16"/>
        <v>0</v>
      </c>
    </row>
    <row r="207" spans="1:13" x14ac:dyDescent="0.25">
      <c r="A207" s="206"/>
      <c r="G207" s="177"/>
      <c r="H207" s="189">
        <v>202</v>
      </c>
      <c r="I207" s="190" t="str">
        <f t="shared" si="14"/>
        <v/>
      </c>
      <c r="J207" s="189" t="e">
        <f t="shared" si="17"/>
        <v>#NUM!</v>
      </c>
      <c r="K207" s="189" t="e">
        <f t="shared" si="15"/>
        <v>#NUM!</v>
      </c>
      <c r="L207" s="189"/>
      <c r="M207" s="191">
        <f t="shared" si="16"/>
        <v>0</v>
      </c>
    </row>
    <row r="208" spans="1:13" x14ac:dyDescent="0.25">
      <c r="A208" s="206"/>
      <c r="G208" s="177"/>
      <c r="H208" s="189">
        <v>203</v>
      </c>
      <c r="I208" s="190" t="str">
        <f t="shared" si="14"/>
        <v/>
      </c>
      <c r="J208" s="189" t="e">
        <f t="shared" si="17"/>
        <v>#NUM!</v>
      </c>
      <c r="K208" s="189" t="e">
        <f t="shared" si="15"/>
        <v>#NUM!</v>
      </c>
      <c r="L208" s="189"/>
      <c r="M208" s="191">
        <f t="shared" si="16"/>
        <v>0</v>
      </c>
    </row>
    <row r="209" spans="1:13" x14ac:dyDescent="0.25">
      <c r="A209" s="206"/>
      <c r="G209" s="177"/>
      <c r="H209" s="189">
        <v>204</v>
      </c>
      <c r="I209" s="190" t="str">
        <f t="shared" si="14"/>
        <v/>
      </c>
      <c r="J209" s="189" t="e">
        <f t="shared" si="17"/>
        <v>#NUM!</v>
      </c>
      <c r="K209" s="189" t="e">
        <f t="shared" si="15"/>
        <v>#NUM!</v>
      </c>
      <c r="L209" s="189"/>
      <c r="M209" s="191">
        <f t="shared" si="16"/>
        <v>0</v>
      </c>
    </row>
    <row r="210" spans="1:13" x14ac:dyDescent="0.25">
      <c r="A210" s="206"/>
      <c r="G210" s="177"/>
      <c r="H210" s="189">
        <v>205</v>
      </c>
      <c r="I210" s="190" t="str">
        <f t="shared" si="14"/>
        <v/>
      </c>
      <c r="J210" s="189" t="e">
        <f t="shared" si="17"/>
        <v>#NUM!</v>
      </c>
      <c r="K210" s="189" t="e">
        <f t="shared" si="15"/>
        <v>#NUM!</v>
      </c>
      <c r="L210" s="189"/>
      <c r="M210" s="191">
        <f t="shared" si="16"/>
        <v>0</v>
      </c>
    </row>
    <row r="211" spans="1:13" x14ac:dyDescent="0.25">
      <c r="A211" s="206"/>
      <c r="G211" s="177"/>
      <c r="H211" s="189">
        <v>206</v>
      </c>
      <c r="I211" s="190" t="str">
        <f t="shared" si="14"/>
        <v/>
      </c>
      <c r="J211" s="189" t="e">
        <f t="shared" si="17"/>
        <v>#NUM!</v>
      </c>
      <c r="K211" s="189" t="e">
        <f t="shared" si="15"/>
        <v>#NUM!</v>
      </c>
      <c r="L211" s="189"/>
      <c r="M211" s="191">
        <f t="shared" si="16"/>
        <v>0</v>
      </c>
    </row>
    <row r="212" spans="1:13" x14ac:dyDescent="0.25">
      <c r="A212" s="206"/>
      <c r="G212" s="177"/>
      <c r="H212" s="189">
        <v>207</v>
      </c>
      <c r="I212" s="190" t="str">
        <f t="shared" si="14"/>
        <v/>
      </c>
      <c r="J212" s="189" t="e">
        <f t="shared" si="17"/>
        <v>#NUM!</v>
      </c>
      <c r="K212" s="189" t="e">
        <f t="shared" si="15"/>
        <v>#NUM!</v>
      </c>
      <c r="L212" s="189"/>
      <c r="M212" s="191">
        <f t="shared" si="16"/>
        <v>0</v>
      </c>
    </row>
    <row r="213" spans="1:13" x14ac:dyDescent="0.25">
      <c r="A213" s="206"/>
      <c r="G213" s="177"/>
      <c r="H213" s="189">
        <v>208</v>
      </c>
      <c r="I213" s="190" t="str">
        <f t="shared" si="14"/>
        <v/>
      </c>
      <c r="J213" s="189" t="e">
        <f t="shared" si="17"/>
        <v>#NUM!</v>
      </c>
      <c r="K213" s="189" t="e">
        <f t="shared" si="15"/>
        <v>#NUM!</v>
      </c>
      <c r="L213" s="189"/>
      <c r="M213" s="191">
        <f t="shared" si="16"/>
        <v>0</v>
      </c>
    </row>
    <row r="214" spans="1:13" x14ac:dyDescent="0.25">
      <c r="A214" s="206"/>
      <c r="G214" s="177"/>
      <c r="H214" s="189">
        <v>209</v>
      </c>
      <c r="I214" s="190" t="str">
        <f t="shared" si="14"/>
        <v/>
      </c>
      <c r="J214" s="189" t="e">
        <f t="shared" si="17"/>
        <v>#NUM!</v>
      </c>
      <c r="K214" s="189" t="e">
        <f t="shared" si="15"/>
        <v>#NUM!</v>
      </c>
      <c r="L214" s="189"/>
      <c r="M214" s="191">
        <f t="shared" si="16"/>
        <v>0</v>
      </c>
    </row>
    <row r="215" spans="1:13" x14ac:dyDescent="0.25">
      <c r="A215" s="206"/>
      <c r="G215" s="177"/>
      <c r="H215" s="189">
        <v>210</v>
      </c>
      <c r="I215" s="190" t="str">
        <f t="shared" si="14"/>
        <v/>
      </c>
      <c r="J215" s="189" t="e">
        <f t="shared" si="17"/>
        <v>#NUM!</v>
      </c>
      <c r="K215" s="189" t="e">
        <f t="shared" si="15"/>
        <v>#NUM!</v>
      </c>
      <c r="L215" s="189"/>
      <c r="M215" s="191">
        <f t="shared" si="16"/>
        <v>0</v>
      </c>
    </row>
    <row r="216" spans="1:13" x14ac:dyDescent="0.25">
      <c r="A216" s="206"/>
      <c r="G216" s="177"/>
      <c r="H216" s="189">
        <v>211</v>
      </c>
      <c r="I216" s="190" t="str">
        <f t="shared" si="14"/>
        <v/>
      </c>
      <c r="J216" s="189" t="e">
        <f t="shared" si="17"/>
        <v>#NUM!</v>
      </c>
      <c r="K216" s="189" t="e">
        <f t="shared" si="15"/>
        <v>#NUM!</v>
      </c>
      <c r="L216" s="189"/>
      <c r="M216" s="191">
        <f t="shared" si="16"/>
        <v>0</v>
      </c>
    </row>
    <row r="217" spans="1:13" x14ac:dyDescent="0.25">
      <c r="A217" s="206"/>
      <c r="G217" s="177"/>
      <c r="H217" s="189">
        <v>212</v>
      </c>
      <c r="I217" s="190" t="str">
        <f t="shared" si="14"/>
        <v/>
      </c>
      <c r="J217" s="189" t="e">
        <f t="shared" si="17"/>
        <v>#NUM!</v>
      </c>
      <c r="K217" s="189" t="e">
        <f t="shared" si="15"/>
        <v>#NUM!</v>
      </c>
      <c r="L217" s="189"/>
      <c r="M217" s="191">
        <f t="shared" si="16"/>
        <v>0</v>
      </c>
    </row>
    <row r="218" spans="1:13" x14ac:dyDescent="0.25">
      <c r="A218" s="206"/>
      <c r="G218" s="177"/>
      <c r="H218" s="189">
        <v>213</v>
      </c>
      <c r="I218" s="190" t="str">
        <f t="shared" si="14"/>
        <v/>
      </c>
      <c r="J218" s="189" t="e">
        <f t="shared" si="17"/>
        <v>#NUM!</v>
      </c>
      <c r="K218" s="189" t="e">
        <f t="shared" si="15"/>
        <v>#NUM!</v>
      </c>
      <c r="L218" s="189"/>
      <c r="M218" s="191">
        <f t="shared" si="16"/>
        <v>0</v>
      </c>
    </row>
    <row r="219" spans="1:13" x14ac:dyDescent="0.25">
      <c r="A219" s="206"/>
      <c r="G219" s="177"/>
      <c r="H219" s="189">
        <v>214</v>
      </c>
      <c r="I219" s="190" t="str">
        <f t="shared" si="14"/>
        <v/>
      </c>
      <c r="J219" s="189" t="e">
        <f t="shared" si="17"/>
        <v>#NUM!</v>
      </c>
      <c r="K219" s="189" t="e">
        <f t="shared" si="15"/>
        <v>#NUM!</v>
      </c>
      <c r="L219" s="189"/>
      <c r="M219" s="191">
        <f t="shared" si="16"/>
        <v>0</v>
      </c>
    </row>
    <row r="220" spans="1:13" x14ac:dyDescent="0.25">
      <c r="A220" s="206"/>
      <c r="G220" s="177"/>
      <c r="H220" s="189">
        <v>215</v>
      </c>
      <c r="I220" s="190" t="str">
        <f t="shared" si="14"/>
        <v/>
      </c>
      <c r="J220" s="189" t="e">
        <f t="shared" si="17"/>
        <v>#NUM!</v>
      </c>
      <c r="K220" s="189" t="e">
        <f t="shared" si="15"/>
        <v>#NUM!</v>
      </c>
      <c r="L220" s="189"/>
      <c r="M220" s="191">
        <f t="shared" si="16"/>
        <v>0</v>
      </c>
    </row>
    <row r="221" spans="1:13" x14ac:dyDescent="0.25">
      <c r="A221" s="206"/>
      <c r="G221" s="177"/>
      <c r="H221" s="189">
        <v>216</v>
      </c>
      <c r="I221" s="190" t="str">
        <f t="shared" si="14"/>
        <v/>
      </c>
      <c r="J221" s="189" t="e">
        <f t="shared" si="17"/>
        <v>#NUM!</v>
      </c>
      <c r="K221" s="189" t="e">
        <f t="shared" si="15"/>
        <v>#NUM!</v>
      </c>
      <c r="L221" s="189"/>
      <c r="M221" s="191">
        <f t="shared" si="16"/>
        <v>0</v>
      </c>
    </row>
    <row r="222" spans="1:13" x14ac:dyDescent="0.25">
      <c r="A222" s="206"/>
      <c r="G222" s="177"/>
      <c r="H222" s="189">
        <v>217</v>
      </c>
      <c r="I222" s="190" t="str">
        <f t="shared" si="14"/>
        <v/>
      </c>
      <c r="J222" s="189" t="e">
        <f t="shared" si="17"/>
        <v>#NUM!</v>
      </c>
      <c r="K222" s="189" t="e">
        <f t="shared" si="15"/>
        <v>#NUM!</v>
      </c>
      <c r="L222" s="189"/>
      <c r="M222" s="191">
        <f t="shared" si="16"/>
        <v>0</v>
      </c>
    </row>
    <row r="223" spans="1:13" x14ac:dyDescent="0.25">
      <c r="A223" s="206"/>
      <c r="G223" s="177"/>
      <c r="H223" s="189">
        <v>218</v>
      </c>
      <c r="I223" s="190" t="str">
        <f t="shared" si="14"/>
        <v/>
      </c>
      <c r="J223" s="189" t="e">
        <f t="shared" si="17"/>
        <v>#NUM!</v>
      </c>
      <c r="K223" s="189" t="e">
        <f t="shared" si="15"/>
        <v>#NUM!</v>
      </c>
      <c r="L223" s="189"/>
      <c r="M223" s="191">
        <f t="shared" si="16"/>
        <v>0</v>
      </c>
    </row>
    <row r="224" spans="1:13" x14ac:dyDescent="0.25">
      <c r="A224" s="206"/>
      <c r="G224" s="177"/>
      <c r="H224" s="189">
        <v>219</v>
      </c>
      <c r="I224" s="190" t="str">
        <f t="shared" si="14"/>
        <v/>
      </c>
      <c r="J224" s="189" t="e">
        <f t="shared" si="17"/>
        <v>#NUM!</v>
      </c>
      <c r="K224" s="189" t="e">
        <f t="shared" si="15"/>
        <v>#NUM!</v>
      </c>
      <c r="L224" s="189"/>
      <c r="M224" s="191">
        <f t="shared" si="16"/>
        <v>0</v>
      </c>
    </row>
    <row r="225" spans="1:13" x14ac:dyDescent="0.25">
      <c r="A225" s="206"/>
      <c r="G225" s="177"/>
      <c r="H225" s="189">
        <v>220</v>
      </c>
      <c r="I225" s="190" t="str">
        <f t="shared" si="14"/>
        <v/>
      </c>
      <c r="J225" s="189" t="e">
        <f t="shared" si="17"/>
        <v>#NUM!</v>
      </c>
      <c r="K225" s="189" t="e">
        <f t="shared" si="15"/>
        <v>#NUM!</v>
      </c>
      <c r="L225" s="189"/>
      <c r="M225" s="191">
        <f t="shared" si="16"/>
        <v>0</v>
      </c>
    </row>
    <row r="226" spans="1:13" x14ac:dyDescent="0.25">
      <c r="A226" s="206"/>
      <c r="G226" s="177"/>
      <c r="H226" s="189">
        <v>221</v>
      </c>
      <c r="I226" s="190" t="str">
        <f t="shared" si="14"/>
        <v/>
      </c>
      <c r="J226" s="189" t="e">
        <f t="shared" si="17"/>
        <v>#NUM!</v>
      </c>
      <c r="K226" s="189" t="e">
        <f t="shared" si="15"/>
        <v>#NUM!</v>
      </c>
      <c r="L226" s="189"/>
      <c r="M226" s="191">
        <f t="shared" si="16"/>
        <v>0</v>
      </c>
    </row>
    <row r="227" spans="1:13" x14ac:dyDescent="0.25">
      <c r="A227" s="206"/>
      <c r="G227" s="177"/>
      <c r="H227" s="189">
        <v>222</v>
      </c>
      <c r="I227" s="190" t="str">
        <f t="shared" si="14"/>
        <v/>
      </c>
      <c r="J227" s="189" t="e">
        <f t="shared" si="17"/>
        <v>#NUM!</v>
      </c>
      <c r="K227" s="189" t="e">
        <f t="shared" si="15"/>
        <v>#NUM!</v>
      </c>
      <c r="L227" s="189"/>
      <c r="M227" s="191">
        <f t="shared" si="16"/>
        <v>0</v>
      </c>
    </row>
    <row r="228" spans="1:13" x14ac:dyDescent="0.25">
      <c r="A228" s="206"/>
      <c r="G228" s="177"/>
      <c r="H228" s="189">
        <v>223</v>
      </c>
      <c r="I228" s="190" t="str">
        <f t="shared" si="14"/>
        <v/>
      </c>
      <c r="J228" s="189" t="e">
        <f t="shared" si="17"/>
        <v>#NUM!</v>
      </c>
      <c r="K228" s="189" t="e">
        <f t="shared" si="15"/>
        <v>#NUM!</v>
      </c>
      <c r="L228" s="189"/>
      <c r="M228" s="191">
        <f t="shared" si="16"/>
        <v>0</v>
      </c>
    </row>
    <row r="229" spans="1:13" x14ac:dyDescent="0.25">
      <c r="A229" s="206"/>
      <c r="G229" s="177"/>
      <c r="H229" s="189">
        <v>224</v>
      </c>
      <c r="I229" s="190" t="str">
        <f t="shared" si="14"/>
        <v/>
      </c>
      <c r="J229" s="189" t="e">
        <f t="shared" si="17"/>
        <v>#NUM!</v>
      </c>
      <c r="K229" s="189" t="e">
        <f t="shared" si="15"/>
        <v>#NUM!</v>
      </c>
      <c r="L229" s="189"/>
      <c r="M229" s="191">
        <f t="shared" si="16"/>
        <v>0</v>
      </c>
    </row>
    <row r="230" spans="1:13" x14ac:dyDescent="0.25">
      <c r="A230" s="206"/>
      <c r="G230" s="177"/>
      <c r="H230" s="189">
        <v>225</v>
      </c>
      <c r="I230" s="190" t="str">
        <f t="shared" si="14"/>
        <v/>
      </c>
      <c r="J230" s="189" t="e">
        <f t="shared" si="17"/>
        <v>#NUM!</v>
      </c>
      <c r="K230" s="189" t="e">
        <f t="shared" si="15"/>
        <v>#NUM!</v>
      </c>
      <c r="L230" s="189"/>
      <c r="M230" s="191">
        <f t="shared" si="16"/>
        <v>0</v>
      </c>
    </row>
    <row r="231" spans="1:13" x14ac:dyDescent="0.25">
      <c r="A231" s="206"/>
      <c r="G231" s="177"/>
      <c r="H231" s="189">
        <v>226</v>
      </c>
      <c r="I231" s="190" t="str">
        <f t="shared" si="14"/>
        <v/>
      </c>
      <c r="J231" s="189" t="e">
        <f t="shared" si="17"/>
        <v>#NUM!</v>
      </c>
      <c r="K231" s="189" t="e">
        <f t="shared" si="15"/>
        <v>#NUM!</v>
      </c>
      <c r="L231" s="189"/>
      <c r="M231" s="191">
        <f t="shared" si="16"/>
        <v>0</v>
      </c>
    </row>
    <row r="232" spans="1:13" x14ac:dyDescent="0.25">
      <c r="A232" s="206"/>
      <c r="G232" s="177"/>
      <c r="H232" s="189">
        <v>227</v>
      </c>
      <c r="I232" s="190" t="str">
        <f t="shared" si="14"/>
        <v/>
      </c>
      <c r="J232" s="189" t="e">
        <f t="shared" si="17"/>
        <v>#NUM!</v>
      </c>
      <c r="K232" s="189" t="e">
        <f t="shared" si="15"/>
        <v>#NUM!</v>
      </c>
      <c r="L232" s="189"/>
      <c r="M232" s="191">
        <f t="shared" si="16"/>
        <v>0</v>
      </c>
    </row>
    <row r="233" spans="1:13" x14ac:dyDescent="0.25">
      <c r="A233" s="206"/>
      <c r="G233" s="177"/>
      <c r="H233" s="189">
        <v>228</v>
      </c>
      <c r="I233" s="190" t="str">
        <f t="shared" si="14"/>
        <v/>
      </c>
      <c r="J233" s="189" t="e">
        <f t="shared" si="17"/>
        <v>#NUM!</v>
      </c>
      <c r="K233" s="189" t="e">
        <f t="shared" si="15"/>
        <v>#NUM!</v>
      </c>
      <c r="L233" s="189"/>
      <c r="M233" s="191">
        <f t="shared" si="16"/>
        <v>0</v>
      </c>
    </row>
    <row r="234" spans="1:13" x14ac:dyDescent="0.25">
      <c r="A234" s="206"/>
      <c r="G234" s="177"/>
      <c r="H234" s="189">
        <v>229</v>
      </c>
      <c r="I234" s="190" t="str">
        <f t="shared" si="14"/>
        <v/>
      </c>
      <c r="J234" s="189" t="e">
        <f t="shared" si="17"/>
        <v>#NUM!</v>
      </c>
      <c r="K234" s="189" t="e">
        <f t="shared" si="15"/>
        <v>#NUM!</v>
      </c>
      <c r="L234" s="189"/>
      <c r="M234" s="191">
        <f t="shared" si="16"/>
        <v>0</v>
      </c>
    </row>
    <row r="235" spans="1:13" x14ac:dyDescent="0.25">
      <c r="A235" s="206"/>
      <c r="G235" s="177"/>
      <c r="H235" s="189">
        <v>230</v>
      </c>
      <c r="I235" s="190" t="str">
        <f t="shared" si="14"/>
        <v/>
      </c>
      <c r="J235" s="189" t="e">
        <f t="shared" si="17"/>
        <v>#NUM!</v>
      </c>
      <c r="K235" s="189" t="e">
        <f t="shared" si="15"/>
        <v>#NUM!</v>
      </c>
      <c r="L235" s="189"/>
      <c r="M235" s="191">
        <f t="shared" si="16"/>
        <v>0</v>
      </c>
    </row>
    <row r="236" spans="1:13" x14ac:dyDescent="0.25">
      <c r="A236" s="206"/>
      <c r="G236" s="177"/>
      <c r="H236" s="189">
        <v>231</v>
      </c>
      <c r="I236" s="190" t="str">
        <f t="shared" si="14"/>
        <v/>
      </c>
      <c r="J236" s="189" t="e">
        <f t="shared" si="17"/>
        <v>#NUM!</v>
      </c>
      <c r="K236" s="189" t="e">
        <f t="shared" si="15"/>
        <v>#NUM!</v>
      </c>
      <c r="L236" s="189"/>
      <c r="M236" s="191">
        <f t="shared" si="16"/>
        <v>0</v>
      </c>
    </row>
    <row r="237" spans="1:13" x14ac:dyDescent="0.25">
      <c r="A237" s="206"/>
      <c r="G237" s="177"/>
      <c r="H237" s="189">
        <v>232</v>
      </c>
      <c r="I237" s="190" t="str">
        <f t="shared" si="14"/>
        <v/>
      </c>
      <c r="J237" s="189" t="e">
        <f t="shared" si="17"/>
        <v>#NUM!</v>
      </c>
      <c r="K237" s="189" t="e">
        <f t="shared" si="15"/>
        <v>#NUM!</v>
      </c>
      <c r="L237" s="189"/>
      <c r="M237" s="191">
        <f t="shared" si="16"/>
        <v>0</v>
      </c>
    </row>
    <row r="238" spans="1:13" x14ac:dyDescent="0.25">
      <c r="A238" s="206"/>
      <c r="G238" s="177"/>
      <c r="H238" s="189">
        <v>233</v>
      </c>
      <c r="I238" s="190" t="str">
        <f t="shared" si="14"/>
        <v/>
      </c>
      <c r="J238" s="189" t="e">
        <f t="shared" si="17"/>
        <v>#NUM!</v>
      </c>
      <c r="K238" s="189" t="e">
        <f t="shared" si="15"/>
        <v>#NUM!</v>
      </c>
      <c r="L238" s="189"/>
      <c r="M238" s="191">
        <f t="shared" si="16"/>
        <v>0</v>
      </c>
    </row>
    <row r="239" spans="1:13" x14ac:dyDescent="0.25">
      <c r="A239" s="206"/>
      <c r="G239" s="177"/>
      <c r="H239" s="189">
        <v>234</v>
      </c>
      <c r="I239" s="190" t="str">
        <f t="shared" si="14"/>
        <v/>
      </c>
      <c r="J239" s="189" t="e">
        <f t="shared" si="17"/>
        <v>#NUM!</v>
      </c>
      <c r="K239" s="189" t="e">
        <f t="shared" si="15"/>
        <v>#NUM!</v>
      </c>
      <c r="L239" s="189"/>
      <c r="M239" s="191">
        <f t="shared" si="16"/>
        <v>0</v>
      </c>
    </row>
    <row r="240" spans="1:13" x14ac:dyDescent="0.25">
      <c r="A240" s="206"/>
      <c r="G240" s="177"/>
      <c r="H240" s="189">
        <v>235</v>
      </c>
      <c r="I240" s="190" t="str">
        <f t="shared" si="14"/>
        <v/>
      </c>
      <c r="J240" s="189" t="e">
        <f t="shared" si="17"/>
        <v>#NUM!</v>
      </c>
      <c r="K240" s="189" t="e">
        <f t="shared" si="15"/>
        <v>#NUM!</v>
      </c>
      <c r="L240" s="189"/>
      <c r="M240" s="191">
        <f t="shared" si="16"/>
        <v>0</v>
      </c>
    </row>
    <row r="241" spans="1:13" x14ac:dyDescent="0.25">
      <c r="A241" s="206"/>
      <c r="G241" s="177"/>
      <c r="H241" s="189">
        <v>236</v>
      </c>
      <c r="I241" s="190" t="str">
        <f t="shared" si="14"/>
        <v/>
      </c>
      <c r="J241" s="189" t="e">
        <f t="shared" si="17"/>
        <v>#NUM!</v>
      </c>
      <c r="K241" s="189" t="e">
        <f t="shared" si="15"/>
        <v>#NUM!</v>
      </c>
      <c r="L241" s="189"/>
      <c r="M241" s="191">
        <f t="shared" si="16"/>
        <v>0</v>
      </c>
    </row>
    <row r="242" spans="1:13" x14ac:dyDescent="0.25">
      <c r="A242" s="206"/>
      <c r="G242" s="177"/>
      <c r="H242" s="189">
        <v>237</v>
      </c>
      <c r="I242" s="190" t="str">
        <f t="shared" si="14"/>
        <v/>
      </c>
      <c r="J242" s="189" t="e">
        <f t="shared" si="17"/>
        <v>#NUM!</v>
      </c>
      <c r="K242" s="189" t="e">
        <f t="shared" si="15"/>
        <v>#NUM!</v>
      </c>
      <c r="L242" s="189"/>
      <c r="M242" s="191">
        <f t="shared" si="16"/>
        <v>0</v>
      </c>
    </row>
    <row r="243" spans="1:13" x14ac:dyDescent="0.25">
      <c r="A243" s="206"/>
      <c r="G243" s="177"/>
      <c r="H243" s="189">
        <v>238</v>
      </c>
      <c r="I243" s="190" t="str">
        <f t="shared" si="14"/>
        <v/>
      </c>
      <c r="J243" s="189" t="e">
        <f t="shared" si="17"/>
        <v>#NUM!</v>
      </c>
      <c r="K243" s="189" t="e">
        <f t="shared" si="15"/>
        <v>#NUM!</v>
      </c>
      <c r="L243" s="189"/>
      <c r="M243" s="191">
        <f t="shared" si="16"/>
        <v>0</v>
      </c>
    </row>
    <row r="244" spans="1:13" x14ac:dyDescent="0.25">
      <c r="A244" s="206"/>
      <c r="G244" s="177"/>
      <c r="H244" s="189">
        <v>239</v>
      </c>
      <c r="I244" s="190" t="str">
        <f t="shared" si="14"/>
        <v/>
      </c>
      <c r="J244" s="189" t="e">
        <f t="shared" si="17"/>
        <v>#NUM!</v>
      </c>
      <c r="K244" s="189" t="e">
        <f t="shared" si="15"/>
        <v>#NUM!</v>
      </c>
      <c r="L244" s="189"/>
      <c r="M244" s="191">
        <f t="shared" si="16"/>
        <v>0</v>
      </c>
    </row>
    <row r="245" spans="1:13" x14ac:dyDescent="0.25">
      <c r="A245" s="206"/>
      <c r="G245" s="177"/>
      <c r="H245" s="189">
        <v>240</v>
      </c>
      <c r="I245" s="190" t="str">
        <f t="shared" si="14"/>
        <v/>
      </c>
      <c r="J245" s="189" t="e">
        <f t="shared" si="17"/>
        <v>#NUM!</v>
      </c>
      <c r="K245" s="189" t="e">
        <f t="shared" si="15"/>
        <v>#NUM!</v>
      </c>
      <c r="L245" s="189"/>
      <c r="M245" s="191">
        <f t="shared" si="16"/>
        <v>0</v>
      </c>
    </row>
    <row r="246" spans="1:13" x14ac:dyDescent="0.25">
      <c r="A246" s="206"/>
      <c r="G246" s="177"/>
      <c r="H246" s="189">
        <v>241</v>
      </c>
      <c r="I246" s="190" t="str">
        <f t="shared" si="14"/>
        <v/>
      </c>
      <c r="J246" s="189" t="e">
        <f t="shared" si="17"/>
        <v>#NUM!</v>
      </c>
      <c r="K246" s="189" t="e">
        <f t="shared" si="15"/>
        <v>#NUM!</v>
      </c>
      <c r="L246" s="189"/>
      <c r="M246" s="191">
        <f t="shared" si="16"/>
        <v>0</v>
      </c>
    </row>
    <row r="247" spans="1:13" x14ac:dyDescent="0.25">
      <c r="A247" s="206"/>
      <c r="G247" s="177"/>
      <c r="H247" s="189">
        <v>242</v>
      </c>
      <c r="I247" s="190" t="str">
        <f t="shared" si="14"/>
        <v/>
      </c>
      <c r="J247" s="189" t="e">
        <f t="shared" si="17"/>
        <v>#NUM!</v>
      </c>
      <c r="K247" s="189" t="e">
        <f t="shared" si="15"/>
        <v>#NUM!</v>
      </c>
      <c r="L247" s="189"/>
      <c r="M247" s="191">
        <f t="shared" si="16"/>
        <v>0</v>
      </c>
    </row>
    <row r="248" spans="1:13" x14ac:dyDescent="0.25">
      <c r="A248" s="206"/>
      <c r="G248" s="177"/>
      <c r="H248" s="189">
        <v>243</v>
      </c>
      <c r="I248" s="190" t="str">
        <f t="shared" si="14"/>
        <v/>
      </c>
      <c r="J248" s="189" t="e">
        <f t="shared" si="17"/>
        <v>#NUM!</v>
      </c>
      <c r="K248" s="189" t="e">
        <f t="shared" si="15"/>
        <v>#NUM!</v>
      </c>
      <c r="L248" s="189"/>
      <c r="M248" s="191">
        <f t="shared" si="16"/>
        <v>0</v>
      </c>
    </row>
    <row r="249" spans="1:13" x14ac:dyDescent="0.25">
      <c r="A249" s="206"/>
      <c r="G249" s="177"/>
      <c r="H249" s="189">
        <v>244</v>
      </c>
      <c r="I249" s="190" t="str">
        <f t="shared" si="14"/>
        <v/>
      </c>
      <c r="J249" s="189" t="e">
        <f t="shared" si="17"/>
        <v>#NUM!</v>
      </c>
      <c r="K249" s="189" t="e">
        <f t="shared" si="15"/>
        <v>#NUM!</v>
      </c>
      <c r="L249" s="189"/>
      <c r="M249" s="191">
        <f t="shared" si="16"/>
        <v>0</v>
      </c>
    </row>
    <row r="250" spans="1:13" x14ac:dyDescent="0.25">
      <c r="A250" s="206"/>
      <c r="G250" s="177"/>
      <c r="H250" s="189">
        <v>245</v>
      </c>
      <c r="I250" s="190" t="str">
        <f t="shared" si="14"/>
        <v/>
      </c>
      <c r="J250" s="189" t="e">
        <f t="shared" si="17"/>
        <v>#NUM!</v>
      </c>
      <c r="K250" s="189" t="e">
        <f t="shared" si="15"/>
        <v>#NUM!</v>
      </c>
      <c r="L250" s="189"/>
      <c r="M250" s="191">
        <f t="shared" si="16"/>
        <v>0</v>
      </c>
    </row>
    <row r="251" spans="1:13" x14ac:dyDescent="0.25">
      <c r="A251" s="206"/>
      <c r="G251" s="177"/>
      <c r="H251" s="189">
        <v>246</v>
      </c>
      <c r="I251" s="190" t="str">
        <f t="shared" si="14"/>
        <v/>
      </c>
      <c r="J251" s="189" t="e">
        <f t="shared" si="17"/>
        <v>#NUM!</v>
      </c>
      <c r="K251" s="189" t="e">
        <f t="shared" si="15"/>
        <v>#NUM!</v>
      </c>
      <c r="L251" s="189"/>
      <c r="M251" s="191">
        <f t="shared" si="16"/>
        <v>0</v>
      </c>
    </row>
    <row r="252" spans="1:13" x14ac:dyDescent="0.25">
      <c r="A252" s="206"/>
      <c r="G252" s="177"/>
      <c r="H252" s="189">
        <v>247</v>
      </c>
      <c r="I252" s="190" t="str">
        <f t="shared" si="14"/>
        <v/>
      </c>
      <c r="J252" s="189" t="e">
        <f t="shared" si="17"/>
        <v>#NUM!</v>
      </c>
      <c r="K252" s="189" t="e">
        <f t="shared" si="15"/>
        <v>#NUM!</v>
      </c>
      <c r="L252" s="189"/>
      <c r="M252" s="191">
        <f t="shared" si="16"/>
        <v>0</v>
      </c>
    </row>
    <row r="253" spans="1:13" x14ac:dyDescent="0.25">
      <c r="A253" s="206"/>
      <c r="G253" s="177"/>
      <c r="H253" s="189">
        <v>248</v>
      </c>
      <c r="I253" s="190" t="str">
        <f t="shared" si="14"/>
        <v/>
      </c>
      <c r="J253" s="189" t="e">
        <f t="shared" si="17"/>
        <v>#NUM!</v>
      </c>
      <c r="K253" s="189" t="e">
        <f t="shared" si="15"/>
        <v>#NUM!</v>
      </c>
      <c r="L253" s="189"/>
      <c r="M253" s="191">
        <f t="shared" si="16"/>
        <v>0</v>
      </c>
    </row>
    <row r="254" spans="1:13" x14ac:dyDescent="0.25">
      <c r="A254" s="206"/>
      <c r="G254" s="177"/>
      <c r="H254" s="189">
        <v>249</v>
      </c>
      <c r="I254" s="190" t="str">
        <f t="shared" si="14"/>
        <v/>
      </c>
      <c r="J254" s="189" t="e">
        <f t="shared" si="17"/>
        <v>#NUM!</v>
      </c>
      <c r="K254" s="189" t="e">
        <f t="shared" si="15"/>
        <v>#NUM!</v>
      </c>
      <c r="L254" s="189"/>
      <c r="M254" s="191">
        <f t="shared" si="16"/>
        <v>0</v>
      </c>
    </row>
    <row r="255" spans="1:13" x14ac:dyDescent="0.25">
      <c r="A255" s="206"/>
      <c r="G255" s="177"/>
      <c r="H255" s="189">
        <v>250</v>
      </c>
      <c r="I255" s="190" t="str">
        <f t="shared" si="14"/>
        <v/>
      </c>
      <c r="J255" s="189" t="e">
        <f t="shared" si="17"/>
        <v>#NUM!</v>
      </c>
      <c r="K255" s="189" t="e">
        <f t="shared" si="15"/>
        <v>#NUM!</v>
      </c>
      <c r="L255" s="189"/>
      <c r="M255" s="191">
        <f t="shared" si="16"/>
        <v>0</v>
      </c>
    </row>
    <row r="256" spans="1:13" x14ac:dyDescent="0.25">
      <c r="A256" s="206"/>
      <c r="G256" s="177"/>
      <c r="H256" s="189">
        <v>251</v>
      </c>
      <c r="I256" s="190" t="str">
        <f t="shared" si="14"/>
        <v/>
      </c>
      <c r="J256" s="189" t="e">
        <f t="shared" si="17"/>
        <v>#NUM!</v>
      </c>
      <c r="K256" s="189" t="e">
        <f t="shared" si="15"/>
        <v>#NUM!</v>
      </c>
      <c r="L256" s="189"/>
      <c r="M256" s="191">
        <f t="shared" si="16"/>
        <v>0</v>
      </c>
    </row>
    <row r="257" spans="1:13" x14ac:dyDescent="0.25">
      <c r="A257" s="206"/>
      <c r="G257" s="177"/>
      <c r="H257" s="189">
        <v>252</v>
      </c>
      <c r="I257" s="190" t="str">
        <f t="shared" si="14"/>
        <v/>
      </c>
      <c r="J257" s="189" t="e">
        <f t="shared" si="17"/>
        <v>#NUM!</v>
      </c>
      <c r="K257" s="189" t="e">
        <f t="shared" si="15"/>
        <v>#NUM!</v>
      </c>
      <c r="L257" s="189"/>
      <c r="M257" s="191">
        <f t="shared" si="16"/>
        <v>0</v>
      </c>
    </row>
    <row r="258" spans="1:13" x14ac:dyDescent="0.25">
      <c r="A258" s="206"/>
      <c r="G258" s="177"/>
      <c r="H258" s="189">
        <v>253</v>
      </c>
      <c r="I258" s="190" t="str">
        <f t="shared" si="14"/>
        <v/>
      </c>
      <c r="J258" s="189" t="e">
        <f t="shared" si="17"/>
        <v>#NUM!</v>
      </c>
      <c r="K258" s="189" t="e">
        <f t="shared" si="15"/>
        <v>#NUM!</v>
      </c>
      <c r="L258" s="189"/>
      <c r="M258" s="191">
        <f t="shared" si="16"/>
        <v>0</v>
      </c>
    </row>
    <row r="259" spans="1:13" x14ac:dyDescent="0.25">
      <c r="A259" s="206"/>
      <c r="G259" s="177"/>
      <c r="H259" s="189">
        <v>254</v>
      </c>
      <c r="I259" s="190" t="str">
        <f t="shared" si="14"/>
        <v/>
      </c>
      <c r="J259" s="189" t="e">
        <f t="shared" si="17"/>
        <v>#NUM!</v>
      </c>
      <c r="K259" s="189" t="e">
        <f t="shared" si="15"/>
        <v>#NUM!</v>
      </c>
      <c r="L259" s="189"/>
      <c r="M259" s="191">
        <f t="shared" si="16"/>
        <v>0</v>
      </c>
    </row>
    <row r="260" spans="1:13" x14ac:dyDescent="0.25">
      <c r="A260" s="206"/>
      <c r="G260" s="177"/>
      <c r="H260" s="189">
        <v>255</v>
      </c>
      <c r="I260" s="190" t="str">
        <f t="shared" si="14"/>
        <v/>
      </c>
      <c r="J260" s="189" t="e">
        <f t="shared" si="17"/>
        <v>#NUM!</v>
      </c>
      <c r="K260" s="189" t="e">
        <f t="shared" si="15"/>
        <v>#NUM!</v>
      </c>
      <c r="L260" s="189"/>
      <c r="M260" s="191">
        <f t="shared" si="16"/>
        <v>0</v>
      </c>
    </row>
    <row r="261" spans="1:13" x14ac:dyDescent="0.25">
      <c r="A261" s="206"/>
      <c r="G261" s="177"/>
      <c r="H261" s="189">
        <v>256</v>
      </c>
      <c r="I261" s="190" t="str">
        <f t="shared" si="14"/>
        <v/>
      </c>
      <c r="J261" s="189" t="e">
        <f t="shared" si="17"/>
        <v>#NUM!</v>
      </c>
      <c r="K261" s="189" t="e">
        <f t="shared" si="15"/>
        <v>#NUM!</v>
      </c>
      <c r="L261" s="189"/>
      <c r="M261" s="191">
        <f t="shared" si="16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8">IF(H262&lt;$H$2+1,($I$2-($I$2-1)*(LOG(H262)/LOG($H$2))),"")</f>
        <v/>
      </c>
      <c r="J262" s="189" t="e">
        <f t="shared" si="17"/>
        <v>#NUM!</v>
      </c>
      <c r="K262" s="189" t="e">
        <f t="shared" ref="K262:K305" si="19">J262*$J$2</f>
        <v>#NUM!</v>
      </c>
      <c r="L262" s="189"/>
      <c r="M262" s="191">
        <f t="shared" ref="M262:M305" si="20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8"/>
        <v/>
      </c>
      <c r="J263" s="189" t="e">
        <f t="shared" ref="J263:J326" si="21">INT(LOG($H$2,2))-ROUNDUP(LOG(H263,2),0)+IF(OR($H$2=1,$H$2=2,$H$2=4,$H$2=8,$H$2=16,$H$2=32,$H$2=64,$H$2=128,$H$2=256),0,1)</f>
        <v>#NUM!</v>
      </c>
      <c r="K263" s="189" t="e">
        <f t="shared" si="19"/>
        <v>#NUM!</v>
      </c>
      <c r="L263" s="189"/>
      <c r="M263" s="191">
        <f t="shared" si="20"/>
        <v>0</v>
      </c>
    </row>
    <row r="264" spans="1:13" x14ac:dyDescent="0.25">
      <c r="A264" s="206"/>
      <c r="G264" s="177"/>
      <c r="H264" s="189">
        <v>259</v>
      </c>
      <c r="I264" s="190" t="str">
        <f t="shared" si="18"/>
        <v/>
      </c>
      <c r="J264" s="189" t="e">
        <f t="shared" si="21"/>
        <v>#NUM!</v>
      </c>
      <c r="K264" s="189" t="e">
        <f t="shared" si="19"/>
        <v>#NUM!</v>
      </c>
      <c r="L264" s="189"/>
      <c r="M264" s="191">
        <f t="shared" si="20"/>
        <v>0</v>
      </c>
    </row>
    <row r="265" spans="1:13" x14ac:dyDescent="0.25">
      <c r="A265" s="206"/>
      <c r="G265" s="177"/>
      <c r="H265" s="189">
        <v>260</v>
      </c>
      <c r="I265" s="190" t="str">
        <f t="shared" si="18"/>
        <v/>
      </c>
      <c r="J265" s="189" t="e">
        <f t="shared" si="21"/>
        <v>#NUM!</v>
      </c>
      <c r="K265" s="189" t="e">
        <f t="shared" si="19"/>
        <v>#NUM!</v>
      </c>
      <c r="L265" s="189"/>
      <c r="M265" s="191">
        <f t="shared" si="20"/>
        <v>0</v>
      </c>
    </row>
    <row r="266" spans="1:13" x14ac:dyDescent="0.25">
      <c r="A266" s="206"/>
      <c r="G266" s="177"/>
      <c r="H266" s="189">
        <v>261</v>
      </c>
      <c r="I266" s="190" t="str">
        <f t="shared" si="18"/>
        <v/>
      </c>
      <c r="J266" s="189" t="e">
        <f t="shared" si="21"/>
        <v>#NUM!</v>
      </c>
      <c r="K266" s="189" t="e">
        <f t="shared" si="19"/>
        <v>#NUM!</v>
      </c>
      <c r="L266" s="189"/>
      <c r="M266" s="191">
        <f t="shared" si="20"/>
        <v>0</v>
      </c>
    </row>
    <row r="267" spans="1:13" x14ac:dyDescent="0.25">
      <c r="A267" s="206"/>
      <c r="G267" s="177"/>
      <c r="H267" s="189">
        <v>262</v>
      </c>
      <c r="I267" s="190" t="str">
        <f t="shared" si="18"/>
        <v/>
      </c>
      <c r="J267" s="189" t="e">
        <f t="shared" si="21"/>
        <v>#NUM!</v>
      </c>
      <c r="K267" s="189" t="e">
        <f t="shared" si="19"/>
        <v>#NUM!</v>
      </c>
      <c r="L267" s="189"/>
      <c r="M267" s="191">
        <f t="shared" si="20"/>
        <v>0</v>
      </c>
    </row>
    <row r="268" spans="1:13" x14ac:dyDescent="0.25">
      <c r="A268" s="206"/>
      <c r="G268" s="177"/>
      <c r="H268" s="189">
        <v>263</v>
      </c>
      <c r="I268" s="190" t="str">
        <f t="shared" si="18"/>
        <v/>
      </c>
      <c r="J268" s="189" t="e">
        <f t="shared" si="21"/>
        <v>#NUM!</v>
      </c>
      <c r="K268" s="189" t="e">
        <f t="shared" si="19"/>
        <v>#NUM!</v>
      </c>
      <c r="L268" s="189"/>
      <c r="M268" s="191">
        <f t="shared" si="20"/>
        <v>0</v>
      </c>
    </row>
    <row r="269" spans="1:13" x14ac:dyDescent="0.25">
      <c r="A269" s="206"/>
      <c r="G269" s="177"/>
      <c r="H269" s="189">
        <v>264</v>
      </c>
      <c r="I269" s="190" t="str">
        <f t="shared" si="18"/>
        <v/>
      </c>
      <c r="J269" s="189" t="e">
        <f t="shared" si="21"/>
        <v>#NUM!</v>
      </c>
      <c r="K269" s="189" t="e">
        <f t="shared" si="19"/>
        <v>#NUM!</v>
      </c>
      <c r="L269" s="189"/>
      <c r="M269" s="191">
        <f t="shared" si="20"/>
        <v>0</v>
      </c>
    </row>
    <row r="270" spans="1:13" x14ac:dyDescent="0.25">
      <c r="A270" s="206"/>
      <c r="G270" s="177"/>
      <c r="H270" s="189">
        <v>265</v>
      </c>
      <c r="I270" s="190" t="str">
        <f t="shared" si="18"/>
        <v/>
      </c>
      <c r="J270" s="189" t="e">
        <f t="shared" si="21"/>
        <v>#NUM!</v>
      </c>
      <c r="K270" s="189" t="e">
        <f t="shared" si="19"/>
        <v>#NUM!</v>
      </c>
      <c r="L270" s="189"/>
      <c r="M270" s="191">
        <f t="shared" si="20"/>
        <v>0</v>
      </c>
    </row>
    <row r="271" spans="1:13" x14ac:dyDescent="0.25">
      <c r="A271" s="206"/>
      <c r="G271" s="177"/>
      <c r="H271" s="189">
        <v>266</v>
      </c>
      <c r="I271" s="190" t="str">
        <f t="shared" si="18"/>
        <v/>
      </c>
      <c r="J271" s="189" t="e">
        <f t="shared" si="21"/>
        <v>#NUM!</v>
      </c>
      <c r="K271" s="189" t="e">
        <f t="shared" si="19"/>
        <v>#NUM!</v>
      </c>
      <c r="L271" s="189"/>
      <c r="M271" s="191">
        <f t="shared" si="20"/>
        <v>0</v>
      </c>
    </row>
    <row r="272" spans="1:13" x14ac:dyDescent="0.25">
      <c r="A272" s="206"/>
      <c r="G272" s="177"/>
      <c r="H272" s="189">
        <v>267</v>
      </c>
      <c r="I272" s="190" t="str">
        <f t="shared" si="18"/>
        <v/>
      </c>
      <c r="J272" s="189" t="e">
        <f t="shared" si="21"/>
        <v>#NUM!</v>
      </c>
      <c r="K272" s="189" t="e">
        <f t="shared" si="19"/>
        <v>#NUM!</v>
      </c>
      <c r="L272" s="189"/>
      <c r="M272" s="191">
        <f t="shared" si="20"/>
        <v>0</v>
      </c>
    </row>
    <row r="273" spans="1:13" x14ac:dyDescent="0.25">
      <c r="A273" s="206"/>
      <c r="G273" s="177"/>
      <c r="H273" s="189">
        <v>268</v>
      </c>
      <c r="I273" s="190" t="str">
        <f t="shared" si="18"/>
        <v/>
      </c>
      <c r="J273" s="189" t="e">
        <f t="shared" si="21"/>
        <v>#NUM!</v>
      </c>
      <c r="K273" s="189" t="e">
        <f t="shared" si="19"/>
        <v>#NUM!</v>
      </c>
      <c r="L273" s="189"/>
      <c r="M273" s="191">
        <f t="shared" si="20"/>
        <v>0</v>
      </c>
    </row>
    <row r="274" spans="1:13" x14ac:dyDescent="0.25">
      <c r="A274" s="206"/>
      <c r="G274" s="177"/>
      <c r="H274" s="189">
        <v>269</v>
      </c>
      <c r="I274" s="190" t="str">
        <f t="shared" si="18"/>
        <v/>
      </c>
      <c r="J274" s="189" t="e">
        <f t="shared" si="21"/>
        <v>#NUM!</v>
      </c>
      <c r="K274" s="189" t="e">
        <f t="shared" si="19"/>
        <v>#NUM!</v>
      </c>
      <c r="L274" s="189"/>
      <c r="M274" s="191">
        <f t="shared" si="20"/>
        <v>0</v>
      </c>
    </row>
    <row r="275" spans="1:13" x14ac:dyDescent="0.25">
      <c r="A275" s="206"/>
      <c r="G275" s="177"/>
      <c r="H275" s="189">
        <v>270</v>
      </c>
      <c r="I275" s="190" t="str">
        <f t="shared" si="18"/>
        <v/>
      </c>
      <c r="J275" s="189" t="e">
        <f t="shared" si="21"/>
        <v>#NUM!</v>
      </c>
      <c r="K275" s="189" t="e">
        <f t="shared" si="19"/>
        <v>#NUM!</v>
      </c>
      <c r="L275" s="189"/>
      <c r="M275" s="191">
        <f t="shared" si="20"/>
        <v>0</v>
      </c>
    </row>
    <row r="276" spans="1:13" x14ac:dyDescent="0.25">
      <c r="A276" s="206"/>
      <c r="G276" s="177"/>
      <c r="H276" s="189">
        <v>271</v>
      </c>
      <c r="I276" s="190" t="str">
        <f t="shared" si="18"/>
        <v/>
      </c>
      <c r="J276" s="189" t="e">
        <f t="shared" si="21"/>
        <v>#NUM!</v>
      </c>
      <c r="K276" s="189" t="e">
        <f t="shared" si="19"/>
        <v>#NUM!</v>
      </c>
      <c r="L276" s="189"/>
      <c r="M276" s="191">
        <f t="shared" si="20"/>
        <v>0</v>
      </c>
    </row>
    <row r="277" spans="1:13" x14ac:dyDescent="0.25">
      <c r="A277" s="206"/>
      <c r="G277" s="177"/>
      <c r="H277" s="189">
        <v>272</v>
      </c>
      <c r="I277" s="190" t="str">
        <f t="shared" si="18"/>
        <v/>
      </c>
      <c r="J277" s="189" t="e">
        <f t="shared" si="21"/>
        <v>#NUM!</v>
      </c>
      <c r="K277" s="189" t="e">
        <f t="shared" si="19"/>
        <v>#NUM!</v>
      </c>
      <c r="L277" s="189"/>
      <c r="M277" s="191">
        <f t="shared" si="20"/>
        <v>0</v>
      </c>
    </row>
    <row r="278" spans="1:13" x14ac:dyDescent="0.25">
      <c r="A278" s="206"/>
      <c r="G278" s="177"/>
      <c r="H278" s="189">
        <v>273</v>
      </c>
      <c r="I278" s="190" t="str">
        <f t="shared" si="18"/>
        <v/>
      </c>
      <c r="J278" s="189" t="e">
        <f t="shared" si="21"/>
        <v>#NUM!</v>
      </c>
      <c r="K278" s="189" t="e">
        <f t="shared" si="19"/>
        <v>#NUM!</v>
      </c>
      <c r="L278" s="189"/>
      <c r="M278" s="191">
        <f t="shared" si="20"/>
        <v>0</v>
      </c>
    </row>
    <row r="279" spans="1:13" x14ac:dyDescent="0.25">
      <c r="A279" s="206"/>
      <c r="G279" s="177"/>
      <c r="H279" s="189">
        <v>274</v>
      </c>
      <c r="I279" s="190" t="str">
        <f t="shared" si="18"/>
        <v/>
      </c>
      <c r="J279" s="189" t="e">
        <f t="shared" si="21"/>
        <v>#NUM!</v>
      </c>
      <c r="K279" s="189" t="e">
        <f t="shared" si="19"/>
        <v>#NUM!</v>
      </c>
      <c r="L279" s="189"/>
      <c r="M279" s="191">
        <f t="shared" si="20"/>
        <v>0</v>
      </c>
    </row>
    <row r="280" spans="1:13" x14ac:dyDescent="0.25">
      <c r="A280" s="206"/>
      <c r="G280" s="177"/>
      <c r="H280" s="189">
        <v>275</v>
      </c>
      <c r="I280" s="190" t="str">
        <f t="shared" si="18"/>
        <v/>
      </c>
      <c r="J280" s="189" t="e">
        <f t="shared" si="21"/>
        <v>#NUM!</v>
      </c>
      <c r="K280" s="189" t="e">
        <f t="shared" si="19"/>
        <v>#NUM!</v>
      </c>
      <c r="L280" s="189"/>
      <c r="M280" s="191">
        <f t="shared" si="20"/>
        <v>0</v>
      </c>
    </row>
    <row r="281" spans="1:13" x14ac:dyDescent="0.25">
      <c r="A281" s="206"/>
      <c r="G281" s="177"/>
      <c r="H281" s="189">
        <v>276</v>
      </c>
      <c r="I281" s="190" t="str">
        <f t="shared" si="18"/>
        <v/>
      </c>
      <c r="J281" s="189" t="e">
        <f t="shared" si="21"/>
        <v>#NUM!</v>
      </c>
      <c r="K281" s="189" t="e">
        <f t="shared" si="19"/>
        <v>#NUM!</v>
      </c>
      <c r="L281" s="189"/>
      <c r="M281" s="191">
        <f t="shared" si="20"/>
        <v>0</v>
      </c>
    </row>
    <row r="282" spans="1:13" x14ac:dyDescent="0.25">
      <c r="A282" s="206"/>
      <c r="G282" s="177"/>
      <c r="H282" s="189">
        <v>277</v>
      </c>
      <c r="I282" s="190" t="str">
        <f t="shared" si="18"/>
        <v/>
      </c>
      <c r="J282" s="189" t="e">
        <f t="shared" si="21"/>
        <v>#NUM!</v>
      </c>
      <c r="K282" s="189" t="e">
        <f t="shared" si="19"/>
        <v>#NUM!</v>
      </c>
      <c r="L282" s="189"/>
      <c r="M282" s="191">
        <f t="shared" si="20"/>
        <v>0</v>
      </c>
    </row>
    <row r="283" spans="1:13" x14ac:dyDescent="0.25">
      <c r="A283" s="206"/>
      <c r="G283" s="177"/>
      <c r="H283" s="189">
        <v>278</v>
      </c>
      <c r="I283" s="190" t="str">
        <f t="shared" si="18"/>
        <v/>
      </c>
      <c r="J283" s="189" t="e">
        <f t="shared" si="21"/>
        <v>#NUM!</v>
      </c>
      <c r="K283" s="189" t="e">
        <f t="shared" si="19"/>
        <v>#NUM!</v>
      </c>
      <c r="L283" s="189"/>
      <c r="M283" s="191">
        <f t="shared" si="20"/>
        <v>0</v>
      </c>
    </row>
    <row r="284" spans="1:13" x14ac:dyDescent="0.25">
      <c r="A284" s="206"/>
      <c r="G284" s="177"/>
      <c r="H284" s="189">
        <v>279</v>
      </c>
      <c r="I284" s="190" t="str">
        <f t="shared" si="18"/>
        <v/>
      </c>
      <c r="J284" s="189" t="e">
        <f t="shared" si="21"/>
        <v>#NUM!</v>
      </c>
      <c r="K284" s="189" t="e">
        <f t="shared" si="19"/>
        <v>#NUM!</v>
      </c>
      <c r="L284" s="189"/>
      <c r="M284" s="191">
        <f t="shared" si="20"/>
        <v>0</v>
      </c>
    </row>
    <row r="285" spans="1:13" x14ac:dyDescent="0.25">
      <c r="A285" s="206"/>
      <c r="G285" s="177"/>
      <c r="H285" s="189">
        <v>280</v>
      </c>
      <c r="I285" s="190" t="str">
        <f t="shared" si="18"/>
        <v/>
      </c>
      <c r="J285" s="189" t="e">
        <f t="shared" si="21"/>
        <v>#NUM!</v>
      </c>
      <c r="K285" s="189" t="e">
        <f t="shared" si="19"/>
        <v>#NUM!</v>
      </c>
      <c r="L285" s="189"/>
      <c r="M285" s="191">
        <f t="shared" si="20"/>
        <v>0</v>
      </c>
    </row>
    <row r="286" spans="1:13" x14ac:dyDescent="0.25">
      <c r="A286" s="206"/>
      <c r="G286" s="177"/>
      <c r="H286" s="189">
        <v>281</v>
      </c>
      <c r="I286" s="190" t="str">
        <f t="shared" si="18"/>
        <v/>
      </c>
      <c r="J286" s="189" t="e">
        <f t="shared" si="21"/>
        <v>#NUM!</v>
      </c>
      <c r="K286" s="189" t="e">
        <f t="shared" si="19"/>
        <v>#NUM!</v>
      </c>
      <c r="L286" s="189"/>
      <c r="M286" s="191">
        <f t="shared" si="20"/>
        <v>0</v>
      </c>
    </row>
    <row r="287" spans="1:13" x14ac:dyDescent="0.25">
      <c r="A287" s="206"/>
      <c r="G287" s="177"/>
      <c r="H287" s="189">
        <v>282</v>
      </c>
      <c r="I287" s="190" t="str">
        <f t="shared" si="18"/>
        <v/>
      </c>
      <c r="J287" s="189" t="e">
        <f t="shared" si="21"/>
        <v>#NUM!</v>
      </c>
      <c r="K287" s="189" t="e">
        <f t="shared" si="19"/>
        <v>#NUM!</v>
      </c>
      <c r="L287" s="189"/>
      <c r="M287" s="191">
        <f t="shared" si="20"/>
        <v>0</v>
      </c>
    </row>
    <row r="288" spans="1:13" x14ac:dyDescent="0.25">
      <c r="A288" s="206"/>
      <c r="G288" s="177"/>
      <c r="H288" s="189">
        <v>283</v>
      </c>
      <c r="I288" s="190" t="str">
        <f t="shared" si="18"/>
        <v/>
      </c>
      <c r="J288" s="189" t="e">
        <f t="shared" si="21"/>
        <v>#NUM!</v>
      </c>
      <c r="K288" s="189" t="e">
        <f t="shared" si="19"/>
        <v>#NUM!</v>
      </c>
      <c r="L288" s="189"/>
      <c r="M288" s="191">
        <f t="shared" si="20"/>
        <v>0</v>
      </c>
    </row>
    <row r="289" spans="1:13" x14ac:dyDescent="0.25">
      <c r="A289" s="206"/>
      <c r="G289" s="177"/>
      <c r="H289" s="189">
        <v>284</v>
      </c>
      <c r="I289" s="190" t="str">
        <f t="shared" si="18"/>
        <v/>
      </c>
      <c r="J289" s="189" t="e">
        <f t="shared" si="21"/>
        <v>#NUM!</v>
      </c>
      <c r="K289" s="189" t="e">
        <f t="shared" si="19"/>
        <v>#NUM!</v>
      </c>
      <c r="L289" s="189"/>
      <c r="M289" s="191">
        <f t="shared" si="20"/>
        <v>0</v>
      </c>
    </row>
    <row r="290" spans="1:13" x14ac:dyDescent="0.25">
      <c r="A290" s="206"/>
      <c r="G290" s="177"/>
      <c r="H290" s="189">
        <v>285</v>
      </c>
      <c r="I290" s="190" t="str">
        <f t="shared" si="18"/>
        <v/>
      </c>
      <c r="J290" s="189" t="e">
        <f t="shared" si="21"/>
        <v>#NUM!</v>
      </c>
      <c r="K290" s="189" t="e">
        <f t="shared" si="19"/>
        <v>#NUM!</v>
      </c>
      <c r="L290" s="189"/>
      <c r="M290" s="191">
        <f t="shared" si="20"/>
        <v>0</v>
      </c>
    </row>
    <row r="291" spans="1:13" x14ac:dyDescent="0.25">
      <c r="A291" s="206"/>
      <c r="G291" s="177"/>
      <c r="H291" s="189">
        <v>286</v>
      </c>
      <c r="I291" s="190" t="str">
        <f t="shared" si="18"/>
        <v/>
      </c>
      <c r="J291" s="189" t="e">
        <f t="shared" si="21"/>
        <v>#NUM!</v>
      </c>
      <c r="K291" s="189" t="e">
        <f t="shared" si="19"/>
        <v>#NUM!</v>
      </c>
      <c r="L291" s="189"/>
      <c r="M291" s="191">
        <f t="shared" si="20"/>
        <v>0</v>
      </c>
    </row>
    <row r="292" spans="1:13" x14ac:dyDescent="0.25">
      <c r="A292" s="206"/>
      <c r="G292" s="177"/>
      <c r="H292" s="189">
        <v>287</v>
      </c>
      <c r="I292" s="190" t="str">
        <f t="shared" si="18"/>
        <v/>
      </c>
      <c r="J292" s="189" t="e">
        <f t="shared" si="21"/>
        <v>#NUM!</v>
      </c>
      <c r="K292" s="189" t="e">
        <f t="shared" si="19"/>
        <v>#NUM!</v>
      </c>
      <c r="L292" s="189"/>
      <c r="M292" s="191">
        <f t="shared" si="20"/>
        <v>0</v>
      </c>
    </row>
    <row r="293" spans="1:13" x14ac:dyDescent="0.25">
      <c r="A293" s="206"/>
      <c r="G293" s="177"/>
      <c r="H293" s="189">
        <v>288</v>
      </c>
      <c r="I293" s="190" t="str">
        <f t="shared" si="18"/>
        <v/>
      </c>
      <c r="J293" s="189" t="e">
        <f t="shared" si="21"/>
        <v>#NUM!</v>
      </c>
      <c r="K293" s="189" t="e">
        <f t="shared" si="19"/>
        <v>#NUM!</v>
      </c>
      <c r="L293" s="189"/>
      <c r="M293" s="191">
        <f t="shared" si="20"/>
        <v>0</v>
      </c>
    </row>
    <row r="294" spans="1:13" x14ac:dyDescent="0.25">
      <c r="A294" s="206"/>
      <c r="G294" s="177"/>
      <c r="H294" s="189">
        <v>289</v>
      </c>
      <c r="I294" s="190" t="str">
        <f t="shared" si="18"/>
        <v/>
      </c>
      <c r="J294" s="189" t="e">
        <f t="shared" si="21"/>
        <v>#NUM!</v>
      </c>
      <c r="K294" s="189" t="e">
        <f t="shared" si="19"/>
        <v>#NUM!</v>
      </c>
      <c r="L294" s="189"/>
      <c r="M294" s="191">
        <f t="shared" si="20"/>
        <v>0</v>
      </c>
    </row>
    <row r="295" spans="1:13" x14ac:dyDescent="0.25">
      <c r="A295" s="206"/>
      <c r="G295" s="177"/>
      <c r="H295" s="189">
        <v>290</v>
      </c>
      <c r="I295" s="190" t="str">
        <f t="shared" si="18"/>
        <v/>
      </c>
      <c r="J295" s="189" t="e">
        <f t="shared" si="21"/>
        <v>#NUM!</v>
      </c>
      <c r="K295" s="189" t="e">
        <f t="shared" si="19"/>
        <v>#NUM!</v>
      </c>
      <c r="L295" s="189"/>
      <c r="M295" s="191">
        <f t="shared" si="20"/>
        <v>0</v>
      </c>
    </row>
    <row r="296" spans="1:13" x14ac:dyDescent="0.25">
      <c r="A296" s="206"/>
      <c r="G296" s="177"/>
      <c r="H296" s="189">
        <v>291</v>
      </c>
      <c r="I296" s="190" t="str">
        <f t="shared" si="18"/>
        <v/>
      </c>
      <c r="J296" s="189" t="e">
        <f t="shared" si="21"/>
        <v>#NUM!</v>
      </c>
      <c r="K296" s="189" t="e">
        <f t="shared" si="19"/>
        <v>#NUM!</v>
      </c>
      <c r="L296" s="189"/>
      <c r="M296" s="191">
        <f t="shared" si="20"/>
        <v>0</v>
      </c>
    </row>
    <row r="297" spans="1:13" x14ac:dyDescent="0.25">
      <c r="A297" s="206"/>
      <c r="G297" s="177"/>
      <c r="H297" s="189">
        <v>292</v>
      </c>
      <c r="I297" s="190" t="str">
        <f t="shared" si="18"/>
        <v/>
      </c>
      <c r="J297" s="189" t="e">
        <f t="shared" si="21"/>
        <v>#NUM!</v>
      </c>
      <c r="K297" s="189" t="e">
        <f t="shared" si="19"/>
        <v>#NUM!</v>
      </c>
      <c r="L297" s="189"/>
      <c r="M297" s="191">
        <f t="shared" si="20"/>
        <v>0</v>
      </c>
    </row>
    <row r="298" spans="1:13" x14ac:dyDescent="0.25">
      <c r="A298" s="206"/>
      <c r="G298" s="177"/>
      <c r="H298" s="189">
        <v>293</v>
      </c>
      <c r="I298" s="190" t="str">
        <f t="shared" si="18"/>
        <v/>
      </c>
      <c r="J298" s="189" t="e">
        <f t="shared" si="21"/>
        <v>#NUM!</v>
      </c>
      <c r="K298" s="189" t="e">
        <f t="shared" si="19"/>
        <v>#NUM!</v>
      </c>
      <c r="L298" s="189"/>
      <c r="M298" s="191">
        <f t="shared" si="20"/>
        <v>0</v>
      </c>
    </row>
    <row r="299" spans="1:13" x14ac:dyDescent="0.25">
      <c r="A299" s="206"/>
      <c r="G299" s="177"/>
      <c r="H299" s="189">
        <v>294</v>
      </c>
      <c r="I299" s="190" t="str">
        <f t="shared" si="18"/>
        <v/>
      </c>
      <c r="J299" s="189" t="e">
        <f t="shared" si="21"/>
        <v>#NUM!</v>
      </c>
      <c r="K299" s="189" t="e">
        <f t="shared" si="19"/>
        <v>#NUM!</v>
      </c>
      <c r="L299" s="189"/>
      <c r="M299" s="191">
        <f t="shared" si="20"/>
        <v>0</v>
      </c>
    </row>
    <row r="300" spans="1:13" x14ac:dyDescent="0.25">
      <c r="A300" s="206"/>
      <c r="G300" s="177"/>
      <c r="H300" s="189">
        <v>295</v>
      </c>
      <c r="I300" s="190" t="str">
        <f t="shared" si="18"/>
        <v/>
      </c>
      <c r="J300" s="189" t="e">
        <f t="shared" si="21"/>
        <v>#NUM!</v>
      </c>
      <c r="K300" s="189" t="e">
        <f t="shared" si="19"/>
        <v>#NUM!</v>
      </c>
      <c r="L300" s="189"/>
      <c r="M300" s="191">
        <f t="shared" si="20"/>
        <v>0</v>
      </c>
    </row>
    <row r="301" spans="1:13" x14ac:dyDescent="0.25">
      <c r="A301" s="206"/>
      <c r="G301" s="177"/>
      <c r="H301" s="189">
        <v>296</v>
      </c>
      <c r="I301" s="190" t="str">
        <f t="shared" si="18"/>
        <v/>
      </c>
      <c r="J301" s="189" t="e">
        <f t="shared" si="21"/>
        <v>#NUM!</v>
      </c>
      <c r="K301" s="189" t="e">
        <f t="shared" si="19"/>
        <v>#NUM!</v>
      </c>
      <c r="L301" s="189"/>
      <c r="M301" s="191">
        <f t="shared" si="20"/>
        <v>0</v>
      </c>
    </row>
    <row r="302" spans="1:13" x14ac:dyDescent="0.25">
      <c r="A302" s="206"/>
      <c r="G302" s="177"/>
      <c r="H302" s="189">
        <v>297</v>
      </c>
      <c r="I302" s="190" t="str">
        <f t="shared" si="18"/>
        <v/>
      </c>
      <c r="J302" s="189" t="e">
        <f t="shared" si="21"/>
        <v>#NUM!</v>
      </c>
      <c r="K302" s="189" t="e">
        <f t="shared" si="19"/>
        <v>#NUM!</v>
      </c>
      <c r="L302" s="189"/>
      <c r="M302" s="191">
        <f t="shared" si="20"/>
        <v>0</v>
      </c>
    </row>
    <row r="303" spans="1:13" x14ac:dyDescent="0.25">
      <c r="A303" s="206"/>
      <c r="G303" s="177"/>
      <c r="H303" s="189">
        <v>298</v>
      </c>
      <c r="I303" s="190" t="str">
        <f t="shared" si="18"/>
        <v/>
      </c>
      <c r="J303" s="189" t="e">
        <f t="shared" si="21"/>
        <v>#NUM!</v>
      </c>
      <c r="K303" s="189" t="e">
        <f t="shared" si="19"/>
        <v>#NUM!</v>
      </c>
      <c r="L303" s="189"/>
      <c r="M303" s="191">
        <f t="shared" si="20"/>
        <v>0</v>
      </c>
    </row>
    <row r="304" spans="1:13" x14ac:dyDescent="0.25">
      <c r="A304" s="206"/>
      <c r="G304" s="177"/>
      <c r="H304" s="189">
        <v>299</v>
      </c>
      <c r="I304" s="190" t="str">
        <f t="shared" si="18"/>
        <v/>
      </c>
      <c r="J304" s="189" t="e">
        <f t="shared" si="21"/>
        <v>#NUM!</v>
      </c>
      <c r="K304" s="189" t="e">
        <f t="shared" si="19"/>
        <v>#NUM!</v>
      </c>
      <c r="L304" s="189"/>
      <c r="M304" s="191">
        <f t="shared" si="20"/>
        <v>0</v>
      </c>
    </row>
    <row r="305" spans="1:16" x14ac:dyDescent="0.25">
      <c r="A305" s="206"/>
      <c r="G305" s="177"/>
      <c r="H305" s="189">
        <v>300</v>
      </c>
      <c r="I305" s="190" t="str">
        <f t="shared" si="18"/>
        <v/>
      </c>
      <c r="J305" s="189" t="e">
        <f t="shared" si="21"/>
        <v>#NUM!</v>
      </c>
      <c r="K305" s="189" t="e">
        <f t="shared" si="19"/>
        <v>#NUM!</v>
      </c>
      <c r="L305" s="189"/>
      <c r="M305" s="191">
        <f t="shared" si="20"/>
        <v>0</v>
      </c>
    </row>
    <row r="306" spans="1:16" x14ac:dyDescent="0.25">
      <c r="A306" s="207"/>
      <c r="J306" s="208" t="e">
        <f t="shared" si="21"/>
        <v>#NUM!</v>
      </c>
    </row>
    <row r="307" spans="1:16" x14ac:dyDescent="0.25">
      <c r="J307" s="208" t="e">
        <f t="shared" si="21"/>
        <v>#NUM!</v>
      </c>
    </row>
    <row r="308" spans="1:16" x14ac:dyDescent="0.25">
      <c r="J308" s="208" t="e">
        <f t="shared" si="21"/>
        <v>#NUM!</v>
      </c>
    </row>
    <row r="309" spans="1:16" x14ac:dyDescent="0.25">
      <c r="J309" s="208" t="e">
        <f t="shared" si="21"/>
        <v>#NUM!</v>
      </c>
    </row>
    <row r="310" spans="1:16" x14ac:dyDescent="0.25">
      <c r="J310" s="208" t="e">
        <f t="shared" si="21"/>
        <v>#NUM!</v>
      </c>
    </row>
    <row r="311" spans="1:16" x14ac:dyDescent="0.25">
      <c r="J311" s="208" t="e">
        <f t="shared" si="21"/>
        <v>#NUM!</v>
      </c>
    </row>
    <row r="312" spans="1:16" x14ac:dyDescent="0.25">
      <c r="J312" s="208" t="e">
        <f t="shared" si="21"/>
        <v>#NUM!</v>
      </c>
    </row>
    <row r="313" spans="1:16" x14ac:dyDescent="0.25">
      <c r="J313" s="208" t="e">
        <f t="shared" si="21"/>
        <v>#NUM!</v>
      </c>
    </row>
    <row r="314" spans="1:16" x14ac:dyDescent="0.25">
      <c r="J314" s="208" t="e">
        <f t="shared" si="21"/>
        <v>#NUM!</v>
      </c>
      <c r="L314" s="210"/>
      <c r="P314" s="200"/>
    </row>
    <row r="315" spans="1:16" x14ac:dyDescent="0.25">
      <c r="J315" s="208" t="e">
        <f t="shared" si="21"/>
        <v>#NUM!</v>
      </c>
      <c r="L315" s="210"/>
      <c r="P315" s="200"/>
    </row>
    <row r="316" spans="1:16" x14ac:dyDescent="0.25">
      <c r="J316" s="208" t="e">
        <f t="shared" si="21"/>
        <v>#NUM!</v>
      </c>
      <c r="L316" s="210"/>
      <c r="P316" s="200"/>
    </row>
    <row r="317" spans="1:16" x14ac:dyDescent="0.25">
      <c r="J317" s="208" t="e">
        <f t="shared" si="21"/>
        <v>#NUM!</v>
      </c>
      <c r="L317" s="210"/>
      <c r="P317" s="200"/>
    </row>
    <row r="318" spans="1:16" x14ac:dyDescent="0.25">
      <c r="J318" s="208" t="e">
        <f t="shared" si="21"/>
        <v>#NUM!</v>
      </c>
    </row>
    <row r="319" spans="1:16" x14ac:dyDescent="0.25">
      <c r="J319" s="208" t="e">
        <f t="shared" si="21"/>
        <v>#NUM!</v>
      </c>
    </row>
    <row r="320" spans="1:16" x14ac:dyDescent="0.25">
      <c r="J320" s="208" t="e">
        <f t="shared" si="21"/>
        <v>#NUM!</v>
      </c>
    </row>
    <row r="321" spans="10:10" x14ac:dyDescent="0.25">
      <c r="J321" s="208" t="e">
        <f t="shared" si="21"/>
        <v>#NUM!</v>
      </c>
    </row>
    <row r="322" spans="10:10" x14ac:dyDescent="0.25">
      <c r="J322" s="208" t="e">
        <f t="shared" si="21"/>
        <v>#NUM!</v>
      </c>
    </row>
    <row r="323" spans="10:10" x14ac:dyDescent="0.25">
      <c r="J323" s="208" t="e">
        <f t="shared" si="21"/>
        <v>#NUM!</v>
      </c>
    </row>
    <row r="324" spans="10:10" x14ac:dyDescent="0.25">
      <c r="J324" s="208" t="e">
        <f t="shared" si="21"/>
        <v>#NUM!</v>
      </c>
    </row>
    <row r="325" spans="10:10" x14ac:dyDescent="0.25">
      <c r="J325" s="208" t="e">
        <f t="shared" si="21"/>
        <v>#NUM!</v>
      </c>
    </row>
    <row r="326" spans="10:10" x14ac:dyDescent="0.25">
      <c r="J326" s="208" t="e">
        <f t="shared" si="21"/>
        <v>#NUM!</v>
      </c>
    </row>
    <row r="327" spans="10:10" x14ac:dyDescent="0.25">
      <c r="J327" s="20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8" t="e">
        <f t="shared" si="22"/>
        <v>#NUM!</v>
      </c>
    </row>
    <row r="329" spans="10:10" x14ac:dyDescent="0.25">
      <c r="J329" s="208" t="e">
        <f t="shared" si="22"/>
        <v>#NUM!</v>
      </c>
    </row>
    <row r="330" spans="10:10" x14ac:dyDescent="0.25">
      <c r="J330" s="208" t="e">
        <f t="shared" si="22"/>
        <v>#NUM!</v>
      </c>
    </row>
    <row r="331" spans="10:10" x14ac:dyDescent="0.25">
      <c r="J331" s="208" t="e">
        <f t="shared" si="22"/>
        <v>#NUM!</v>
      </c>
    </row>
    <row r="332" spans="10:10" x14ac:dyDescent="0.25">
      <c r="J332" s="208" t="e">
        <f t="shared" si="22"/>
        <v>#NUM!</v>
      </c>
    </row>
    <row r="333" spans="10:10" x14ac:dyDescent="0.25">
      <c r="J333" s="208" t="e">
        <f t="shared" si="22"/>
        <v>#NUM!</v>
      </c>
    </row>
    <row r="334" spans="10:10" x14ac:dyDescent="0.25">
      <c r="J334" s="208" t="e">
        <f t="shared" si="22"/>
        <v>#NUM!</v>
      </c>
    </row>
    <row r="335" spans="10:10" x14ac:dyDescent="0.25">
      <c r="J335" s="208" t="e">
        <f t="shared" si="22"/>
        <v>#NUM!</v>
      </c>
    </row>
    <row r="336" spans="10:10" x14ac:dyDescent="0.25">
      <c r="J336" s="208" t="e">
        <f t="shared" si="22"/>
        <v>#NUM!</v>
      </c>
    </row>
    <row r="337" spans="10:10" x14ac:dyDescent="0.25">
      <c r="J337" s="208" t="e">
        <f t="shared" si="22"/>
        <v>#NUM!</v>
      </c>
    </row>
    <row r="338" spans="10:10" x14ac:dyDescent="0.25">
      <c r="J338" s="208" t="e">
        <f t="shared" si="22"/>
        <v>#NUM!</v>
      </c>
    </row>
    <row r="339" spans="10:10" x14ac:dyDescent="0.25">
      <c r="J339" s="208" t="e">
        <f t="shared" si="22"/>
        <v>#NUM!</v>
      </c>
    </row>
    <row r="340" spans="10:10" x14ac:dyDescent="0.25">
      <c r="J340" s="208" t="e">
        <f t="shared" si="22"/>
        <v>#NUM!</v>
      </c>
    </row>
    <row r="341" spans="10:10" x14ac:dyDescent="0.25">
      <c r="J341" s="208" t="e">
        <f t="shared" si="22"/>
        <v>#NUM!</v>
      </c>
    </row>
    <row r="342" spans="10:10" x14ac:dyDescent="0.25">
      <c r="J342" s="208" t="e">
        <f t="shared" si="22"/>
        <v>#NUM!</v>
      </c>
    </row>
    <row r="343" spans="10:10" x14ac:dyDescent="0.25">
      <c r="J343" s="208" t="e">
        <f t="shared" si="22"/>
        <v>#NUM!</v>
      </c>
    </row>
    <row r="344" spans="10:10" x14ac:dyDescent="0.25">
      <c r="J344" s="208" t="e">
        <f t="shared" si="22"/>
        <v>#NUM!</v>
      </c>
    </row>
    <row r="345" spans="10:10" x14ac:dyDescent="0.25">
      <c r="J345" s="208" t="e">
        <f t="shared" si="22"/>
        <v>#NUM!</v>
      </c>
    </row>
    <row r="346" spans="10:10" x14ac:dyDescent="0.25">
      <c r="J346" s="208" t="e">
        <f t="shared" si="22"/>
        <v>#NUM!</v>
      </c>
    </row>
    <row r="347" spans="10:10" x14ac:dyDescent="0.25">
      <c r="J347" s="208" t="e">
        <f t="shared" si="22"/>
        <v>#NUM!</v>
      </c>
    </row>
    <row r="348" spans="10:10" x14ac:dyDescent="0.25">
      <c r="J348" s="208" t="e">
        <f t="shared" si="22"/>
        <v>#NUM!</v>
      </c>
    </row>
    <row r="349" spans="10:10" x14ac:dyDescent="0.25">
      <c r="J349" s="208" t="e">
        <f t="shared" si="22"/>
        <v>#NUM!</v>
      </c>
    </row>
    <row r="350" spans="10:10" x14ac:dyDescent="0.25">
      <c r="J350" s="208" t="e">
        <f t="shared" si="22"/>
        <v>#NUM!</v>
      </c>
    </row>
    <row r="351" spans="10:10" x14ac:dyDescent="0.25">
      <c r="J351" s="208" t="e">
        <f t="shared" si="22"/>
        <v>#NUM!</v>
      </c>
    </row>
    <row r="352" spans="10:10" x14ac:dyDescent="0.25">
      <c r="J352" s="208" t="e">
        <f t="shared" si="22"/>
        <v>#NUM!</v>
      </c>
    </row>
    <row r="353" spans="10:10" x14ac:dyDescent="0.25">
      <c r="J353" s="208" t="e">
        <f t="shared" si="22"/>
        <v>#NUM!</v>
      </c>
    </row>
    <row r="354" spans="10:10" x14ac:dyDescent="0.25">
      <c r="J354" s="208" t="e">
        <f t="shared" si="22"/>
        <v>#NUM!</v>
      </c>
    </row>
    <row r="355" spans="10:10" x14ac:dyDescent="0.25">
      <c r="J355" s="208" t="e">
        <f t="shared" si="22"/>
        <v>#NUM!</v>
      </c>
    </row>
    <row r="356" spans="10:10" x14ac:dyDescent="0.25">
      <c r="J356" s="208" t="e">
        <f t="shared" si="22"/>
        <v>#NUM!</v>
      </c>
    </row>
    <row r="357" spans="10:10" x14ac:dyDescent="0.25">
      <c r="J357" s="208" t="e">
        <f t="shared" si="22"/>
        <v>#NUM!</v>
      </c>
    </row>
    <row r="358" spans="10:10" x14ac:dyDescent="0.25">
      <c r="J358" s="208" t="e">
        <f t="shared" si="22"/>
        <v>#NUM!</v>
      </c>
    </row>
    <row r="359" spans="10:10" x14ac:dyDescent="0.25">
      <c r="J359" s="208" t="e">
        <f t="shared" si="22"/>
        <v>#NUM!</v>
      </c>
    </row>
    <row r="360" spans="10:10" x14ac:dyDescent="0.25">
      <c r="J360" s="208" t="e">
        <f t="shared" si="22"/>
        <v>#NUM!</v>
      </c>
    </row>
    <row r="361" spans="10:10" x14ac:dyDescent="0.25">
      <c r="J361" s="208" t="e">
        <f t="shared" si="22"/>
        <v>#NUM!</v>
      </c>
    </row>
    <row r="362" spans="10:10" x14ac:dyDescent="0.25">
      <c r="J362" s="208" t="e">
        <f t="shared" si="22"/>
        <v>#NUM!</v>
      </c>
    </row>
    <row r="363" spans="10:10" x14ac:dyDescent="0.25">
      <c r="J363" s="208" t="e">
        <f t="shared" si="22"/>
        <v>#NUM!</v>
      </c>
    </row>
    <row r="364" spans="10:10" x14ac:dyDescent="0.25">
      <c r="J364" s="208" t="e">
        <f t="shared" si="22"/>
        <v>#NUM!</v>
      </c>
    </row>
    <row r="365" spans="10:10" x14ac:dyDescent="0.25">
      <c r="J365" s="208" t="e">
        <f t="shared" si="22"/>
        <v>#NUM!</v>
      </c>
    </row>
    <row r="366" spans="10:10" x14ac:dyDescent="0.25">
      <c r="J366" s="208" t="e">
        <f t="shared" si="22"/>
        <v>#NUM!</v>
      </c>
    </row>
    <row r="367" spans="10:10" x14ac:dyDescent="0.25">
      <c r="J367" s="208" t="e">
        <f t="shared" si="22"/>
        <v>#NUM!</v>
      </c>
    </row>
    <row r="368" spans="10:10" x14ac:dyDescent="0.25">
      <c r="J368" s="208" t="e">
        <f t="shared" si="22"/>
        <v>#NUM!</v>
      </c>
    </row>
    <row r="369" spans="10:10" x14ac:dyDescent="0.25">
      <c r="J369" s="208" t="e">
        <f t="shared" si="22"/>
        <v>#NUM!</v>
      </c>
    </row>
    <row r="370" spans="10:10" x14ac:dyDescent="0.25">
      <c r="J370" s="208" t="e">
        <f t="shared" si="22"/>
        <v>#NUM!</v>
      </c>
    </row>
    <row r="371" spans="10:10" x14ac:dyDescent="0.25">
      <c r="J371" s="208" t="e">
        <f t="shared" si="22"/>
        <v>#NUM!</v>
      </c>
    </row>
    <row r="372" spans="10:10" x14ac:dyDescent="0.25">
      <c r="J372" s="208" t="e">
        <f t="shared" si="22"/>
        <v>#NUM!</v>
      </c>
    </row>
    <row r="373" spans="10:10" x14ac:dyDescent="0.25">
      <c r="J373" s="208" t="e">
        <f t="shared" si="22"/>
        <v>#NUM!</v>
      </c>
    </row>
    <row r="374" spans="10:10" x14ac:dyDescent="0.25">
      <c r="J374" s="208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A7230F23-EECF-4977-9B99-78BEC017448E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1555-333E-4504-BE78-765D49681311}">
  <sheetPr>
    <tabColor rgb="FF92D050"/>
  </sheetPr>
  <dimension ref="A1:AL317"/>
  <sheetViews>
    <sheetView workbookViewId="0">
      <selection activeCell="D21" sqref="D21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26</v>
      </c>
      <c r="I1" s="179" t="s">
        <v>27</v>
      </c>
      <c r="J1" s="179" t="s">
        <v>28</v>
      </c>
      <c r="K1" s="180" t="s">
        <v>124</v>
      </c>
      <c r="L1" s="181"/>
      <c r="M1" s="181"/>
    </row>
    <row r="2" spans="1:36" x14ac:dyDescent="0.25">
      <c r="A2" s="177"/>
      <c r="B2" s="22" t="s">
        <v>30</v>
      </c>
      <c r="C2" s="264" t="s">
        <v>144</v>
      </c>
      <c r="D2" s="75"/>
      <c r="E2" s="23"/>
      <c r="F2" s="23"/>
      <c r="G2" s="23"/>
      <c r="H2" s="183">
        <v>0</v>
      </c>
      <c r="I2" s="184">
        <v>50</v>
      </c>
      <c r="J2" s="184">
        <v>10</v>
      </c>
      <c r="K2" s="185">
        <f>3*H2^(1/3)</f>
        <v>0</v>
      </c>
      <c r="L2" s="181"/>
      <c r="M2" s="181"/>
    </row>
    <row r="3" spans="1:36" x14ac:dyDescent="0.25">
      <c r="A3" s="177"/>
      <c r="B3" s="186" t="s">
        <v>32</v>
      </c>
      <c r="C3" s="76" t="s">
        <v>145</v>
      </c>
      <c r="D3" s="76"/>
      <c r="E3" s="28"/>
      <c r="F3" s="28"/>
      <c r="G3" s="28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30"/>
      <c r="B4" s="28"/>
      <c r="C4" s="30"/>
      <c r="D4" s="30"/>
      <c r="E4" s="30"/>
      <c r="F4" s="30"/>
      <c r="G4" s="30"/>
      <c r="H4" s="181"/>
      <c r="I4" s="181"/>
      <c r="J4" s="212"/>
      <c r="K4" s="181"/>
      <c r="L4" s="181"/>
      <c r="M4" s="181"/>
    </row>
    <row r="5" spans="1:36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187" t="s">
        <v>40</v>
      </c>
      <c r="I5" s="188" t="s">
        <v>41</v>
      </c>
      <c r="J5" s="213" t="s">
        <v>42</v>
      </c>
      <c r="K5" s="188" t="s">
        <v>43</v>
      </c>
      <c r="L5" s="188" t="s">
        <v>44</v>
      </c>
      <c r="M5" s="187" t="s">
        <v>45</v>
      </c>
    </row>
    <row r="6" spans="1:36" ht="14.45" customHeight="1" x14ac:dyDescent="0.25">
      <c r="A6" s="102">
        <f>M6</f>
        <v>0</v>
      </c>
      <c r="B6" s="36" t="str">
        <f t="shared" ref="B6:B69" si="0">IF(H6&gt;$H$2,"",(ROW()-5))</f>
        <v/>
      </c>
      <c r="C6" s="37"/>
      <c r="D6" s="37"/>
      <c r="E6" s="37"/>
      <c r="F6" s="37"/>
      <c r="G6" s="30"/>
      <c r="H6" s="189">
        <v>1</v>
      </c>
      <c r="I6" s="190" t="str">
        <f t="shared" ref="I6:I69" si="1">IF(H6&lt;$H$2+1,($I$2-($I$2-1)*(LOG(H6)/LOG($H$2))),"")</f>
        <v/>
      </c>
      <c r="J6" s="189" t="e">
        <f>INT(LOG($H$2,2))-ROUNDUP(LOG(H6,2),0)+IF(OR($H$2=1,$H$2=2,$H$2=4,$H$2=8,$H$2=16,$H$2=32,$H$2=64,$H$2=128,$H$2=256),0,1)</f>
        <v>#NUM!</v>
      </c>
      <c r="K6" s="189" t="e">
        <f t="shared" ref="K6:K69" si="2">J6*$J$2</f>
        <v>#NUM!</v>
      </c>
      <c r="L6" s="191">
        <f>3*K2</f>
        <v>0</v>
      </c>
      <c r="M6" s="191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2" t="str">
        <f t="shared" si="0"/>
        <v/>
      </c>
      <c r="C7" s="43"/>
      <c r="D7" s="43"/>
      <c r="E7" s="43"/>
      <c r="F7" s="43"/>
      <c r="G7" s="30"/>
      <c r="H7" s="192">
        <v>2</v>
      </c>
      <c r="I7" s="193" t="str">
        <f t="shared" si="1"/>
        <v/>
      </c>
      <c r="J7" s="192" t="e">
        <f t="shared" ref="J7:J70" si="5">INT(LOG($H$2,2))-ROUNDUP(LOG(H7,2),0)+IF(OR($H$2=1,$H$2=2,$H$2=4,$H$2=8,$H$2=16,$H$2=32,$H$2=64,$H$2=128,$H$2=256),0,1)</f>
        <v>#NUM!</v>
      </c>
      <c r="K7" s="192" t="e">
        <f t="shared" si="2"/>
        <v>#NUM!</v>
      </c>
      <c r="L7" s="194">
        <f>2*K2</f>
        <v>0</v>
      </c>
      <c r="M7" s="194">
        <f t="shared" si="3"/>
        <v>0</v>
      </c>
    </row>
    <row r="8" spans="1:36" ht="14.45" customHeight="1" x14ac:dyDescent="0.25">
      <c r="A8" s="102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189">
        <v>3</v>
      </c>
      <c r="I8" s="190" t="str">
        <f t="shared" si="1"/>
        <v/>
      </c>
      <c r="J8" s="189" t="e">
        <f t="shared" si="5"/>
        <v>#NUM!</v>
      </c>
      <c r="K8" s="189" t="e">
        <f t="shared" si="2"/>
        <v>#NUM!</v>
      </c>
      <c r="L8" s="191">
        <f>K2</f>
        <v>0</v>
      </c>
      <c r="M8" s="191">
        <f t="shared" si="3"/>
        <v>0</v>
      </c>
    </row>
    <row r="9" spans="1:36" s="182" customFormat="1" ht="14.45" customHeight="1" x14ac:dyDescent="0.25">
      <c r="A9" s="106">
        <f t="shared" si="4"/>
        <v>0</v>
      </c>
      <c r="B9" s="42" t="str">
        <f>IF(H9&gt;$H$2,"",3)</f>
        <v/>
      </c>
      <c r="C9" s="43"/>
      <c r="D9" s="43"/>
      <c r="E9" s="43"/>
      <c r="F9" s="43"/>
      <c r="G9" s="30"/>
      <c r="H9" s="192">
        <v>3</v>
      </c>
      <c r="I9" s="193" t="str">
        <f t="shared" si="1"/>
        <v/>
      </c>
      <c r="J9" s="192" t="e">
        <f t="shared" si="5"/>
        <v>#NUM!</v>
      </c>
      <c r="K9" s="192" t="e">
        <f t="shared" si="2"/>
        <v>#NUM!</v>
      </c>
      <c r="L9" s="194">
        <f>K2</f>
        <v>0</v>
      </c>
      <c r="M9" s="194">
        <f t="shared" si="3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53</v>
      </c>
      <c r="AI9" s="182">
        <v>23</v>
      </c>
    </row>
    <row r="10" spans="1:36" ht="14.45" customHeight="1" x14ac:dyDescent="0.25">
      <c r="A10" s="102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189">
        <v>5</v>
      </c>
      <c r="I10" s="190" t="str">
        <f t="shared" si="1"/>
        <v/>
      </c>
      <c r="J10" s="189" t="e">
        <f t="shared" si="5"/>
        <v>#NUM!</v>
      </c>
      <c r="K10" s="189" t="e">
        <f t="shared" si="2"/>
        <v>#NUM!</v>
      </c>
      <c r="L10" s="189"/>
      <c r="M10" s="191">
        <f t="shared" si="3"/>
        <v>0</v>
      </c>
      <c r="V10" s="195"/>
      <c r="Z10" s="196"/>
      <c r="AA10" s="196"/>
      <c r="AG10" s="197"/>
      <c r="AH10" s="182" t="s">
        <v>55</v>
      </c>
      <c r="AI10" s="182">
        <v>45</v>
      </c>
    </row>
    <row r="11" spans="1:36" ht="14.45" customHeight="1" x14ac:dyDescent="0.25">
      <c r="A11" s="106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192">
        <v>6</v>
      </c>
      <c r="I11" s="193" t="str">
        <f t="shared" si="1"/>
        <v/>
      </c>
      <c r="J11" s="192" t="e">
        <f t="shared" si="5"/>
        <v>#NUM!</v>
      </c>
      <c r="K11" s="192" t="e">
        <f t="shared" si="2"/>
        <v>#NUM!</v>
      </c>
      <c r="L11" s="192"/>
      <c r="M11" s="194">
        <f t="shared" si="3"/>
        <v>0</v>
      </c>
      <c r="V11" s="198"/>
      <c r="Z11" s="196"/>
      <c r="AA11" s="196"/>
      <c r="AG11" s="197"/>
      <c r="AH11" s="182" t="s">
        <v>57</v>
      </c>
      <c r="AI11" s="182">
        <v>50</v>
      </c>
    </row>
    <row r="12" spans="1:36" ht="14.45" customHeight="1" x14ac:dyDescent="0.25">
      <c r="A12" s="102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189">
        <v>7</v>
      </c>
      <c r="I12" s="190" t="str">
        <f t="shared" si="1"/>
        <v/>
      </c>
      <c r="J12" s="189" t="e">
        <f t="shared" si="5"/>
        <v>#NUM!</v>
      </c>
      <c r="K12" s="189" t="e">
        <f t="shared" si="2"/>
        <v>#NUM!</v>
      </c>
      <c r="L12" s="189"/>
      <c r="M12" s="191">
        <f t="shared" si="3"/>
        <v>0</v>
      </c>
      <c r="Z12" s="196"/>
      <c r="AA12" s="196"/>
      <c r="AG12" s="197"/>
      <c r="AH12" s="182" t="s">
        <v>58</v>
      </c>
      <c r="AI12" s="182">
        <f>AI11-1</f>
        <v>49</v>
      </c>
    </row>
    <row r="13" spans="1:36" ht="14.45" customHeight="1" x14ac:dyDescent="0.25">
      <c r="A13" s="106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192">
        <v>8</v>
      </c>
      <c r="I13" s="193" t="str">
        <f t="shared" si="1"/>
        <v/>
      </c>
      <c r="J13" s="192" t="e">
        <f t="shared" si="5"/>
        <v>#NUM!</v>
      </c>
      <c r="K13" s="192" t="e">
        <f t="shared" si="2"/>
        <v>#NUM!</v>
      </c>
      <c r="L13" s="192"/>
      <c r="M13" s="194">
        <f t="shared" si="3"/>
        <v>0</v>
      </c>
      <c r="X13" s="195"/>
      <c r="AG13" s="197"/>
      <c r="AH13" s="182" t="s">
        <v>59</v>
      </c>
      <c r="AI13" s="182">
        <f>LOG(AI9)</f>
        <v>1.3617278360175928</v>
      </c>
    </row>
    <row r="14" spans="1:36" x14ac:dyDescent="0.25">
      <c r="A14" s="102">
        <f t="shared" si="4"/>
        <v>0</v>
      </c>
      <c r="B14" s="36" t="str">
        <f t="shared" si="0"/>
        <v/>
      </c>
      <c r="C14" s="37"/>
      <c r="D14" s="37"/>
      <c r="E14" s="37"/>
      <c r="F14" s="37"/>
      <c r="G14" s="30"/>
      <c r="H14" s="189">
        <v>9</v>
      </c>
      <c r="I14" s="190" t="str">
        <f t="shared" si="1"/>
        <v/>
      </c>
      <c r="J14" s="189" t="e">
        <f t="shared" si="5"/>
        <v>#NUM!</v>
      </c>
      <c r="K14" s="189" t="e">
        <f t="shared" si="2"/>
        <v>#NUM!</v>
      </c>
      <c r="L14" s="189"/>
      <c r="M14" s="191">
        <f t="shared" si="3"/>
        <v>0</v>
      </c>
      <c r="X14" s="199"/>
      <c r="Z14" s="196"/>
      <c r="AA14" s="196"/>
      <c r="AG14" s="197"/>
      <c r="AH14" s="182" t="s">
        <v>65</v>
      </c>
      <c r="AI14" s="182">
        <f>LOG(AI10)</f>
        <v>1.6532125137753437</v>
      </c>
    </row>
    <row r="15" spans="1:36" x14ac:dyDescent="0.25">
      <c r="A15" s="106">
        <f t="shared" si="4"/>
        <v>0</v>
      </c>
      <c r="B15" s="42" t="str">
        <f t="shared" si="0"/>
        <v/>
      </c>
      <c r="C15" s="43"/>
      <c r="D15" s="43"/>
      <c r="E15" s="43"/>
      <c r="F15" s="43"/>
      <c r="G15" s="30"/>
      <c r="H15" s="192">
        <v>10</v>
      </c>
      <c r="I15" s="193" t="str">
        <f t="shared" si="1"/>
        <v/>
      </c>
      <c r="J15" s="192" t="e">
        <f t="shared" si="5"/>
        <v>#NUM!</v>
      </c>
      <c r="K15" s="192" t="e">
        <f t="shared" si="2"/>
        <v>#NUM!</v>
      </c>
      <c r="L15" s="192"/>
      <c r="M15" s="194">
        <f t="shared" si="3"/>
        <v>0</v>
      </c>
      <c r="X15" s="195"/>
      <c r="Z15" s="196"/>
      <c r="AA15" s="196"/>
    </row>
    <row r="16" spans="1:36" x14ac:dyDescent="0.25">
      <c r="A16" s="102">
        <f t="shared" si="4"/>
        <v>0</v>
      </c>
      <c r="B16" s="36" t="str">
        <f t="shared" si="0"/>
        <v/>
      </c>
      <c r="C16" s="37"/>
      <c r="D16" s="37"/>
      <c r="E16" s="37"/>
      <c r="F16" s="37"/>
      <c r="G16" s="30"/>
      <c r="H16" s="189">
        <v>11</v>
      </c>
      <c r="I16" s="190" t="str">
        <f t="shared" si="1"/>
        <v/>
      </c>
      <c r="J16" s="189" t="e">
        <f t="shared" si="5"/>
        <v>#NUM!</v>
      </c>
      <c r="K16" s="189" t="e">
        <f t="shared" si="2"/>
        <v>#NUM!</v>
      </c>
      <c r="L16" s="189"/>
      <c r="M16" s="191">
        <f t="shared" si="3"/>
        <v>0</v>
      </c>
      <c r="R16" s="200"/>
      <c r="Z16" s="196"/>
      <c r="AA16" s="196"/>
      <c r="AH16" s="201" t="s">
        <v>61</v>
      </c>
      <c r="AI16" s="182">
        <f>AI11-AI12*AI13/AI14</f>
        <v>9.6393909380186855</v>
      </c>
      <c r="AJ16" s="182" t="s">
        <v>62</v>
      </c>
    </row>
    <row r="17" spans="1:19" x14ac:dyDescent="0.25">
      <c r="A17" s="106">
        <f t="shared" si="4"/>
        <v>0</v>
      </c>
      <c r="B17" s="42" t="str">
        <f t="shared" si="0"/>
        <v/>
      </c>
      <c r="C17" s="43"/>
      <c r="D17" s="43"/>
      <c r="E17" s="43"/>
      <c r="F17" s="43"/>
      <c r="G17" s="30"/>
      <c r="H17" s="192">
        <v>12</v>
      </c>
      <c r="I17" s="193" t="str">
        <f t="shared" si="1"/>
        <v/>
      </c>
      <c r="J17" s="192" t="e">
        <f t="shared" si="5"/>
        <v>#NUM!</v>
      </c>
      <c r="K17" s="192" t="e">
        <f t="shared" si="2"/>
        <v>#NUM!</v>
      </c>
      <c r="L17" s="192"/>
      <c r="M17" s="194">
        <f t="shared" si="3"/>
        <v>0</v>
      </c>
    </row>
    <row r="18" spans="1:19" x14ac:dyDescent="0.25">
      <c r="A18" s="102">
        <f t="shared" si="4"/>
        <v>0</v>
      </c>
      <c r="B18" s="36" t="str">
        <f t="shared" si="0"/>
        <v/>
      </c>
      <c r="C18" s="37"/>
      <c r="D18" s="37"/>
      <c r="E18" s="37"/>
      <c r="F18" s="37"/>
      <c r="G18" s="30"/>
      <c r="H18" s="189">
        <v>13</v>
      </c>
      <c r="I18" s="190" t="str">
        <f t="shared" si="1"/>
        <v/>
      </c>
      <c r="J18" s="189" t="e">
        <f t="shared" si="5"/>
        <v>#NUM!</v>
      </c>
      <c r="K18" s="189" t="e">
        <f t="shared" si="2"/>
        <v>#NUM!</v>
      </c>
      <c r="L18" s="189"/>
      <c r="M18" s="191">
        <f t="shared" si="3"/>
        <v>0</v>
      </c>
    </row>
    <row r="19" spans="1:19" x14ac:dyDescent="0.25">
      <c r="A19" s="106">
        <f t="shared" si="4"/>
        <v>0</v>
      </c>
      <c r="B19" s="42" t="str">
        <f t="shared" si="0"/>
        <v/>
      </c>
      <c r="C19" s="43"/>
      <c r="D19" s="43"/>
      <c r="E19" s="43"/>
      <c r="F19" s="43"/>
      <c r="G19" s="30"/>
      <c r="H19" s="192">
        <v>14</v>
      </c>
      <c r="I19" s="193" t="str">
        <f t="shared" si="1"/>
        <v/>
      </c>
      <c r="J19" s="192" t="e">
        <f t="shared" si="5"/>
        <v>#NUM!</v>
      </c>
      <c r="K19" s="192" t="e">
        <f t="shared" si="2"/>
        <v>#NUM!</v>
      </c>
      <c r="L19" s="192"/>
      <c r="M19" s="194">
        <f t="shared" si="3"/>
        <v>0</v>
      </c>
    </row>
    <row r="20" spans="1:19" x14ac:dyDescent="0.25">
      <c r="A20" s="102">
        <f t="shared" si="4"/>
        <v>0</v>
      </c>
      <c r="B20" s="36" t="str">
        <f t="shared" si="0"/>
        <v/>
      </c>
      <c r="C20" s="37"/>
      <c r="D20" s="37"/>
      <c r="E20" s="37"/>
      <c r="F20" s="37"/>
      <c r="G20" s="30"/>
      <c r="H20" s="189">
        <v>15</v>
      </c>
      <c r="I20" s="190" t="str">
        <f t="shared" si="1"/>
        <v/>
      </c>
      <c r="J20" s="189" t="e">
        <f t="shared" si="5"/>
        <v>#NUM!</v>
      </c>
      <c r="K20" s="189" t="e">
        <f t="shared" si="2"/>
        <v>#NUM!</v>
      </c>
      <c r="L20" s="189"/>
      <c r="M20" s="191">
        <f t="shared" si="3"/>
        <v>0</v>
      </c>
      <c r="R20" s="202"/>
      <c r="S20" s="203"/>
    </row>
    <row r="21" spans="1:19" x14ac:dyDescent="0.25">
      <c r="A21" s="106">
        <f t="shared" si="4"/>
        <v>0</v>
      </c>
      <c r="B21" s="42" t="str">
        <f t="shared" si="0"/>
        <v/>
      </c>
      <c r="C21" s="43"/>
      <c r="D21" s="43"/>
      <c r="E21" s="43"/>
      <c r="F21" s="43"/>
      <c r="G21" s="30"/>
      <c r="H21" s="192">
        <v>16</v>
      </c>
      <c r="I21" s="193" t="str">
        <f t="shared" si="1"/>
        <v/>
      </c>
      <c r="J21" s="192" t="e">
        <f t="shared" si="5"/>
        <v>#NUM!</v>
      </c>
      <c r="K21" s="192" t="e">
        <f t="shared" si="2"/>
        <v>#NUM!</v>
      </c>
      <c r="L21" s="192"/>
      <c r="M21" s="194">
        <f t="shared" si="3"/>
        <v>0</v>
      </c>
    </row>
    <row r="22" spans="1:19" x14ac:dyDescent="0.25">
      <c r="A22" s="102">
        <f t="shared" si="4"/>
        <v>0</v>
      </c>
      <c r="B22" s="36" t="str">
        <f t="shared" si="0"/>
        <v/>
      </c>
      <c r="C22" s="37"/>
      <c r="D22" s="37"/>
      <c r="E22" s="37"/>
      <c r="F22" s="37"/>
      <c r="G22" s="30"/>
      <c r="H22" s="189">
        <v>17</v>
      </c>
      <c r="I22" s="190" t="str">
        <f t="shared" si="1"/>
        <v/>
      </c>
      <c r="J22" s="189" t="e">
        <f t="shared" si="5"/>
        <v>#NUM!</v>
      </c>
      <c r="K22" s="189" t="e">
        <f t="shared" si="2"/>
        <v>#NUM!</v>
      </c>
      <c r="L22" s="189"/>
      <c r="M22" s="191">
        <f t="shared" si="3"/>
        <v>0</v>
      </c>
    </row>
    <row r="23" spans="1:19" x14ac:dyDescent="0.25">
      <c r="A23" s="106">
        <f t="shared" si="4"/>
        <v>0</v>
      </c>
      <c r="B23" s="42" t="str">
        <f t="shared" si="0"/>
        <v/>
      </c>
      <c r="C23" s="43"/>
      <c r="D23" s="43"/>
      <c r="E23" s="43"/>
      <c r="F23" s="43"/>
      <c r="G23" s="30"/>
      <c r="H23" s="192">
        <v>18</v>
      </c>
      <c r="I23" s="193" t="str">
        <f t="shared" si="1"/>
        <v/>
      </c>
      <c r="J23" s="192" t="e">
        <f t="shared" si="5"/>
        <v>#NUM!</v>
      </c>
      <c r="K23" s="192" t="e">
        <f t="shared" si="2"/>
        <v>#NUM!</v>
      </c>
      <c r="L23" s="192"/>
      <c r="M23" s="194">
        <f t="shared" si="3"/>
        <v>0</v>
      </c>
    </row>
    <row r="24" spans="1:19" x14ac:dyDescent="0.25">
      <c r="A24" s="102">
        <f t="shared" si="4"/>
        <v>0</v>
      </c>
      <c r="B24" s="36" t="str">
        <f t="shared" si="0"/>
        <v/>
      </c>
      <c r="C24" s="37"/>
      <c r="D24" s="37"/>
      <c r="E24" s="37"/>
      <c r="F24" s="37"/>
      <c r="G24" s="30"/>
      <c r="H24" s="189">
        <v>19</v>
      </c>
      <c r="I24" s="190" t="str">
        <f t="shared" si="1"/>
        <v/>
      </c>
      <c r="J24" s="189" t="e">
        <f t="shared" si="5"/>
        <v>#NUM!</v>
      </c>
      <c r="K24" s="189" t="e">
        <f t="shared" si="2"/>
        <v>#NUM!</v>
      </c>
      <c r="L24" s="189"/>
      <c r="M24" s="191">
        <f t="shared" si="3"/>
        <v>0</v>
      </c>
      <c r="R24" s="202"/>
      <c r="S24" s="203"/>
    </row>
    <row r="25" spans="1:19" x14ac:dyDescent="0.25">
      <c r="A25" s="106">
        <f t="shared" si="4"/>
        <v>0</v>
      </c>
      <c r="B25" s="42" t="str">
        <f t="shared" si="0"/>
        <v/>
      </c>
      <c r="C25" s="43"/>
      <c r="D25" s="43"/>
      <c r="E25" s="43"/>
      <c r="F25" s="43"/>
      <c r="G25" s="30"/>
      <c r="H25" s="192">
        <v>20</v>
      </c>
      <c r="I25" s="193" t="str">
        <f t="shared" si="1"/>
        <v/>
      </c>
      <c r="J25" s="192" t="e">
        <f t="shared" si="5"/>
        <v>#NUM!</v>
      </c>
      <c r="K25" s="192" t="e">
        <f t="shared" si="2"/>
        <v>#NUM!</v>
      </c>
      <c r="L25" s="192"/>
      <c r="M25" s="194">
        <f t="shared" si="3"/>
        <v>0</v>
      </c>
    </row>
    <row r="26" spans="1:19" x14ac:dyDescent="0.25">
      <c r="A26" s="102">
        <f t="shared" si="4"/>
        <v>0</v>
      </c>
      <c r="B26" s="36" t="str">
        <f t="shared" si="0"/>
        <v/>
      </c>
      <c r="C26" s="37"/>
      <c r="D26" s="37"/>
      <c r="E26" s="37"/>
      <c r="F26" s="37"/>
      <c r="G26" s="30"/>
      <c r="H26" s="189">
        <v>21</v>
      </c>
      <c r="I26" s="190" t="str">
        <f t="shared" si="1"/>
        <v/>
      </c>
      <c r="J26" s="189" t="e">
        <f t="shared" si="5"/>
        <v>#NUM!</v>
      </c>
      <c r="K26" s="189" t="e">
        <f t="shared" si="2"/>
        <v>#NUM!</v>
      </c>
      <c r="L26" s="189"/>
      <c r="M26" s="191">
        <f t="shared" si="3"/>
        <v>0</v>
      </c>
    </row>
    <row r="27" spans="1:19" x14ac:dyDescent="0.25">
      <c r="A27" s="106">
        <f t="shared" si="4"/>
        <v>0</v>
      </c>
      <c r="B27" s="42" t="str">
        <f t="shared" si="0"/>
        <v/>
      </c>
      <c r="C27" s="43"/>
      <c r="D27" s="43"/>
      <c r="E27" s="43"/>
      <c r="F27" s="43"/>
      <c r="G27" s="30"/>
      <c r="H27" s="192">
        <v>22</v>
      </c>
      <c r="I27" s="193" t="str">
        <f t="shared" si="1"/>
        <v/>
      </c>
      <c r="J27" s="192" t="e">
        <f t="shared" si="5"/>
        <v>#NUM!</v>
      </c>
      <c r="K27" s="192" t="e">
        <f t="shared" si="2"/>
        <v>#NUM!</v>
      </c>
      <c r="L27" s="192"/>
      <c r="M27" s="194">
        <f t="shared" si="3"/>
        <v>0</v>
      </c>
    </row>
    <row r="28" spans="1:19" x14ac:dyDescent="0.25">
      <c r="A28" s="102">
        <f t="shared" si="4"/>
        <v>0</v>
      </c>
      <c r="B28" s="36" t="str">
        <f t="shared" si="0"/>
        <v/>
      </c>
      <c r="C28" s="37"/>
      <c r="D28" s="37"/>
      <c r="E28" s="37"/>
      <c r="F28" s="37"/>
      <c r="G28" s="30"/>
      <c r="H28" s="189">
        <v>23</v>
      </c>
      <c r="I28" s="190" t="str">
        <f t="shared" si="1"/>
        <v/>
      </c>
      <c r="J28" s="189" t="e">
        <f t="shared" si="5"/>
        <v>#NUM!</v>
      </c>
      <c r="K28" s="189" t="e">
        <f t="shared" si="2"/>
        <v>#NUM!</v>
      </c>
      <c r="L28" s="189"/>
      <c r="M28" s="191">
        <f t="shared" si="3"/>
        <v>0</v>
      </c>
      <c r="R28" s="202"/>
      <c r="S28" s="203"/>
    </row>
    <row r="29" spans="1:19" x14ac:dyDescent="0.25">
      <c r="A29" s="106">
        <f t="shared" si="4"/>
        <v>0</v>
      </c>
      <c r="B29" s="42" t="str">
        <f t="shared" si="0"/>
        <v/>
      </c>
      <c r="C29" s="43"/>
      <c r="D29" s="43"/>
      <c r="E29" s="43"/>
      <c r="F29" s="43"/>
      <c r="G29" s="177"/>
      <c r="H29" s="192">
        <v>24</v>
      </c>
      <c r="I29" s="193" t="str">
        <f t="shared" si="1"/>
        <v/>
      </c>
      <c r="J29" s="192" t="e">
        <f t="shared" si="5"/>
        <v>#NUM!</v>
      </c>
      <c r="K29" s="192" t="e">
        <f t="shared" si="2"/>
        <v>#NUM!</v>
      </c>
      <c r="L29" s="192"/>
      <c r="M29" s="194">
        <f t="shared" si="3"/>
        <v>0</v>
      </c>
    </row>
    <row r="30" spans="1:19" x14ac:dyDescent="0.25">
      <c r="A30" s="102">
        <f t="shared" si="4"/>
        <v>0</v>
      </c>
      <c r="B30" s="36" t="str">
        <f t="shared" si="0"/>
        <v/>
      </c>
      <c r="C30" s="37"/>
      <c r="D30" s="37"/>
      <c r="E30" s="37"/>
      <c r="F30" s="37"/>
      <c r="G30" s="177"/>
      <c r="H30" s="189">
        <v>25</v>
      </c>
      <c r="I30" s="190" t="str">
        <f t="shared" si="1"/>
        <v/>
      </c>
      <c r="J30" s="189" t="e">
        <f t="shared" si="5"/>
        <v>#NUM!</v>
      </c>
      <c r="K30" s="189" t="e">
        <f t="shared" si="2"/>
        <v>#NUM!</v>
      </c>
      <c r="L30" s="189"/>
      <c r="M30" s="191">
        <f t="shared" si="3"/>
        <v>0</v>
      </c>
    </row>
    <row r="31" spans="1:19" x14ac:dyDescent="0.25">
      <c r="A31" s="106">
        <f t="shared" si="4"/>
        <v>0</v>
      </c>
      <c r="B31" s="42" t="str">
        <f t="shared" si="0"/>
        <v/>
      </c>
      <c r="C31" s="43"/>
      <c r="D31" s="43"/>
      <c r="E31" s="43"/>
      <c r="F31" s="43"/>
      <c r="G31" s="177"/>
      <c r="H31" s="192">
        <v>26</v>
      </c>
      <c r="I31" s="193" t="str">
        <f t="shared" si="1"/>
        <v/>
      </c>
      <c r="J31" s="192" t="e">
        <f t="shared" si="5"/>
        <v>#NUM!</v>
      </c>
      <c r="K31" s="192" t="e">
        <f t="shared" si="2"/>
        <v>#NUM!</v>
      </c>
      <c r="L31" s="192"/>
      <c r="M31" s="194">
        <f t="shared" si="3"/>
        <v>0</v>
      </c>
    </row>
    <row r="32" spans="1:19" x14ac:dyDescent="0.25">
      <c r="A32" s="102">
        <f t="shared" si="4"/>
        <v>0</v>
      </c>
      <c r="B32" s="36" t="str">
        <f t="shared" si="0"/>
        <v/>
      </c>
      <c r="C32" s="37"/>
      <c r="D32" s="37"/>
      <c r="E32" s="37"/>
      <c r="F32" s="37"/>
      <c r="G32" s="177"/>
      <c r="H32" s="189">
        <v>27</v>
      </c>
      <c r="I32" s="190" t="str">
        <f t="shared" si="1"/>
        <v/>
      </c>
      <c r="J32" s="189" t="e">
        <f t="shared" si="5"/>
        <v>#NUM!</v>
      </c>
      <c r="K32" s="189" t="e">
        <f t="shared" si="2"/>
        <v>#NUM!</v>
      </c>
      <c r="L32" s="189"/>
      <c r="M32" s="191">
        <f t="shared" si="3"/>
        <v>0</v>
      </c>
      <c r="R32" s="202"/>
      <c r="S32" s="203"/>
    </row>
    <row r="33" spans="1:19" x14ac:dyDescent="0.25">
      <c r="A33" s="106">
        <f t="shared" si="4"/>
        <v>0</v>
      </c>
      <c r="B33" s="42" t="str">
        <f t="shared" si="0"/>
        <v/>
      </c>
      <c r="C33" s="43"/>
      <c r="D33" s="43"/>
      <c r="E33" s="43"/>
      <c r="F33" s="43"/>
      <c r="G33" s="177"/>
      <c r="H33" s="192">
        <v>28</v>
      </c>
      <c r="I33" s="193" t="str">
        <f t="shared" si="1"/>
        <v/>
      </c>
      <c r="J33" s="192" t="e">
        <f t="shared" si="5"/>
        <v>#NUM!</v>
      </c>
      <c r="K33" s="192" t="e">
        <f t="shared" si="2"/>
        <v>#NUM!</v>
      </c>
      <c r="L33" s="192"/>
      <c r="M33" s="194">
        <f t="shared" si="3"/>
        <v>0</v>
      </c>
    </row>
    <row r="34" spans="1:19" x14ac:dyDescent="0.25">
      <c r="A34" s="102">
        <f t="shared" si="4"/>
        <v>0</v>
      </c>
      <c r="B34" s="36" t="str">
        <f t="shared" si="0"/>
        <v/>
      </c>
      <c r="C34" s="37"/>
      <c r="D34" s="37"/>
      <c r="E34" s="37"/>
      <c r="F34" s="37"/>
      <c r="G34" s="177"/>
      <c r="H34" s="189">
        <v>29</v>
      </c>
      <c r="I34" s="190" t="str">
        <f t="shared" si="1"/>
        <v/>
      </c>
      <c r="J34" s="189" t="e">
        <f t="shared" si="5"/>
        <v>#NUM!</v>
      </c>
      <c r="K34" s="189" t="e">
        <f t="shared" si="2"/>
        <v>#NUM!</v>
      </c>
      <c r="L34" s="189"/>
      <c r="M34" s="191">
        <f t="shared" si="3"/>
        <v>0</v>
      </c>
    </row>
    <row r="35" spans="1:19" x14ac:dyDescent="0.25">
      <c r="A35" s="106">
        <f t="shared" si="4"/>
        <v>0</v>
      </c>
      <c r="B35" s="42" t="str">
        <f t="shared" si="0"/>
        <v/>
      </c>
      <c r="C35" s="43"/>
      <c r="D35" s="43"/>
      <c r="E35" s="43"/>
      <c r="F35" s="43"/>
      <c r="G35" s="177"/>
      <c r="H35" s="192">
        <v>30</v>
      </c>
      <c r="I35" s="193" t="str">
        <f t="shared" si="1"/>
        <v/>
      </c>
      <c r="J35" s="192" t="e">
        <f t="shared" si="5"/>
        <v>#NUM!</v>
      </c>
      <c r="K35" s="192" t="e">
        <f t="shared" si="2"/>
        <v>#NUM!</v>
      </c>
      <c r="L35" s="192"/>
      <c r="M35" s="194">
        <f t="shared" si="3"/>
        <v>0</v>
      </c>
    </row>
    <row r="36" spans="1:19" x14ac:dyDescent="0.25">
      <c r="A36" s="102">
        <f t="shared" si="4"/>
        <v>0</v>
      </c>
      <c r="B36" s="36" t="str">
        <f t="shared" si="0"/>
        <v/>
      </c>
      <c r="C36" s="37"/>
      <c r="D36" s="37"/>
      <c r="E36" s="37"/>
      <c r="F36" s="37"/>
      <c r="G36" s="177"/>
      <c r="H36" s="189">
        <v>31</v>
      </c>
      <c r="I36" s="190" t="str">
        <f t="shared" si="1"/>
        <v/>
      </c>
      <c r="J36" s="189" t="e">
        <f t="shared" si="5"/>
        <v>#NUM!</v>
      </c>
      <c r="K36" s="189" t="e">
        <f t="shared" si="2"/>
        <v>#NUM!</v>
      </c>
      <c r="L36" s="189"/>
      <c r="M36" s="191">
        <f t="shared" si="3"/>
        <v>0</v>
      </c>
      <c r="R36" s="202"/>
      <c r="S36" s="203"/>
    </row>
    <row r="37" spans="1:19" x14ac:dyDescent="0.25">
      <c r="A37" s="106">
        <f t="shared" si="4"/>
        <v>0</v>
      </c>
      <c r="B37" s="42" t="str">
        <f t="shared" si="0"/>
        <v/>
      </c>
      <c r="C37" s="43"/>
      <c r="D37" s="43"/>
      <c r="E37" s="43"/>
      <c r="F37" s="43"/>
      <c r="G37" s="177"/>
      <c r="H37" s="192">
        <v>32</v>
      </c>
      <c r="I37" s="193" t="str">
        <f t="shared" si="1"/>
        <v/>
      </c>
      <c r="J37" s="192" t="e">
        <f t="shared" si="5"/>
        <v>#NUM!</v>
      </c>
      <c r="K37" s="192" t="e">
        <f t="shared" si="2"/>
        <v>#NUM!</v>
      </c>
      <c r="L37" s="192"/>
      <c r="M37" s="194">
        <f t="shared" si="3"/>
        <v>0</v>
      </c>
    </row>
    <row r="38" spans="1:19" x14ac:dyDescent="0.25">
      <c r="A38" s="102">
        <f t="shared" si="4"/>
        <v>0</v>
      </c>
      <c r="B38" s="36" t="str">
        <f t="shared" si="0"/>
        <v/>
      </c>
      <c r="C38" s="37"/>
      <c r="D38" s="37"/>
      <c r="E38" s="37"/>
      <c r="F38" s="37"/>
      <c r="G38" s="177"/>
      <c r="H38" s="189">
        <v>33</v>
      </c>
      <c r="I38" s="190" t="str">
        <f t="shared" si="1"/>
        <v/>
      </c>
      <c r="J38" s="189" t="e">
        <f t="shared" si="5"/>
        <v>#NUM!</v>
      </c>
      <c r="K38" s="189" t="e">
        <f t="shared" si="2"/>
        <v>#NUM!</v>
      </c>
      <c r="L38" s="189"/>
      <c r="M38" s="191">
        <f t="shared" si="3"/>
        <v>0</v>
      </c>
    </row>
    <row r="39" spans="1:19" x14ac:dyDescent="0.25">
      <c r="A39" s="106">
        <f t="shared" si="4"/>
        <v>0</v>
      </c>
      <c r="B39" s="42" t="str">
        <f t="shared" si="0"/>
        <v/>
      </c>
      <c r="C39" s="43"/>
      <c r="D39" s="43"/>
      <c r="E39" s="43"/>
      <c r="F39" s="43"/>
      <c r="G39" s="177"/>
      <c r="H39" s="192">
        <v>34</v>
      </c>
      <c r="I39" s="193" t="str">
        <f t="shared" si="1"/>
        <v/>
      </c>
      <c r="J39" s="192" t="e">
        <f t="shared" si="5"/>
        <v>#NUM!</v>
      </c>
      <c r="K39" s="192" t="e">
        <f t="shared" si="2"/>
        <v>#NUM!</v>
      </c>
      <c r="L39" s="192"/>
      <c r="M39" s="194">
        <f t="shared" si="3"/>
        <v>0</v>
      </c>
    </row>
    <row r="40" spans="1:19" x14ac:dyDescent="0.25">
      <c r="A40" s="102">
        <f t="shared" si="4"/>
        <v>0</v>
      </c>
      <c r="B40" s="36" t="str">
        <f t="shared" si="0"/>
        <v/>
      </c>
      <c r="C40" s="37"/>
      <c r="D40" s="37"/>
      <c r="E40" s="37"/>
      <c r="F40" s="37"/>
      <c r="G40" s="177"/>
      <c r="H40" s="189">
        <v>35</v>
      </c>
      <c r="I40" s="190" t="str">
        <f t="shared" si="1"/>
        <v/>
      </c>
      <c r="J40" s="189" t="e">
        <f t="shared" si="5"/>
        <v>#NUM!</v>
      </c>
      <c r="K40" s="189" t="e">
        <f t="shared" si="2"/>
        <v>#NUM!</v>
      </c>
      <c r="L40" s="189"/>
      <c r="M40" s="191">
        <f t="shared" si="3"/>
        <v>0</v>
      </c>
    </row>
    <row r="41" spans="1:19" x14ac:dyDescent="0.25">
      <c r="A41" s="106">
        <f t="shared" si="4"/>
        <v>0</v>
      </c>
      <c r="B41" s="42" t="str">
        <f t="shared" si="0"/>
        <v/>
      </c>
      <c r="C41" s="43"/>
      <c r="D41" s="43"/>
      <c r="E41" s="43"/>
      <c r="F41" s="43"/>
      <c r="G41" s="177"/>
      <c r="H41" s="192">
        <v>36</v>
      </c>
      <c r="I41" s="193" t="str">
        <f t="shared" si="1"/>
        <v/>
      </c>
      <c r="J41" s="192" t="e">
        <f t="shared" si="5"/>
        <v>#NUM!</v>
      </c>
      <c r="K41" s="192" t="e">
        <f t="shared" si="2"/>
        <v>#NUM!</v>
      </c>
      <c r="L41" s="192"/>
      <c r="M41" s="194">
        <f t="shared" si="3"/>
        <v>0</v>
      </c>
      <c r="S41" s="204"/>
    </row>
    <row r="42" spans="1:19" x14ac:dyDescent="0.25">
      <c r="A42" s="102">
        <f t="shared" si="4"/>
        <v>0</v>
      </c>
      <c r="B42" s="36" t="str">
        <f t="shared" si="0"/>
        <v/>
      </c>
      <c r="C42" s="37"/>
      <c r="D42" s="37"/>
      <c r="E42" s="37"/>
      <c r="F42" s="37"/>
      <c r="G42" s="177"/>
      <c r="H42" s="189">
        <v>37</v>
      </c>
      <c r="I42" s="190" t="str">
        <f t="shared" si="1"/>
        <v/>
      </c>
      <c r="J42" s="189" t="e">
        <f t="shared" si="5"/>
        <v>#NUM!</v>
      </c>
      <c r="K42" s="189" t="e">
        <f t="shared" si="2"/>
        <v>#NUM!</v>
      </c>
      <c r="L42" s="189"/>
      <c r="M42" s="191">
        <f t="shared" si="3"/>
        <v>0</v>
      </c>
    </row>
    <row r="43" spans="1:19" x14ac:dyDescent="0.25">
      <c r="A43" s="106">
        <f t="shared" si="4"/>
        <v>0</v>
      </c>
      <c r="B43" s="42" t="str">
        <f t="shared" si="0"/>
        <v/>
      </c>
      <c r="C43" s="43"/>
      <c r="D43" s="43"/>
      <c r="E43" s="43"/>
      <c r="F43" s="43"/>
      <c r="G43" s="177"/>
      <c r="H43" s="192">
        <v>38</v>
      </c>
      <c r="I43" s="193" t="str">
        <f t="shared" si="1"/>
        <v/>
      </c>
      <c r="J43" s="192" t="e">
        <f t="shared" si="5"/>
        <v>#NUM!</v>
      </c>
      <c r="K43" s="192" t="e">
        <f t="shared" si="2"/>
        <v>#NUM!</v>
      </c>
      <c r="L43" s="192"/>
      <c r="M43" s="194">
        <f t="shared" si="3"/>
        <v>0</v>
      </c>
    </row>
    <row r="44" spans="1:19" x14ac:dyDescent="0.25">
      <c r="A44" s="102">
        <f t="shared" si="4"/>
        <v>0</v>
      </c>
      <c r="B44" s="36" t="str">
        <f t="shared" si="0"/>
        <v/>
      </c>
      <c r="C44" s="37"/>
      <c r="D44" s="37"/>
      <c r="E44" s="37"/>
      <c r="F44" s="37"/>
      <c r="G44" s="177"/>
      <c r="H44" s="189">
        <v>39</v>
      </c>
      <c r="I44" s="190" t="str">
        <f t="shared" si="1"/>
        <v/>
      </c>
      <c r="J44" s="189" t="e">
        <f t="shared" si="5"/>
        <v>#NUM!</v>
      </c>
      <c r="K44" s="189" t="e">
        <f t="shared" si="2"/>
        <v>#NUM!</v>
      </c>
      <c r="L44" s="189"/>
      <c r="M44" s="191">
        <f t="shared" si="3"/>
        <v>0</v>
      </c>
    </row>
    <row r="45" spans="1:19" x14ac:dyDescent="0.25">
      <c r="A45" s="106">
        <f t="shared" si="4"/>
        <v>0</v>
      </c>
      <c r="B45" s="42" t="str">
        <f t="shared" si="0"/>
        <v/>
      </c>
      <c r="C45" s="43"/>
      <c r="D45" s="43"/>
      <c r="E45" s="43"/>
      <c r="F45" s="43"/>
      <c r="G45" s="177"/>
      <c r="H45" s="192">
        <v>40</v>
      </c>
      <c r="I45" s="193" t="str">
        <f t="shared" si="1"/>
        <v/>
      </c>
      <c r="J45" s="192" t="e">
        <f t="shared" si="5"/>
        <v>#NUM!</v>
      </c>
      <c r="K45" s="192" t="e">
        <f t="shared" si="2"/>
        <v>#NUM!</v>
      </c>
      <c r="L45" s="192"/>
      <c r="M45" s="194">
        <f t="shared" si="3"/>
        <v>0</v>
      </c>
    </row>
    <row r="46" spans="1:19" x14ac:dyDescent="0.25">
      <c r="A46" s="102">
        <f t="shared" si="4"/>
        <v>0</v>
      </c>
      <c r="B46" s="36" t="str">
        <f t="shared" si="0"/>
        <v/>
      </c>
      <c r="C46" s="37"/>
      <c r="D46" s="37"/>
      <c r="E46" s="37"/>
      <c r="F46" s="37"/>
      <c r="G46" s="177"/>
      <c r="H46" s="189">
        <v>41</v>
      </c>
      <c r="I46" s="190" t="str">
        <f t="shared" si="1"/>
        <v/>
      </c>
      <c r="J46" s="189" t="e">
        <f t="shared" si="5"/>
        <v>#NUM!</v>
      </c>
      <c r="K46" s="189" t="e">
        <f t="shared" si="2"/>
        <v>#NUM!</v>
      </c>
      <c r="L46" s="189"/>
      <c r="M46" s="191">
        <f t="shared" si="3"/>
        <v>0</v>
      </c>
    </row>
    <row r="47" spans="1:19" x14ac:dyDescent="0.25">
      <c r="A47" s="106">
        <f t="shared" si="4"/>
        <v>0</v>
      </c>
      <c r="B47" s="42" t="str">
        <f t="shared" si="0"/>
        <v/>
      </c>
      <c r="C47" s="43"/>
      <c r="D47" s="43"/>
      <c r="E47" s="43"/>
      <c r="F47" s="43"/>
      <c r="G47" s="177"/>
      <c r="H47" s="192">
        <v>42</v>
      </c>
      <c r="I47" s="193" t="str">
        <f t="shared" si="1"/>
        <v/>
      </c>
      <c r="J47" s="192" t="e">
        <f t="shared" si="5"/>
        <v>#NUM!</v>
      </c>
      <c r="K47" s="192" t="e">
        <f t="shared" si="2"/>
        <v>#NUM!</v>
      </c>
      <c r="L47" s="192"/>
      <c r="M47" s="194">
        <f t="shared" si="3"/>
        <v>0</v>
      </c>
    </row>
    <row r="48" spans="1:19" x14ac:dyDescent="0.25">
      <c r="A48" s="102">
        <f t="shared" si="4"/>
        <v>0</v>
      </c>
      <c r="B48" s="36" t="str">
        <f t="shared" si="0"/>
        <v/>
      </c>
      <c r="C48" s="37"/>
      <c r="D48" s="37"/>
      <c r="E48" s="37"/>
      <c r="F48" s="37"/>
      <c r="G48" s="177"/>
      <c r="H48" s="189">
        <v>43</v>
      </c>
      <c r="I48" s="190" t="str">
        <f t="shared" si="1"/>
        <v/>
      </c>
      <c r="J48" s="189" t="e">
        <f t="shared" si="5"/>
        <v>#NUM!</v>
      </c>
      <c r="K48" s="189" t="e">
        <f t="shared" si="2"/>
        <v>#NUM!</v>
      </c>
      <c r="L48" s="189"/>
      <c r="M48" s="191">
        <f t="shared" si="3"/>
        <v>0</v>
      </c>
    </row>
    <row r="49" spans="1:38" x14ac:dyDescent="0.25">
      <c r="A49" s="106">
        <f t="shared" si="4"/>
        <v>0</v>
      </c>
      <c r="B49" s="42" t="str">
        <f t="shared" si="0"/>
        <v/>
      </c>
      <c r="C49" s="43"/>
      <c r="D49" s="43"/>
      <c r="E49" s="43"/>
      <c r="F49" s="43"/>
      <c r="G49" s="177"/>
      <c r="H49" s="192">
        <v>44</v>
      </c>
      <c r="I49" s="193" t="str">
        <f t="shared" si="1"/>
        <v/>
      </c>
      <c r="J49" s="192" t="e">
        <f t="shared" si="5"/>
        <v>#NUM!</v>
      </c>
      <c r="K49" s="192" t="e">
        <f t="shared" si="2"/>
        <v>#NUM!</v>
      </c>
      <c r="L49" s="192"/>
      <c r="M49" s="194">
        <f t="shared" si="3"/>
        <v>0</v>
      </c>
    </row>
    <row r="50" spans="1:38" x14ac:dyDescent="0.25">
      <c r="A50" s="102">
        <f t="shared" si="4"/>
        <v>0</v>
      </c>
      <c r="B50" s="36" t="str">
        <f t="shared" si="0"/>
        <v/>
      </c>
      <c r="C50" s="37"/>
      <c r="D50" s="37"/>
      <c r="E50" s="37"/>
      <c r="F50" s="37"/>
      <c r="G50" s="177"/>
      <c r="H50" s="189">
        <v>45</v>
      </c>
      <c r="I50" s="190" t="str">
        <f t="shared" si="1"/>
        <v/>
      </c>
      <c r="J50" s="189" t="e">
        <f t="shared" si="5"/>
        <v>#NUM!</v>
      </c>
      <c r="K50" s="189" t="e">
        <f t="shared" si="2"/>
        <v>#NUM!</v>
      </c>
      <c r="L50" s="189"/>
      <c r="M50" s="191">
        <f t="shared" si="3"/>
        <v>0</v>
      </c>
    </row>
    <row r="51" spans="1:38" x14ac:dyDescent="0.25">
      <c r="A51" s="106">
        <f t="shared" si="4"/>
        <v>0</v>
      </c>
      <c r="B51" s="42" t="str">
        <f t="shared" si="0"/>
        <v/>
      </c>
      <c r="C51" s="43"/>
      <c r="D51" s="43"/>
      <c r="E51" s="43"/>
      <c r="F51" s="43"/>
      <c r="G51" s="177"/>
      <c r="H51" s="192">
        <v>46</v>
      </c>
      <c r="I51" s="193" t="str">
        <f t="shared" si="1"/>
        <v/>
      </c>
      <c r="J51" s="192" t="e">
        <f t="shared" si="5"/>
        <v>#NUM!</v>
      </c>
      <c r="K51" s="192" t="e">
        <f t="shared" si="2"/>
        <v>#NUM!</v>
      </c>
      <c r="L51" s="192"/>
      <c r="M51" s="194">
        <f t="shared" si="3"/>
        <v>0</v>
      </c>
    </row>
    <row r="52" spans="1:38" x14ac:dyDescent="0.25">
      <c r="A52" s="102">
        <f t="shared" si="4"/>
        <v>0</v>
      </c>
      <c r="B52" s="36" t="str">
        <f t="shared" si="0"/>
        <v/>
      </c>
      <c r="C52" s="37"/>
      <c r="D52" s="37"/>
      <c r="E52" s="37"/>
      <c r="F52" s="37"/>
      <c r="G52" s="177"/>
      <c r="H52" s="189">
        <v>47</v>
      </c>
      <c r="I52" s="190" t="str">
        <f t="shared" si="1"/>
        <v/>
      </c>
      <c r="J52" s="189" t="e">
        <f t="shared" si="5"/>
        <v>#NUM!</v>
      </c>
      <c r="K52" s="189" t="e">
        <f t="shared" si="2"/>
        <v>#NUM!</v>
      </c>
      <c r="L52" s="189"/>
      <c r="M52" s="191">
        <f t="shared" si="3"/>
        <v>0</v>
      </c>
    </row>
    <row r="53" spans="1:38" x14ac:dyDescent="0.25">
      <c r="A53" s="106">
        <f t="shared" si="4"/>
        <v>0</v>
      </c>
      <c r="B53" s="42" t="str">
        <f t="shared" si="0"/>
        <v/>
      </c>
      <c r="C53" s="43"/>
      <c r="D53" s="43"/>
      <c r="E53" s="43"/>
      <c r="F53" s="43"/>
      <c r="G53" s="177"/>
      <c r="H53" s="192">
        <v>48</v>
      </c>
      <c r="I53" s="193" t="str">
        <f t="shared" si="1"/>
        <v/>
      </c>
      <c r="J53" s="192" t="e">
        <f t="shared" si="5"/>
        <v>#NUM!</v>
      </c>
      <c r="K53" s="192" t="e">
        <f t="shared" si="2"/>
        <v>#NUM!</v>
      </c>
      <c r="L53" s="192"/>
      <c r="M53" s="194">
        <f t="shared" si="3"/>
        <v>0</v>
      </c>
    </row>
    <row r="54" spans="1:38" x14ac:dyDescent="0.25">
      <c r="A54" s="102">
        <f t="shared" si="4"/>
        <v>0</v>
      </c>
      <c r="B54" s="36" t="str">
        <f t="shared" si="0"/>
        <v/>
      </c>
      <c r="C54" s="37"/>
      <c r="D54" s="37"/>
      <c r="E54" s="37"/>
      <c r="F54" s="37"/>
      <c r="G54" s="177"/>
      <c r="H54" s="189">
        <v>49</v>
      </c>
      <c r="I54" s="190" t="str">
        <f t="shared" si="1"/>
        <v/>
      </c>
      <c r="J54" s="189" t="e">
        <f t="shared" si="5"/>
        <v>#NUM!</v>
      </c>
      <c r="K54" s="189" t="e">
        <f t="shared" si="2"/>
        <v>#NUM!</v>
      </c>
      <c r="L54" s="189"/>
      <c r="M54" s="191">
        <f t="shared" si="3"/>
        <v>0</v>
      </c>
    </row>
    <row r="55" spans="1:38" x14ac:dyDescent="0.25">
      <c r="A55" s="106">
        <f t="shared" si="4"/>
        <v>0</v>
      </c>
      <c r="B55" s="42" t="str">
        <f t="shared" si="0"/>
        <v/>
      </c>
      <c r="C55" s="43"/>
      <c r="D55" s="43"/>
      <c r="E55" s="43"/>
      <c r="F55" s="43"/>
      <c r="G55" s="177"/>
      <c r="H55" s="192">
        <v>50</v>
      </c>
      <c r="I55" s="193" t="str">
        <f t="shared" si="1"/>
        <v/>
      </c>
      <c r="J55" s="192" t="e">
        <f t="shared" si="5"/>
        <v>#NUM!</v>
      </c>
      <c r="K55" s="192" t="e">
        <f t="shared" si="2"/>
        <v>#NUM!</v>
      </c>
      <c r="L55" s="192"/>
      <c r="M55" s="194">
        <f t="shared" si="3"/>
        <v>0</v>
      </c>
    </row>
    <row r="56" spans="1:38" x14ac:dyDescent="0.25">
      <c r="A56" s="102">
        <f t="shared" si="4"/>
        <v>0</v>
      </c>
      <c r="B56" s="36" t="str">
        <f t="shared" si="0"/>
        <v/>
      </c>
      <c r="C56" s="37"/>
      <c r="D56" s="37"/>
      <c r="E56" s="37"/>
      <c r="F56" s="37"/>
      <c r="G56" s="177"/>
      <c r="H56" s="189">
        <v>51</v>
      </c>
      <c r="I56" s="190" t="str">
        <f t="shared" si="1"/>
        <v/>
      </c>
      <c r="J56" s="189" t="e">
        <f t="shared" si="5"/>
        <v>#NUM!</v>
      </c>
      <c r="K56" s="189" t="e">
        <f t="shared" si="2"/>
        <v>#NUM!</v>
      </c>
      <c r="L56" s="189"/>
      <c r="M56" s="191">
        <f t="shared" si="3"/>
        <v>0</v>
      </c>
    </row>
    <row r="57" spans="1:38" s="177" customFormat="1" x14ac:dyDescent="0.25">
      <c r="A57" s="106">
        <f t="shared" si="4"/>
        <v>0</v>
      </c>
      <c r="B57" s="42" t="str">
        <f t="shared" si="0"/>
        <v/>
      </c>
      <c r="C57" s="43"/>
      <c r="D57" s="43"/>
      <c r="E57" s="43"/>
      <c r="F57" s="43"/>
      <c r="H57" s="192">
        <v>52</v>
      </c>
      <c r="I57" s="193" t="str">
        <f t="shared" si="1"/>
        <v/>
      </c>
      <c r="J57" s="192" t="e">
        <f t="shared" si="5"/>
        <v>#NUM!</v>
      </c>
      <c r="K57" s="192" t="e">
        <f t="shared" si="2"/>
        <v>#NUM!</v>
      </c>
      <c r="L57" s="192"/>
      <c r="M57" s="194">
        <f t="shared" si="3"/>
        <v>0</v>
      </c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</row>
    <row r="58" spans="1:38" s="177" customFormat="1" x14ac:dyDescent="0.25">
      <c r="A58" s="102">
        <f t="shared" si="4"/>
        <v>0</v>
      </c>
      <c r="B58" s="36" t="str">
        <f t="shared" si="0"/>
        <v/>
      </c>
      <c r="C58" s="37"/>
      <c r="D58" s="37"/>
      <c r="E58" s="37"/>
      <c r="F58" s="37"/>
      <c r="H58" s="189">
        <v>53</v>
      </c>
      <c r="I58" s="190" t="str">
        <f t="shared" si="1"/>
        <v/>
      </c>
      <c r="J58" s="189" t="e">
        <f t="shared" si="5"/>
        <v>#NUM!</v>
      </c>
      <c r="K58" s="189" t="e">
        <f t="shared" si="2"/>
        <v>#NUM!</v>
      </c>
      <c r="L58" s="189"/>
      <c r="M58" s="191">
        <f t="shared" si="3"/>
        <v>0</v>
      </c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</row>
    <row r="59" spans="1:38" s="177" customFormat="1" x14ac:dyDescent="0.25">
      <c r="A59" s="106">
        <f t="shared" si="4"/>
        <v>0</v>
      </c>
      <c r="B59" s="42" t="str">
        <f t="shared" si="0"/>
        <v/>
      </c>
      <c r="C59" s="43"/>
      <c r="D59" s="43"/>
      <c r="E59" s="43"/>
      <c r="F59" s="43"/>
      <c r="H59" s="192">
        <v>54</v>
      </c>
      <c r="I59" s="193" t="str">
        <f t="shared" si="1"/>
        <v/>
      </c>
      <c r="J59" s="192" t="e">
        <f t="shared" si="5"/>
        <v>#NUM!</v>
      </c>
      <c r="K59" s="192" t="e">
        <f t="shared" si="2"/>
        <v>#NUM!</v>
      </c>
      <c r="L59" s="192"/>
      <c r="M59" s="194">
        <f t="shared" si="3"/>
        <v>0</v>
      </c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</row>
    <row r="60" spans="1:38" s="177" customFormat="1" x14ac:dyDescent="0.25">
      <c r="A60" s="102">
        <f t="shared" si="4"/>
        <v>0</v>
      </c>
      <c r="B60" s="36" t="str">
        <f t="shared" si="0"/>
        <v/>
      </c>
      <c r="C60" s="37"/>
      <c r="D60" s="37"/>
      <c r="E60" s="37"/>
      <c r="F60" s="37"/>
      <c r="H60" s="189">
        <v>55</v>
      </c>
      <c r="I60" s="190" t="str">
        <f t="shared" si="1"/>
        <v/>
      </c>
      <c r="J60" s="189" t="e">
        <f t="shared" si="5"/>
        <v>#NUM!</v>
      </c>
      <c r="K60" s="189" t="e">
        <f t="shared" si="2"/>
        <v>#NUM!</v>
      </c>
      <c r="L60" s="189"/>
      <c r="M60" s="191">
        <f t="shared" si="3"/>
        <v>0</v>
      </c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</row>
    <row r="61" spans="1:38" s="177" customFormat="1" x14ac:dyDescent="0.25">
      <c r="A61" s="106">
        <f t="shared" si="4"/>
        <v>0</v>
      </c>
      <c r="B61" s="42" t="str">
        <f t="shared" si="0"/>
        <v/>
      </c>
      <c r="C61" s="43"/>
      <c r="D61" s="43"/>
      <c r="E61" s="43"/>
      <c r="F61" s="43"/>
      <c r="H61" s="192">
        <v>56</v>
      </c>
      <c r="I61" s="193" t="str">
        <f t="shared" si="1"/>
        <v/>
      </c>
      <c r="J61" s="192" t="e">
        <f t="shared" si="5"/>
        <v>#NUM!</v>
      </c>
      <c r="K61" s="192" t="e">
        <f t="shared" si="2"/>
        <v>#NUM!</v>
      </c>
      <c r="L61" s="192"/>
      <c r="M61" s="194">
        <f t="shared" si="3"/>
        <v>0</v>
      </c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</row>
    <row r="62" spans="1:38" s="177" customFormat="1" x14ac:dyDescent="0.25">
      <c r="A62" s="102">
        <f t="shared" si="4"/>
        <v>0</v>
      </c>
      <c r="B62" s="36" t="str">
        <f t="shared" si="0"/>
        <v/>
      </c>
      <c r="C62" s="37"/>
      <c r="D62" s="37"/>
      <c r="E62" s="37"/>
      <c r="F62" s="37"/>
      <c r="H62" s="189">
        <v>57</v>
      </c>
      <c r="I62" s="190" t="str">
        <f t="shared" si="1"/>
        <v/>
      </c>
      <c r="J62" s="189" t="e">
        <f t="shared" si="5"/>
        <v>#NUM!</v>
      </c>
      <c r="K62" s="189" t="e">
        <f t="shared" si="2"/>
        <v>#NUM!</v>
      </c>
      <c r="L62" s="189"/>
      <c r="M62" s="191">
        <f t="shared" si="3"/>
        <v>0</v>
      </c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</row>
    <row r="63" spans="1:38" s="177" customFormat="1" x14ac:dyDescent="0.25">
      <c r="A63" s="106">
        <f t="shared" si="4"/>
        <v>0</v>
      </c>
      <c r="B63" s="42" t="str">
        <f t="shared" si="0"/>
        <v/>
      </c>
      <c r="C63" s="43"/>
      <c r="D63" s="43"/>
      <c r="E63" s="43"/>
      <c r="F63" s="43"/>
      <c r="H63" s="192">
        <v>58</v>
      </c>
      <c r="I63" s="193" t="str">
        <f t="shared" si="1"/>
        <v/>
      </c>
      <c r="J63" s="192" t="e">
        <f t="shared" si="5"/>
        <v>#NUM!</v>
      </c>
      <c r="K63" s="192" t="e">
        <f t="shared" si="2"/>
        <v>#NUM!</v>
      </c>
      <c r="L63" s="192"/>
      <c r="M63" s="194">
        <f t="shared" si="3"/>
        <v>0</v>
      </c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</row>
    <row r="64" spans="1:38" s="177" customFormat="1" x14ac:dyDescent="0.25">
      <c r="A64" s="102">
        <f t="shared" si="4"/>
        <v>0</v>
      </c>
      <c r="B64" s="36" t="str">
        <f t="shared" si="0"/>
        <v/>
      </c>
      <c r="C64" s="37"/>
      <c r="D64" s="37"/>
      <c r="E64" s="37"/>
      <c r="F64" s="37"/>
      <c r="H64" s="189">
        <v>59</v>
      </c>
      <c r="I64" s="190" t="str">
        <f t="shared" si="1"/>
        <v/>
      </c>
      <c r="J64" s="189" t="e">
        <f t="shared" si="5"/>
        <v>#NUM!</v>
      </c>
      <c r="K64" s="189" t="e">
        <f t="shared" si="2"/>
        <v>#NUM!</v>
      </c>
      <c r="L64" s="189"/>
      <c r="M64" s="191">
        <f t="shared" si="3"/>
        <v>0</v>
      </c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</row>
    <row r="65" spans="1:38" s="177" customFormat="1" x14ac:dyDescent="0.25">
      <c r="A65" s="106">
        <f t="shared" si="4"/>
        <v>0</v>
      </c>
      <c r="B65" s="42" t="str">
        <f t="shared" si="0"/>
        <v/>
      </c>
      <c r="C65" s="43"/>
      <c r="D65" s="43"/>
      <c r="E65" s="43"/>
      <c r="F65" s="43"/>
      <c r="H65" s="192">
        <v>60</v>
      </c>
      <c r="I65" s="193" t="str">
        <f t="shared" si="1"/>
        <v/>
      </c>
      <c r="J65" s="192" t="e">
        <f t="shared" si="5"/>
        <v>#NUM!</v>
      </c>
      <c r="K65" s="192" t="e">
        <f t="shared" si="2"/>
        <v>#NUM!</v>
      </c>
      <c r="L65" s="192"/>
      <c r="M65" s="194">
        <f t="shared" si="3"/>
        <v>0</v>
      </c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</row>
    <row r="66" spans="1:38" s="177" customFormat="1" x14ac:dyDescent="0.25">
      <c r="A66" s="102">
        <f t="shared" si="4"/>
        <v>0</v>
      </c>
      <c r="B66" s="36" t="str">
        <f t="shared" si="0"/>
        <v/>
      </c>
      <c r="C66" s="37"/>
      <c r="D66" s="37"/>
      <c r="E66" s="37"/>
      <c r="F66" s="37"/>
      <c r="H66" s="189">
        <v>61</v>
      </c>
      <c r="I66" s="190" t="str">
        <f t="shared" si="1"/>
        <v/>
      </c>
      <c r="J66" s="189" t="e">
        <f t="shared" si="5"/>
        <v>#NUM!</v>
      </c>
      <c r="K66" s="189" t="e">
        <f t="shared" si="2"/>
        <v>#NUM!</v>
      </c>
      <c r="L66" s="189"/>
      <c r="M66" s="191">
        <f t="shared" si="3"/>
        <v>0</v>
      </c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</row>
    <row r="67" spans="1:38" s="177" customFormat="1" x14ac:dyDescent="0.25">
      <c r="A67" s="106">
        <f t="shared" si="4"/>
        <v>0</v>
      </c>
      <c r="B67" s="42" t="str">
        <f t="shared" si="0"/>
        <v/>
      </c>
      <c r="C67" s="43"/>
      <c r="D67" s="43"/>
      <c r="E67" s="43"/>
      <c r="F67" s="43"/>
      <c r="H67" s="192">
        <v>62</v>
      </c>
      <c r="I67" s="193" t="str">
        <f t="shared" si="1"/>
        <v/>
      </c>
      <c r="J67" s="192" t="e">
        <f t="shared" si="5"/>
        <v>#NUM!</v>
      </c>
      <c r="K67" s="192" t="e">
        <f t="shared" si="2"/>
        <v>#NUM!</v>
      </c>
      <c r="L67" s="192"/>
      <c r="M67" s="194">
        <f t="shared" si="3"/>
        <v>0</v>
      </c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</row>
    <row r="68" spans="1:38" s="177" customFormat="1" x14ac:dyDescent="0.25">
      <c r="A68" s="102">
        <f t="shared" si="4"/>
        <v>0</v>
      </c>
      <c r="B68" s="36" t="str">
        <f t="shared" si="0"/>
        <v/>
      </c>
      <c r="C68" s="37"/>
      <c r="D68" s="37"/>
      <c r="E68" s="37"/>
      <c r="F68" s="37"/>
      <c r="H68" s="189">
        <v>63</v>
      </c>
      <c r="I68" s="190" t="str">
        <f t="shared" si="1"/>
        <v/>
      </c>
      <c r="J68" s="189" t="e">
        <f t="shared" si="5"/>
        <v>#NUM!</v>
      </c>
      <c r="K68" s="189" t="e">
        <f t="shared" si="2"/>
        <v>#NUM!</v>
      </c>
      <c r="L68" s="189"/>
      <c r="M68" s="191">
        <f t="shared" si="3"/>
        <v>0</v>
      </c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</row>
    <row r="69" spans="1:38" s="177" customFormat="1" x14ac:dyDescent="0.25">
      <c r="A69" s="106">
        <f t="shared" si="4"/>
        <v>0</v>
      </c>
      <c r="B69" s="42" t="str">
        <f t="shared" si="0"/>
        <v/>
      </c>
      <c r="C69" s="43"/>
      <c r="D69" s="43"/>
      <c r="E69" s="43"/>
      <c r="F69" s="43"/>
      <c r="H69" s="192">
        <v>64</v>
      </c>
      <c r="I69" s="193" t="str">
        <f t="shared" si="1"/>
        <v/>
      </c>
      <c r="J69" s="192" t="e">
        <f t="shared" si="5"/>
        <v>#NUM!</v>
      </c>
      <c r="K69" s="192" t="e">
        <f t="shared" si="2"/>
        <v>#NUM!</v>
      </c>
      <c r="L69" s="192"/>
      <c r="M69" s="194">
        <f t="shared" si="3"/>
        <v>0</v>
      </c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</row>
    <row r="70" spans="1:38" s="177" customFormat="1" x14ac:dyDescent="0.25">
      <c r="A70" s="102">
        <f t="shared" si="4"/>
        <v>0</v>
      </c>
      <c r="B70" s="36" t="str">
        <f t="shared" ref="B70:B133" si="6">IF(H70&gt;$H$2,"",(ROW()-5))</f>
        <v/>
      </c>
      <c r="C70" s="37"/>
      <c r="D70" s="37"/>
      <c r="E70" s="37"/>
      <c r="F70" s="37"/>
      <c r="H70" s="189">
        <v>65</v>
      </c>
      <c r="I70" s="190" t="str">
        <f t="shared" ref="I70:I133" si="7">IF(H70&lt;$H$2+1,($I$2-($I$2-1)*(LOG(H70)/LOG($H$2))),"")</f>
        <v/>
      </c>
      <c r="J70" s="189" t="e">
        <f t="shared" si="5"/>
        <v>#NUM!</v>
      </c>
      <c r="K70" s="189" t="e">
        <f t="shared" ref="K70:K133" si="8">J70*$J$2</f>
        <v>#NUM!</v>
      </c>
      <c r="L70" s="189"/>
      <c r="M70" s="191">
        <f t="shared" ref="M70:M133" si="9">IF(I70&lt;&gt;"",K70+I70+L70,0)</f>
        <v>0</v>
      </c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</row>
    <row r="71" spans="1:38" s="177" customFormat="1" x14ac:dyDescent="0.25">
      <c r="A71" s="106">
        <f t="shared" ref="A71:A134" si="10">M71</f>
        <v>0</v>
      </c>
      <c r="B71" s="42" t="str">
        <f t="shared" si="6"/>
        <v/>
      </c>
      <c r="C71" s="43"/>
      <c r="D71" s="43"/>
      <c r="E71" s="43"/>
      <c r="F71" s="43"/>
      <c r="H71" s="192">
        <v>66</v>
      </c>
      <c r="I71" s="193" t="str">
        <f t="shared" si="7"/>
        <v/>
      </c>
      <c r="J71" s="192" t="e">
        <f t="shared" ref="J71:J134" si="11">INT(LOG($H$2,2))-ROUNDUP(LOG(H71,2),0)+IF(OR($H$2=1,$H$2=2,$H$2=4,$H$2=8,$H$2=16,$H$2=32,$H$2=64,$H$2=128,$H$2=256),0,1)</f>
        <v>#NUM!</v>
      </c>
      <c r="K71" s="192" t="e">
        <f t="shared" si="8"/>
        <v>#NUM!</v>
      </c>
      <c r="L71" s="192"/>
      <c r="M71" s="194">
        <f t="shared" si="9"/>
        <v>0</v>
      </c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</row>
    <row r="72" spans="1:38" s="177" customFormat="1" x14ac:dyDescent="0.25">
      <c r="A72" s="102">
        <f t="shared" si="10"/>
        <v>0</v>
      </c>
      <c r="B72" s="36" t="str">
        <f t="shared" si="6"/>
        <v/>
      </c>
      <c r="C72" s="37"/>
      <c r="D72" s="37"/>
      <c r="E72" s="37"/>
      <c r="F72" s="37"/>
      <c r="H72" s="189">
        <v>67</v>
      </c>
      <c r="I72" s="190" t="str">
        <f t="shared" si="7"/>
        <v/>
      </c>
      <c r="J72" s="189" t="e">
        <f t="shared" si="11"/>
        <v>#NUM!</v>
      </c>
      <c r="K72" s="189" t="e">
        <f t="shared" si="8"/>
        <v>#NUM!</v>
      </c>
      <c r="L72" s="189"/>
      <c r="M72" s="191">
        <f t="shared" si="9"/>
        <v>0</v>
      </c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</row>
    <row r="73" spans="1:38" s="177" customFormat="1" x14ac:dyDescent="0.25">
      <c r="A73" s="106">
        <f t="shared" si="10"/>
        <v>0</v>
      </c>
      <c r="B73" s="42" t="str">
        <f t="shared" si="6"/>
        <v/>
      </c>
      <c r="C73" s="43"/>
      <c r="D73" s="43"/>
      <c r="E73" s="43"/>
      <c r="F73" s="43"/>
      <c r="H73" s="192">
        <v>68</v>
      </c>
      <c r="I73" s="193" t="str">
        <f t="shared" si="7"/>
        <v/>
      </c>
      <c r="J73" s="192" t="e">
        <f t="shared" si="11"/>
        <v>#NUM!</v>
      </c>
      <c r="K73" s="192" t="e">
        <f t="shared" si="8"/>
        <v>#NUM!</v>
      </c>
      <c r="L73" s="192"/>
      <c r="M73" s="194">
        <f t="shared" si="9"/>
        <v>0</v>
      </c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</row>
    <row r="74" spans="1:38" s="177" customFormat="1" x14ac:dyDescent="0.25">
      <c r="A74" s="102">
        <f t="shared" si="10"/>
        <v>0</v>
      </c>
      <c r="B74" s="36" t="str">
        <f t="shared" si="6"/>
        <v/>
      </c>
      <c r="C74" s="37"/>
      <c r="D74" s="37"/>
      <c r="E74" s="37"/>
      <c r="F74" s="37"/>
      <c r="H74" s="189">
        <v>69</v>
      </c>
      <c r="I74" s="190" t="str">
        <f t="shared" si="7"/>
        <v/>
      </c>
      <c r="J74" s="189" t="e">
        <f t="shared" si="11"/>
        <v>#NUM!</v>
      </c>
      <c r="K74" s="189" t="e">
        <f t="shared" si="8"/>
        <v>#NUM!</v>
      </c>
      <c r="L74" s="189"/>
      <c r="M74" s="191">
        <f t="shared" si="9"/>
        <v>0</v>
      </c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</row>
    <row r="75" spans="1:38" s="177" customFormat="1" x14ac:dyDescent="0.25">
      <c r="A75" s="106">
        <f t="shared" si="10"/>
        <v>0</v>
      </c>
      <c r="B75" s="42" t="str">
        <f t="shared" si="6"/>
        <v/>
      </c>
      <c r="C75" s="43"/>
      <c r="D75" s="43"/>
      <c r="E75" s="43"/>
      <c r="F75" s="43"/>
      <c r="H75" s="192">
        <v>70</v>
      </c>
      <c r="I75" s="193" t="str">
        <f t="shared" si="7"/>
        <v/>
      </c>
      <c r="J75" s="192" t="e">
        <f t="shared" si="11"/>
        <v>#NUM!</v>
      </c>
      <c r="K75" s="192" t="e">
        <f t="shared" si="8"/>
        <v>#NUM!</v>
      </c>
      <c r="L75" s="192"/>
      <c r="M75" s="194">
        <f t="shared" si="9"/>
        <v>0</v>
      </c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</row>
    <row r="76" spans="1:38" s="177" customFormat="1" x14ac:dyDescent="0.25">
      <c r="A76" s="102">
        <f t="shared" si="10"/>
        <v>0</v>
      </c>
      <c r="B76" s="36" t="str">
        <f t="shared" si="6"/>
        <v/>
      </c>
      <c r="C76" s="37"/>
      <c r="D76" s="37"/>
      <c r="E76" s="37"/>
      <c r="F76" s="37"/>
      <c r="H76" s="189">
        <v>71</v>
      </c>
      <c r="I76" s="190" t="str">
        <f t="shared" si="7"/>
        <v/>
      </c>
      <c r="J76" s="189" t="e">
        <f t="shared" si="11"/>
        <v>#NUM!</v>
      </c>
      <c r="K76" s="189" t="e">
        <f t="shared" si="8"/>
        <v>#NUM!</v>
      </c>
      <c r="L76" s="189"/>
      <c r="M76" s="191">
        <f t="shared" si="9"/>
        <v>0</v>
      </c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</row>
    <row r="77" spans="1:38" s="177" customFormat="1" x14ac:dyDescent="0.25">
      <c r="A77" s="106">
        <f t="shared" si="10"/>
        <v>0</v>
      </c>
      <c r="B77" s="42" t="str">
        <f t="shared" si="6"/>
        <v/>
      </c>
      <c r="C77" s="43"/>
      <c r="D77" s="43"/>
      <c r="E77" s="43"/>
      <c r="F77" s="43"/>
      <c r="H77" s="192">
        <v>72</v>
      </c>
      <c r="I77" s="193" t="str">
        <f t="shared" si="7"/>
        <v/>
      </c>
      <c r="J77" s="192" t="e">
        <f t="shared" si="11"/>
        <v>#NUM!</v>
      </c>
      <c r="K77" s="192" t="e">
        <f t="shared" si="8"/>
        <v>#NUM!</v>
      </c>
      <c r="L77" s="192"/>
      <c r="M77" s="194">
        <f t="shared" si="9"/>
        <v>0</v>
      </c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</row>
    <row r="78" spans="1:38" s="177" customFormat="1" x14ac:dyDescent="0.25">
      <c r="A78" s="102">
        <f t="shared" si="10"/>
        <v>0</v>
      </c>
      <c r="B78" s="36" t="str">
        <f t="shared" si="6"/>
        <v/>
      </c>
      <c r="C78" s="37"/>
      <c r="D78" s="37"/>
      <c r="E78" s="37"/>
      <c r="F78" s="37"/>
      <c r="H78" s="189">
        <v>73</v>
      </c>
      <c r="I78" s="190" t="str">
        <f t="shared" si="7"/>
        <v/>
      </c>
      <c r="J78" s="189" t="e">
        <f t="shared" si="11"/>
        <v>#NUM!</v>
      </c>
      <c r="K78" s="189" t="e">
        <f t="shared" si="8"/>
        <v>#NUM!</v>
      </c>
      <c r="L78" s="189"/>
      <c r="M78" s="191">
        <f t="shared" si="9"/>
        <v>0</v>
      </c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</row>
    <row r="79" spans="1:38" s="177" customFormat="1" x14ac:dyDescent="0.25">
      <c r="A79" s="106">
        <f t="shared" si="10"/>
        <v>0</v>
      </c>
      <c r="B79" s="42" t="str">
        <f t="shared" si="6"/>
        <v/>
      </c>
      <c r="C79" s="43"/>
      <c r="D79" s="43"/>
      <c r="E79" s="43"/>
      <c r="F79" s="43"/>
      <c r="H79" s="192">
        <v>74</v>
      </c>
      <c r="I79" s="193" t="str">
        <f t="shared" si="7"/>
        <v/>
      </c>
      <c r="J79" s="192" t="e">
        <f t="shared" si="11"/>
        <v>#NUM!</v>
      </c>
      <c r="K79" s="192" t="e">
        <f t="shared" si="8"/>
        <v>#NUM!</v>
      </c>
      <c r="L79" s="192"/>
      <c r="M79" s="194">
        <f t="shared" si="9"/>
        <v>0</v>
      </c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</row>
    <row r="80" spans="1:38" s="177" customFormat="1" x14ac:dyDescent="0.25">
      <c r="A80" s="102">
        <f t="shared" si="10"/>
        <v>0</v>
      </c>
      <c r="B80" s="36" t="str">
        <f t="shared" si="6"/>
        <v/>
      </c>
      <c r="C80" s="37"/>
      <c r="D80" s="37"/>
      <c r="E80" s="37"/>
      <c r="F80" s="37"/>
      <c r="H80" s="189">
        <v>75</v>
      </c>
      <c r="I80" s="190" t="str">
        <f t="shared" si="7"/>
        <v/>
      </c>
      <c r="J80" s="189" t="e">
        <f t="shared" si="11"/>
        <v>#NUM!</v>
      </c>
      <c r="K80" s="189" t="e">
        <f t="shared" si="8"/>
        <v>#NUM!</v>
      </c>
      <c r="L80" s="189"/>
      <c r="M80" s="191">
        <f t="shared" si="9"/>
        <v>0</v>
      </c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</row>
    <row r="81" spans="1:38" s="177" customFormat="1" x14ac:dyDescent="0.25">
      <c r="A81" s="106">
        <f t="shared" si="10"/>
        <v>0</v>
      </c>
      <c r="B81" s="42" t="str">
        <f t="shared" si="6"/>
        <v/>
      </c>
      <c r="C81" s="43"/>
      <c r="D81" s="43"/>
      <c r="E81" s="43"/>
      <c r="F81" s="43"/>
      <c r="H81" s="192">
        <v>76</v>
      </c>
      <c r="I81" s="193" t="str">
        <f t="shared" si="7"/>
        <v/>
      </c>
      <c r="J81" s="192" t="e">
        <f t="shared" si="11"/>
        <v>#NUM!</v>
      </c>
      <c r="K81" s="192" t="e">
        <f t="shared" si="8"/>
        <v>#NUM!</v>
      </c>
      <c r="L81" s="192"/>
      <c r="M81" s="194">
        <f t="shared" si="9"/>
        <v>0</v>
      </c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</row>
    <row r="82" spans="1:38" s="177" customFormat="1" x14ac:dyDescent="0.25">
      <c r="A82" s="102">
        <f t="shared" si="10"/>
        <v>0</v>
      </c>
      <c r="B82" s="36" t="str">
        <f t="shared" si="6"/>
        <v/>
      </c>
      <c r="C82" s="37"/>
      <c r="D82" s="37"/>
      <c r="E82" s="37"/>
      <c r="F82" s="37"/>
      <c r="H82" s="189">
        <v>77</v>
      </c>
      <c r="I82" s="190" t="str">
        <f t="shared" si="7"/>
        <v/>
      </c>
      <c r="J82" s="189" t="e">
        <f t="shared" si="11"/>
        <v>#NUM!</v>
      </c>
      <c r="K82" s="189" t="e">
        <f t="shared" si="8"/>
        <v>#NUM!</v>
      </c>
      <c r="L82" s="189"/>
      <c r="M82" s="191">
        <f t="shared" si="9"/>
        <v>0</v>
      </c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</row>
    <row r="83" spans="1:38" s="177" customFormat="1" x14ac:dyDescent="0.25">
      <c r="A83" s="106">
        <f t="shared" si="10"/>
        <v>0</v>
      </c>
      <c r="B83" s="42" t="str">
        <f t="shared" si="6"/>
        <v/>
      </c>
      <c r="C83" s="43"/>
      <c r="D83" s="43"/>
      <c r="E83" s="43"/>
      <c r="F83" s="43"/>
      <c r="H83" s="192">
        <v>78</v>
      </c>
      <c r="I83" s="193" t="str">
        <f t="shared" si="7"/>
        <v/>
      </c>
      <c r="J83" s="192" t="e">
        <f t="shared" si="11"/>
        <v>#NUM!</v>
      </c>
      <c r="K83" s="192" t="e">
        <f t="shared" si="8"/>
        <v>#NUM!</v>
      </c>
      <c r="L83" s="192"/>
      <c r="M83" s="194">
        <f t="shared" si="9"/>
        <v>0</v>
      </c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</row>
    <row r="84" spans="1:38" s="177" customFormat="1" x14ac:dyDescent="0.25">
      <c r="A84" s="102">
        <f t="shared" si="10"/>
        <v>0</v>
      </c>
      <c r="B84" s="36" t="str">
        <f t="shared" si="6"/>
        <v/>
      </c>
      <c r="C84" s="37"/>
      <c r="D84" s="37"/>
      <c r="E84" s="37"/>
      <c r="F84" s="37"/>
      <c r="H84" s="189">
        <v>79</v>
      </c>
      <c r="I84" s="190" t="str">
        <f t="shared" si="7"/>
        <v/>
      </c>
      <c r="J84" s="189" t="e">
        <f t="shared" si="11"/>
        <v>#NUM!</v>
      </c>
      <c r="K84" s="189" t="e">
        <f t="shared" si="8"/>
        <v>#NUM!</v>
      </c>
      <c r="L84" s="189"/>
      <c r="M84" s="191">
        <f t="shared" si="9"/>
        <v>0</v>
      </c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</row>
    <row r="85" spans="1:38" s="177" customFormat="1" x14ac:dyDescent="0.25">
      <c r="A85" s="106">
        <f t="shared" si="10"/>
        <v>0</v>
      </c>
      <c r="B85" s="42" t="str">
        <f t="shared" si="6"/>
        <v/>
      </c>
      <c r="C85" s="43"/>
      <c r="D85" s="43"/>
      <c r="E85" s="43"/>
      <c r="F85" s="43"/>
      <c r="H85" s="192">
        <v>80</v>
      </c>
      <c r="I85" s="193" t="str">
        <f t="shared" si="7"/>
        <v/>
      </c>
      <c r="J85" s="192" t="e">
        <f t="shared" si="11"/>
        <v>#NUM!</v>
      </c>
      <c r="K85" s="192" t="e">
        <f t="shared" si="8"/>
        <v>#NUM!</v>
      </c>
      <c r="L85" s="192"/>
      <c r="M85" s="194">
        <f t="shared" si="9"/>
        <v>0</v>
      </c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</row>
    <row r="86" spans="1:38" s="177" customFormat="1" x14ac:dyDescent="0.25">
      <c r="A86" s="102">
        <f t="shared" si="10"/>
        <v>0</v>
      </c>
      <c r="B86" s="36" t="str">
        <f t="shared" si="6"/>
        <v/>
      </c>
      <c r="C86" s="37"/>
      <c r="D86" s="37"/>
      <c r="E86" s="37"/>
      <c r="F86" s="37"/>
      <c r="H86" s="189">
        <v>81</v>
      </c>
      <c r="I86" s="190" t="str">
        <f t="shared" si="7"/>
        <v/>
      </c>
      <c r="J86" s="189" t="e">
        <f t="shared" si="11"/>
        <v>#NUM!</v>
      </c>
      <c r="K86" s="189" t="e">
        <f t="shared" si="8"/>
        <v>#NUM!</v>
      </c>
      <c r="L86" s="189"/>
      <c r="M86" s="191">
        <f t="shared" si="9"/>
        <v>0</v>
      </c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</row>
    <row r="87" spans="1:38" s="177" customFormat="1" x14ac:dyDescent="0.25">
      <c r="A87" s="106">
        <f t="shared" si="10"/>
        <v>0</v>
      </c>
      <c r="B87" s="42" t="str">
        <f t="shared" si="6"/>
        <v/>
      </c>
      <c r="C87" s="43"/>
      <c r="D87" s="43"/>
      <c r="E87" s="43"/>
      <c r="F87" s="43"/>
      <c r="H87" s="192">
        <v>82</v>
      </c>
      <c r="I87" s="193" t="str">
        <f t="shared" si="7"/>
        <v/>
      </c>
      <c r="J87" s="192" t="e">
        <f t="shared" si="11"/>
        <v>#NUM!</v>
      </c>
      <c r="K87" s="192" t="e">
        <f t="shared" si="8"/>
        <v>#NUM!</v>
      </c>
      <c r="L87" s="192"/>
      <c r="M87" s="194">
        <f t="shared" si="9"/>
        <v>0</v>
      </c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</row>
    <row r="88" spans="1:38" s="177" customFormat="1" x14ac:dyDescent="0.25">
      <c r="A88" s="102">
        <f t="shared" si="10"/>
        <v>0</v>
      </c>
      <c r="B88" s="36" t="str">
        <f t="shared" si="6"/>
        <v/>
      </c>
      <c r="C88" s="37"/>
      <c r="D88" s="37"/>
      <c r="E88" s="37"/>
      <c r="F88" s="37"/>
      <c r="H88" s="189">
        <v>83</v>
      </c>
      <c r="I88" s="190" t="str">
        <f t="shared" si="7"/>
        <v/>
      </c>
      <c r="J88" s="189" t="e">
        <f t="shared" si="11"/>
        <v>#NUM!</v>
      </c>
      <c r="K88" s="189" t="e">
        <f t="shared" si="8"/>
        <v>#NUM!</v>
      </c>
      <c r="L88" s="189"/>
      <c r="M88" s="191">
        <f t="shared" si="9"/>
        <v>0</v>
      </c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</row>
    <row r="89" spans="1:38" s="177" customFormat="1" x14ac:dyDescent="0.25">
      <c r="A89" s="106">
        <f t="shared" si="10"/>
        <v>0</v>
      </c>
      <c r="B89" s="42" t="str">
        <f t="shared" si="6"/>
        <v/>
      </c>
      <c r="C89" s="43"/>
      <c r="D89" s="43"/>
      <c r="E89" s="43"/>
      <c r="F89" s="43"/>
      <c r="H89" s="192">
        <v>84</v>
      </c>
      <c r="I89" s="193" t="str">
        <f t="shared" si="7"/>
        <v/>
      </c>
      <c r="J89" s="192" t="e">
        <f t="shared" si="11"/>
        <v>#NUM!</v>
      </c>
      <c r="K89" s="192" t="e">
        <f t="shared" si="8"/>
        <v>#NUM!</v>
      </c>
      <c r="L89" s="192"/>
      <c r="M89" s="194">
        <f t="shared" si="9"/>
        <v>0</v>
      </c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</row>
    <row r="90" spans="1:38" s="177" customFormat="1" x14ac:dyDescent="0.25">
      <c r="A90" s="102">
        <f t="shared" si="10"/>
        <v>0</v>
      </c>
      <c r="B90" s="36" t="str">
        <f t="shared" si="6"/>
        <v/>
      </c>
      <c r="C90" s="37"/>
      <c r="D90" s="37"/>
      <c r="E90" s="37"/>
      <c r="F90" s="37"/>
      <c r="H90" s="189">
        <v>85</v>
      </c>
      <c r="I90" s="190" t="str">
        <f t="shared" si="7"/>
        <v/>
      </c>
      <c r="J90" s="189" t="e">
        <f t="shared" si="11"/>
        <v>#NUM!</v>
      </c>
      <c r="K90" s="189" t="e">
        <f t="shared" si="8"/>
        <v>#NUM!</v>
      </c>
      <c r="L90" s="189"/>
      <c r="M90" s="191">
        <f t="shared" si="9"/>
        <v>0</v>
      </c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</row>
    <row r="91" spans="1:38" s="177" customFormat="1" x14ac:dyDescent="0.25">
      <c r="A91" s="106">
        <f t="shared" si="10"/>
        <v>0</v>
      </c>
      <c r="B91" s="42" t="str">
        <f t="shared" si="6"/>
        <v/>
      </c>
      <c r="C91" s="43"/>
      <c r="D91" s="43"/>
      <c r="E91" s="43"/>
      <c r="F91" s="43"/>
      <c r="H91" s="192">
        <v>86</v>
      </c>
      <c r="I91" s="193" t="str">
        <f t="shared" si="7"/>
        <v/>
      </c>
      <c r="J91" s="192" t="e">
        <f t="shared" si="11"/>
        <v>#NUM!</v>
      </c>
      <c r="K91" s="192" t="e">
        <f t="shared" si="8"/>
        <v>#NUM!</v>
      </c>
      <c r="L91" s="192"/>
      <c r="M91" s="194">
        <f t="shared" si="9"/>
        <v>0</v>
      </c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</row>
    <row r="92" spans="1:38" s="177" customFormat="1" x14ac:dyDescent="0.25">
      <c r="A92" s="102">
        <f t="shared" si="10"/>
        <v>0</v>
      </c>
      <c r="B92" s="36" t="str">
        <f t="shared" si="6"/>
        <v/>
      </c>
      <c r="C92" s="37"/>
      <c r="D92" s="37"/>
      <c r="E92" s="37"/>
      <c r="F92" s="37"/>
      <c r="H92" s="189">
        <v>87</v>
      </c>
      <c r="I92" s="190" t="str">
        <f t="shared" si="7"/>
        <v/>
      </c>
      <c r="J92" s="189" t="e">
        <f t="shared" si="11"/>
        <v>#NUM!</v>
      </c>
      <c r="K92" s="189" t="e">
        <f t="shared" si="8"/>
        <v>#NUM!</v>
      </c>
      <c r="L92" s="189"/>
      <c r="M92" s="191">
        <f t="shared" si="9"/>
        <v>0</v>
      </c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</row>
    <row r="93" spans="1:38" s="177" customFormat="1" x14ac:dyDescent="0.25">
      <c r="A93" s="106">
        <f t="shared" si="10"/>
        <v>0</v>
      </c>
      <c r="B93" s="42" t="str">
        <f t="shared" si="6"/>
        <v/>
      </c>
      <c r="C93" s="43"/>
      <c r="D93" s="43"/>
      <c r="E93" s="43"/>
      <c r="F93" s="43"/>
      <c r="H93" s="192">
        <v>88</v>
      </c>
      <c r="I93" s="193" t="str">
        <f t="shared" si="7"/>
        <v/>
      </c>
      <c r="J93" s="192" t="e">
        <f t="shared" si="11"/>
        <v>#NUM!</v>
      </c>
      <c r="K93" s="192" t="e">
        <f t="shared" si="8"/>
        <v>#NUM!</v>
      </c>
      <c r="L93" s="192"/>
      <c r="M93" s="194">
        <f t="shared" si="9"/>
        <v>0</v>
      </c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</row>
    <row r="94" spans="1:38" s="177" customFormat="1" x14ac:dyDescent="0.25">
      <c r="A94" s="102">
        <f t="shared" si="10"/>
        <v>0</v>
      </c>
      <c r="B94" s="36" t="str">
        <f t="shared" si="6"/>
        <v/>
      </c>
      <c r="C94" s="37"/>
      <c r="D94" s="37"/>
      <c r="E94" s="37"/>
      <c r="F94" s="37"/>
      <c r="H94" s="189">
        <v>89</v>
      </c>
      <c r="I94" s="190" t="str">
        <f t="shared" si="7"/>
        <v/>
      </c>
      <c r="J94" s="189" t="e">
        <f t="shared" si="11"/>
        <v>#NUM!</v>
      </c>
      <c r="K94" s="189" t="e">
        <f t="shared" si="8"/>
        <v>#NUM!</v>
      </c>
      <c r="L94" s="189"/>
      <c r="M94" s="191">
        <f t="shared" si="9"/>
        <v>0</v>
      </c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</row>
    <row r="95" spans="1:38" s="177" customFormat="1" x14ac:dyDescent="0.25">
      <c r="A95" s="106">
        <f t="shared" si="10"/>
        <v>0</v>
      </c>
      <c r="B95" s="42" t="str">
        <f t="shared" si="6"/>
        <v/>
      </c>
      <c r="C95" s="43"/>
      <c r="D95" s="43"/>
      <c r="E95" s="43"/>
      <c r="F95" s="43"/>
      <c r="H95" s="192">
        <v>90</v>
      </c>
      <c r="I95" s="193" t="str">
        <f t="shared" si="7"/>
        <v/>
      </c>
      <c r="J95" s="192" t="e">
        <f t="shared" si="11"/>
        <v>#NUM!</v>
      </c>
      <c r="K95" s="192" t="e">
        <f t="shared" si="8"/>
        <v>#NUM!</v>
      </c>
      <c r="L95" s="192"/>
      <c r="M95" s="194">
        <f t="shared" si="9"/>
        <v>0</v>
      </c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</row>
    <row r="96" spans="1:38" s="177" customFormat="1" x14ac:dyDescent="0.25">
      <c r="A96" s="102">
        <f t="shared" si="10"/>
        <v>0</v>
      </c>
      <c r="B96" s="36" t="str">
        <f t="shared" si="6"/>
        <v/>
      </c>
      <c r="C96" s="37"/>
      <c r="D96" s="37"/>
      <c r="E96" s="37"/>
      <c r="F96" s="37"/>
      <c r="H96" s="189">
        <v>91</v>
      </c>
      <c r="I96" s="190" t="str">
        <f t="shared" si="7"/>
        <v/>
      </c>
      <c r="J96" s="189" t="e">
        <f t="shared" si="11"/>
        <v>#NUM!</v>
      </c>
      <c r="K96" s="189" t="e">
        <f t="shared" si="8"/>
        <v>#NUM!</v>
      </c>
      <c r="L96" s="189"/>
      <c r="M96" s="191">
        <f t="shared" si="9"/>
        <v>0</v>
      </c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</row>
    <row r="97" spans="1:38" s="177" customFormat="1" x14ac:dyDescent="0.25">
      <c r="A97" s="106">
        <f t="shared" si="10"/>
        <v>0</v>
      </c>
      <c r="B97" s="42" t="str">
        <f t="shared" si="6"/>
        <v/>
      </c>
      <c r="C97" s="43"/>
      <c r="D97" s="43"/>
      <c r="E97" s="43"/>
      <c r="F97" s="43"/>
      <c r="H97" s="192">
        <v>92</v>
      </c>
      <c r="I97" s="193" t="str">
        <f t="shared" si="7"/>
        <v/>
      </c>
      <c r="J97" s="192" t="e">
        <f t="shared" si="11"/>
        <v>#NUM!</v>
      </c>
      <c r="K97" s="192" t="e">
        <f t="shared" si="8"/>
        <v>#NUM!</v>
      </c>
      <c r="L97" s="192"/>
      <c r="M97" s="194">
        <f t="shared" si="9"/>
        <v>0</v>
      </c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</row>
    <row r="98" spans="1:38" s="177" customFormat="1" x14ac:dyDescent="0.25">
      <c r="A98" s="102">
        <f t="shared" si="10"/>
        <v>0</v>
      </c>
      <c r="B98" s="36" t="str">
        <f t="shared" si="6"/>
        <v/>
      </c>
      <c r="C98" s="37"/>
      <c r="D98" s="37"/>
      <c r="E98" s="37"/>
      <c r="F98" s="37"/>
      <c r="H98" s="189">
        <v>93</v>
      </c>
      <c r="I98" s="190" t="str">
        <f t="shared" si="7"/>
        <v/>
      </c>
      <c r="J98" s="189" t="e">
        <f t="shared" si="11"/>
        <v>#NUM!</v>
      </c>
      <c r="K98" s="189" t="e">
        <f t="shared" si="8"/>
        <v>#NUM!</v>
      </c>
      <c r="L98" s="189"/>
      <c r="M98" s="191">
        <f t="shared" si="9"/>
        <v>0</v>
      </c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</row>
    <row r="99" spans="1:38" s="177" customFormat="1" x14ac:dyDescent="0.25">
      <c r="A99" s="106">
        <f t="shared" si="10"/>
        <v>0</v>
      </c>
      <c r="B99" s="42" t="str">
        <f t="shared" si="6"/>
        <v/>
      </c>
      <c r="C99" s="43"/>
      <c r="D99" s="43"/>
      <c r="E99" s="43"/>
      <c r="F99" s="43"/>
      <c r="H99" s="192">
        <v>94</v>
      </c>
      <c r="I99" s="193" t="str">
        <f t="shared" si="7"/>
        <v/>
      </c>
      <c r="J99" s="192" t="e">
        <f t="shared" si="11"/>
        <v>#NUM!</v>
      </c>
      <c r="K99" s="192" t="e">
        <f t="shared" si="8"/>
        <v>#NUM!</v>
      </c>
      <c r="L99" s="192"/>
      <c r="M99" s="194">
        <f t="shared" si="9"/>
        <v>0</v>
      </c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</row>
    <row r="100" spans="1:38" s="177" customFormat="1" x14ac:dyDescent="0.25">
      <c r="A100" s="102">
        <f t="shared" si="10"/>
        <v>0</v>
      </c>
      <c r="B100" s="36" t="str">
        <f t="shared" si="6"/>
        <v/>
      </c>
      <c r="C100" s="37"/>
      <c r="D100" s="37"/>
      <c r="E100" s="37"/>
      <c r="F100" s="37"/>
      <c r="H100" s="189">
        <v>95</v>
      </c>
      <c r="I100" s="190" t="str">
        <f t="shared" si="7"/>
        <v/>
      </c>
      <c r="J100" s="189" t="e">
        <f t="shared" si="11"/>
        <v>#NUM!</v>
      </c>
      <c r="K100" s="189" t="e">
        <f t="shared" si="8"/>
        <v>#NUM!</v>
      </c>
      <c r="L100" s="189"/>
      <c r="M100" s="191">
        <f t="shared" si="9"/>
        <v>0</v>
      </c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</row>
    <row r="101" spans="1:38" s="177" customFormat="1" x14ac:dyDescent="0.25">
      <c r="A101" s="106">
        <f t="shared" si="10"/>
        <v>0</v>
      </c>
      <c r="B101" s="42" t="str">
        <f t="shared" si="6"/>
        <v/>
      </c>
      <c r="C101" s="43"/>
      <c r="D101" s="43"/>
      <c r="E101" s="43"/>
      <c r="F101" s="43"/>
      <c r="H101" s="192">
        <v>96</v>
      </c>
      <c r="I101" s="193" t="str">
        <f t="shared" si="7"/>
        <v/>
      </c>
      <c r="J101" s="192" t="e">
        <f t="shared" si="11"/>
        <v>#NUM!</v>
      </c>
      <c r="K101" s="192" t="e">
        <f t="shared" si="8"/>
        <v>#NUM!</v>
      </c>
      <c r="L101" s="192"/>
      <c r="M101" s="194">
        <f t="shared" si="9"/>
        <v>0</v>
      </c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</row>
    <row r="102" spans="1:38" s="177" customFormat="1" x14ac:dyDescent="0.25">
      <c r="A102" s="102">
        <f t="shared" si="10"/>
        <v>0</v>
      </c>
      <c r="B102" s="36" t="str">
        <f t="shared" si="6"/>
        <v/>
      </c>
      <c r="C102" s="37"/>
      <c r="D102" s="37"/>
      <c r="E102" s="37"/>
      <c r="F102" s="37"/>
      <c r="H102" s="189">
        <v>97</v>
      </c>
      <c r="I102" s="190" t="str">
        <f t="shared" si="7"/>
        <v/>
      </c>
      <c r="J102" s="189" t="e">
        <f t="shared" si="11"/>
        <v>#NUM!</v>
      </c>
      <c r="K102" s="189" t="e">
        <f t="shared" si="8"/>
        <v>#NUM!</v>
      </c>
      <c r="L102" s="189"/>
      <c r="M102" s="191">
        <f t="shared" si="9"/>
        <v>0</v>
      </c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</row>
    <row r="103" spans="1:38" s="177" customFormat="1" x14ac:dyDescent="0.25">
      <c r="A103" s="106">
        <f t="shared" si="10"/>
        <v>0</v>
      </c>
      <c r="B103" s="42" t="str">
        <f t="shared" si="6"/>
        <v/>
      </c>
      <c r="C103" s="43"/>
      <c r="D103" s="43"/>
      <c r="E103" s="43"/>
      <c r="F103" s="43"/>
      <c r="H103" s="192">
        <v>98</v>
      </c>
      <c r="I103" s="193" t="str">
        <f t="shared" si="7"/>
        <v/>
      </c>
      <c r="J103" s="192" t="e">
        <f t="shared" si="11"/>
        <v>#NUM!</v>
      </c>
      <c r="K103" s="192" t="e">
        <f t="shared" si="8"/>
        <v>#NUM!</v>
      </c>
      <c r="L103" s="192"/>
      <c r="M103" s="194">
        <f t="shared" si="9"/>
        <v>0</v>
      </c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</row>
    <row r="104" spans="1:38" s="177" customFormat="1" x14ac:dyDescent="0.25">
      <c r="A104" s="102">
        <f t="shared" si="10"/>
        <v>0</v>
      </c>
      <c r="B104" s="36" t="str">
        <f t="shared" si="6"/>
        <v/>
      </c>
      <c r="C104" s="37"/>
      <c r="D104" s="37"/>
      <c r="E104" s="37"/>
      <c r="F104" s="37"/>
      <c r="H104" s="189">
        <v>99</v>
      </c>
      <c r="I104" s="190" t="str">
        <f t="shared" si="7"/>
        <v/>
      </c>
      <c r="J104" s="189" t="e">
        <f t="shared" si="11"/>
        <v>#NUM!</v>
      </c>
      <c r="K104" s="189" t="e">
        <f t="shared" si="8"/>
        <v>#NUM!</v>
      </c>
      <c r="L104" s="189"/>
      <c r="M104" s="191">
        <f t="shared" si="9"/>
        <v>0</v>
      </c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</row>
    <row r="105" spans="1:38" s="177" customFormat="1" x14ac:dyDescent="0.25">
      <c r="A105" s="106">
        <f t="shared" si="10"/>
        <v>0</v>
      </c>
      <c r="B105" s="42" t="str">
        <f t="shared" si="6"/>
        <v/>
      </c>
      <c r="C105" s="43"/>
      <c r="D105" s="43"/>
      <c r="E105" s="43"/>
      <c r="F105" s="43"/>
      <c r="H105" s="192">
        <v>100</v>
      </c>
      <c r="I105" s="193" t="str">
        <f t="shared" si="7"/>
        <v/>
      </c>
      <c r="J105" s="192" t="e">
        <f t="shared" si="11"/>
        <v>#NUM!</v>
      </c>
      <c r="K105" s="192" t="e">
        <f t="shared" si="8"/>
        <v>#NUM!</v>
      </c>
      <c r="L105" s="192"/>
      <c r="M105" s="194">
        <f t="shared" si="9"/>
        <v>0</v>
      </c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</row>
    <row r="106" spans="1:38" s="177" customFormat="1" x14ac:dyDescent="0.25">
      <c r="A106" s="102">
        <f t="shared" si="10"/>
        <v>0</v>
      </c>
      <c r="B106" s="36" t="str">
        <f t="shared" si="6"/>
        <v/>
      </c>
      <c r="C106" s="37"/>
      <c r="D106" s="37"/>
      <c r="E106" s="37"/>
      <c r="F106" s="37"/>
      <c r="H106" s="189">
        <v>101</v>
      </c>
      <c r="I106" s="190" t="str">
        <f t="shared" si="7"/>
        <v/>
      </c>
      <c r="J106" s="189" t="e">
        <f t="shared" si="11"/>
        <v>#NUM!</v>
      </c>
      <c r="K106" s="189" t="e">
        <f t="shared" si="8"/>
        <v>#NUM!</v>
      </c>
      <c r="L106" s="189"/>
      <c r="M106" s="191">
        <f t="shared" si="9"/>
        <v>0</v>
      </c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</row>
    <row r="107" spans="1:38" s="177" customFormat="1" x14ac:dyDescent="0.25">
      <c r="A107" s="106">
        <f t="shared" si="10"/>
        <v>0</v>
      </c>
      <c r="B107" s="42" t="str">
        <f t="shared" si="6"/>
        <v/>
      </c>
      <c r="C107" s="43"/>
      <c r="D107" s="43"/>
      <c r="E107" s="43"/>
      <c r="F107" s="43"/>
      <c r="H107" s="192">
        <v>102</v>
      </c>
      <c r="I107" s="193" t="str">
        <f t="shared" si="7"/>
        <v/>
      </c>
      <c r="J107" s="192" t="e">
        <f t="shared" si="11"/>
        <v>#NUM!</v>
      </c>
      <c r="K107" s="192" t="e">
        <f t="shared" si="8"/>
        <v>#NUM!</v>
      </c>
      <c r="L107" s="192"/>
      <c r="M107" s="194">
        <f t="shared" si="9"/>
        <v>0</v>
      </c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</row>
    <row r="108" spans="1:38" s="177" customFormat="1" x14ac:dyDescent="0.25">
      <c r="A108" s="102">
        <f t="shared" si="10"/>
        <v>0</v>
      </c>
      <c r="B108" s="36" t="str">
        <f t="shared" si="6"/>
        <v/>
      </c>
      <c r="C108" s="37"/>
      <c r="D108" s="37"/>
      <c r="E108" s="37"/>
      <c r="F108" s="37"/>
      <c r="H108" s="189">
        <v>103</v>
      </c>
      <c r="I108" s="190" t="str">
        <f t="shared" si="7"/>
        <v/>
      </c>
      <c r="J108" s="189" t="e">
        <f t="shared" si="11"/>
        <v>#NUM!</v>
      </c>
      <c r="K108" s="189" t="e">
        <f t="shared" si="8"/>
        <v>#NUM!</v>
      </c>
      <c r="L108" s="189"/>
      <c r="M108" s="191">
        <f t="shared" si="9"/>
        <v>0</v>
      </c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</row>
    <row r="109" spans="1:38" s="177" customFormat="1" x14ac:dyDescent="0.25">
      <c r="A109" s="106">
        <f t="shared" si="10"/>
        <v>0</v>
      </c>
      <c r="B109" s="42" t="str">
        <f t="shared" si="6"/>
        <v/>
      </c>
      <c r="C109" s="43"/>
      <c r="D109" s="43"/>
      <c r="E109" s="43"/>
      <c r="F109" s="43"/>
      <c r="H109" s="192">
        <v>104</v>
      </c>
      <c r="I109" s="193" t="str">
        <f t="shared" si="7"/>
        <v/>
      </c>
      <c r="J109" s="192" t="e">
        <f t="shared" si="11"/>
        <v>#NUM!</v>
      </c>
      <c r="K109" s="192" t="e">
        <f t="shared" si="8"/>
        <v>#NUM!</v>
      </c>
      <c r="L109" s="192"/>
      <c r="M109" s="194">
        <f t="shared" si="9"/>
        <v>0</v>
      </c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</row>
    <row r="110" spans="1:38" s="177" customFormat="1" x14ac:dyDescent="0.25">
      <c r="A110" s="102">
        <f t="shared" si="10"/>
        <v>0</v>
      </c>
      <c r="B110" s="36" t="str">
        <f t="shared" si="6"/>
        <v/>
      </c>
      <c r="C110" s="37"/>
      <c r="D110" s="37"/>
      <c r="E110" s="37"/>
      <c r="F110" s="37"/>
      <c r="H110" s="189">
        <v>105</v>
      </c>
      <c r="I110" s="190" t="str">
        <f t="shared" si="7"/>
        <v/>
      </c>
      <c r="J110" s="189" t="e">
        <f t="shared" si="11"/>
        <v>#NUM!</v>
      </c>
      <c r="K110" s="189" t="e">
        <f t="shared" si="8"/>
        <v>#NUM!</v>
      </c>
      <c r="L110" s="189"/>
      <c r="M110" s="191">
        <f t="shared" si="9"/>
        <v>0</v>
      </c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</row>
    <row r="111" spans="1:38" s="177" customFormat="1" x14ac:dyDescent="0.25">
      <c r="A111" s="106">
        <f t="shared" si="10"/>
        <v>0</v>
      </c>
      <c r="B111" s="42" t="str">
        <f t="shared" si="6"/>
        <v/>
      </c>
      <c r="C111" s="43"/>
      <c r="D111" s="43"/>
      <c r="E111" s="43"/>
      <c r="F111" s="43"/>
      <c r="H111" s="192">
        <v>106</v>
      </c>
      <c r="I111" s="193" t="str">
        <f t="shared" si="7"/>
        <v/>
      </c>
      <c r="J111" s="192" t="e">
        <f t="shared" si="11"/>
        <v>#NUM!</v>
      </c>
      <c r="K111" s="192" t="e">
        <f t="shared" si="8"/>
        <v>#NUM!</v>
      </c>
      <c r="L111" s="192"/>
      <c r="M111" s="194">
        <f t="shared" si="9"/>
        <v>0</v>
      </c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</row>
    <row r="112" spans="1:38" s="177" customFormat="1" x14ac:dyDescent="0.25">
      <c r="A112" s="102">
        <f t="shared" si="10"/>
        <v>0</v>
      </c>
      <c r="B112" s="36" t="str">
        <f t="shared" si="6"/>
        <v/>
      </c>
      <c r="C112" s="37"/>
      <c r="D112" s="37"/>
      <c r="E112" s="37"/>
      <c r="F112" s="37"/>
      <c r="H112" s="189">
        <v>107</v>
      </c>
      <c r="I112" s="190" t="str">
        <f t="shared" si="7"/>
        <v/>
      </c>
      <c r="J112" s="189" t="e">
        <f t="shared" si="11"/>
        <v>#NUM!</v>
      </c>
      <c r="K112" s="189" t="e">
        <f t="shared" si="8"/>
        <v>#NUM!</v>
      </c>
      <c r="L112" s="189"/>
      <c r="M112" s="191">
        <f t="shared" si="9"/>
        <v>0</v>
      </c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</row>
    <row r="113" spans="1:38" s="177" customFormat="1" x14ac:dyDescent="0.25">
      <c r="A113" s="106">
        <f t="shared" si="10"/>
        <v>0</v>
      </c>
      <c r="B113" s="42" t="str">
        <f t="shared" si="6"/>
        <v/>
      </c>
      <c r="C113" s="43"/>
      <c r="D113" s="43"/>
      <c r="E113" s="43"/>
      <c r="F113" s="43"/>
      <c r="H113" s="192">
        <v>108</v>
      </c>
      <c r="I113" s="193" t="str">
        <f t="shared" si="7"/>
        <v/>
      </c>
      <c r="J113" s="192" t="e">
        <f t="shared" si="11"/>
        <v>#NUM!</v>
      </c>
      <c r="K113" s="192" t="e">
        <f t="shared" si="8"/>
        <v>#NUM!</v>
      </c>
      <c r="L113" s="192"/>
      <c r="M113" s="194">
        <f t="shared" si="9"/>
        <v>0</v>
      </c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</row>
    <row r="114" spans="1:38" s="177" customFormat="1" x14ac:dyDescent="0.25">
      <c r="A114" s="102">
        <f t="shared" si="10"/>
        <v>0</v>
      </c>
      <c r="B114" s="36" t="str">
        <f t="shared" si="6"/>
        <v/>
      </c>
      <c r="C114" s="37"/>
      <c r="D114" s="37"/>
      <c r="E114" s="37"/>
      <c r="F114" s="37"/>
      <c r="H114" s="189">
        <v>109</v>
      </c>
      <c r="I114" s="190" t="str">
        <f t="shared" si="7"/>
        <v/>
      </c>
      <c r="J114" s="189" t="e">
        <f t="shared" si="11"/>
        <v>#NUM!</v>
      </c>
      <c r="K114" s="189" t="e">
        <f t="shared" si="8"/>
        <v>#NUM!</v>
      </c>
      <c r="L114" s="189"/>
      <c r="M114" s="191">
        <f t="shared" si="9"/>
        <v>0</v>
      </c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</row>
    <row r="115" spans="1:38" s="177" customFormat="1" x14ac:dyDescent="0.25">
      <c r="A115" s="106">
        <f t="shared" si="10"/>
        <v>0</v>
      </c>
      <c r="B115" s="42" t="str">
        <f t="shared" si="6"/>
        <v/>
      </c>
      <c r="C115" s="43"/>
      <c r="D115" s="43"/>
      <c r="E115" s="43"/>
      <c r="F115" s="43"/>
      <c r="H115" s="192">
        <v>110</v>
      </c>
      <c r="I115" s="193" t="str">
        <f t="shared" si="7"/>
        <v/>
      </c>
      <c r="J115" s="192" t="e">
        <f t="shared" si="11"/>
        <v>#NUM!</v>
      </c>
      <c r="K115" s="192" t="e">
        <f t="shared" si="8"/>
        <v>#NUM!</v>
      </c>
      <c r="L115" s="192"/>
      <c r="M115" s="194">
        <f t="shared" si="9"/>
        <v>0</v>
      </c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</row>
    <row r="116" spans="1:38" s="177" customFormat="1" x14ac:dyDescent="0.25">
      <c r="A116" s="102">
        <f t="shared" si="10"/>
        <v>0</v>
      </c>
      <c r="B116" s="36" t="str">
        <f t="shared" si="6"/>
        <v/>
      </c>
      <c r="C116" s="37"/>
      <c r="D116" s="37"/>
      <c r="E116" s="37"/>
      <c r="F116" s="37"/>
      <c r="H116" s="189">
        <v>111</v>
      </c>
      <c r="I116" s="190" t="str">
        <f t="shared" si="7"/>
        <v/>
      </c>
      <c r="J116" s="189" t="e">
        <f t="shared" si="11"/>
        <v>#NUM!</v>
      </c>
      <c r="K116" s="189" t="e">
        <f t="shared" si="8"/>
        <v>#NUM!</v>
      </c>
      <c r="L116" s="189"/>
      <c r="M116" s="191">
        <f t="shared" si="9"/>
        <v>0</v>
      </c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</row>
    <row r="117" spans="1:38" s="177" customFormat="1" x14ac:dyDescent="0.25">
      <c r="A117" s="106">
        <f t="shared" si="10"/>
        <v>0</v>
      </c>
      <c r="B117" s="42" t="str">
        <f t="shared" si="6"/>
        <v/>
      </c>
      <c r="C117" s="43"/>
      <c r="D117" s="43"/>
      <c r="E117" s="43"/>
      <c r="F117" s="43"/>
      <c r="H117" s="192">
        <v>112</v>
      </c>
      <c r="I117" s="193" t="str">
        <f t="shared" si="7"/>
        <v/>
      </c>
      <c r="J117" s="192" t="e">
        <f t="shared" si="11"/>
        <v>#NUM!</v>
      </c>
      <c r="K117" s="192" t="e">
        <f t="shared" si="8"/>
        <v>#NUM!</v>
      </c>
      <c r="L117" s="192"/>
      <c r="M117" s="194">
        <f t="shared" si="9"/>
        <v>0</v>
      </c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</row>
    <row r="118" spans="1:38" s="177" customFormat="1" x14ac:dyDescent="0.25">
      <c r="A118" s="102">
        <f t="shared" si="10"/>
        <v>0</v>
      </c>
      <c r="B118" s="36" t="str">
        <f t="shared" si="6"/>
        <v/>
      </c>
      <c r="C118" s="37"/>
      <c r="D118" s="37"/>
      <c r="E118" s="37"/>
      <c r="F118" s="37"/>
      <c r="H118" s="189">
        <v>113</v>
      </c>
      <c r="I118" s="190" t="str">
        <f t="shared" si="7"/>
        <v/>
      </c>
      <c r="J118" s="189" t="e">
        <f t="shared" si="11"/>
        <v>#NUM!</v>
      </c>
      <c r="K118" s="189" t="e">
        <f t="shared" si="8"/>
        <v>#NUM!</v>
      </c>
      <c r="L118" s="189"/>
      <c r="M118" s="191">
        <f t="shared" si="9"/>
        <v>0</v>
      </c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</row>
    <row r="119" spans="1:38" s="177" customFormat="1" x14ac:dyDescent="0.25">
      <c r="A119" s="106">
        <f t="shared" si="10"/>
        <v>0</v>
      </c>
      <c r="B119" s="42" t="str">
        <f t="shared" si="6"/>
        <v/>
      </c>
      <c r="C119" s="43"/>
      <c r="D119" s="43"/>
      <c r="E119" s="43"/>
      <c r="F119" s="43"/>
      <c r="H119" s="192">
        <v>114</v>
      </c>
      <c r="I119" s="193" t="str">
        <f t="shared" si="7"/>
        <v/>
      </c>
      <c r="J119" s="192" t="e">
        <f t="shared" si="11"/>
        <v>#NUM!</v>
      </c>
      <c r="K119" s="192" t="e">
        <f t="shared" si="8"/>
        <v>#NUM!</v>
      </c>
      <c r="L119" s="192"/>
      <c r="M119" s="194">
        <f t="shared" si="9"/>
        <v>0</v>
      </c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</row>
    <row r="120" spans="1:38" s="177" customFormat="1" x14ac:dyDescent="0.25">
      <c r="A120" s="102">
        <f t="shared" si="10"/>
        <v>0</v>
      </c>
      <c r="B120" s="36" t="str">
        <f t="shared" si="6"/>
        <v/>
      </c>
      <c r="C120" s="37"/>
      <c r="D120" s="37"/>
      <c r="E120" s="37"/>
      <c r="F120" s="37"/>
      <c r="H120" s="189">
        <v>115</v>
      </c>
      <c r="I120" s="190" t="str">
        <f t="shared" si="7"/>
        <v/>
      </c>
      <c r="J120" s="189" t="e">
        <f t="shared" si="11"/>
        <v>#NUM!</v>
      </c>
      <c r="K120" s="189" t="e">
        <f t="shared" si="8"/>
        <v>#NUM!</v>
      </c>
      <c r="L120" s="189"/>
      <c r="M120" s="191">
        <f t="shared" si="9"/>
        <v>0</v>
      </c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</row>
    <row r="121" spans="1:38" s="177" customFormat="1" x14ac:dyDescent="0.25">
      <c r="A121" s="106">
        <f t="shared" si="10"/>
        <v>0</v>
      </c>
      <c r="B121" s="42" t="str">
        <f t="shared" si="6"/>
        <v/>
      </c>
      <c r="C121" s="43"/>
      <c r="D121" s="43"/>
      <c r="E121" s="43"/>
      <c r="F121" s="43"/>
      <c r="H121" s="192">
        <v>116</v>
      </c>
      <c r="I121" s="193" t="str">
        <f t="shared" si="7"/>
        <v/>
      </c>
      <c r="J121" s="192" t="e">
        <f t="shared" si="11"/>
        <v>#NUM!</v>
      </c>
      <c r="K121" s="192" t="e">
        <f t="shared" si="8"/>
        <v>#NUM!</v>
      </c>
      <c r="L121" s="192"/>
      <c r="M121" s="194">
        <f t="shared" si="9"/>
        <v>0</v>
      </c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</row>
    <row r="122" spans="1:38" s="177" customFormat="1" x14ac:dyDescent="0.25">
      <c r="A122" s="102">
        <f t="shared" si="10"/>
        <v>0</v>
      </c>
      <c r="B122" s="36" t="str">
        <f t="shared" si="6"/>
        <v/>
      </c>
      <c r="C122" s="37"/>
      <c r="D122" s="37"/>
      <c r="E122" s="37"/>
      <c r="F122" s="37"/>
      <c r="H122" s="189">
        <v>117</v>
      </c>
      <c r="I122" s="190" t="str">
        <f t="shared" si="7"/>
        <v/>
      </c>
      <c r="J122" s="189" t="e">
        <f t="shared" si="11"/>
        <v>#NUM!</v>
      </c>
      <c r="K122" s="189" t="e">
        <f t="shared" si="8"/>
        <v>#NUM!</v>
      </c>
      <c r="L122" s="189"/>
      <c r="M122" s="191">
        <f t="shared" si="9"/>
        <v>0</v>
      </c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</row>
    <row r="123" spans="1:38" s="177" customFormat="1" x14ac:dyDescent="0.25">
      <c r="A123" s="106">
        <f t="shared" si="10"/>
        <v>0</v>
      </c>
      <c r="B123" s="42" t="str">
        <f t="shared" si="6"/>
        <v/>
      </c>
      <c r="C123" s="43"/>
      <c r="D123" s="43"/>
      <c r="E123" s="43"/>
      <c r="F123" s="43"/>
      <c r="H123" s="192">
        <v>118</v>
      </c>
      <c r="I123" s="193" t="str">
        <f t="shared" si="7"/>
        <v/>
      </c>
      <c r="J123" s="192" t="e">
        <f t="shared" si="11"/>
        <v>#NUM!</v>
      </c>
      <c r="K123" s="192" t="e">
        <f t="shared" si="8"/>
        <v>#NUM!</v>
      </c>
      <c r="L123" s="192"/>
      <c r="M123" s="194">
        <f t="shared" si="9"/>
        <v>0</v>
      </c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</row>
    <row r="124" spans="1:38" s="177" customFormat="1" x14ac:dyDescent="0.25">
      <c r="A124" s="102">
        <f t="shared" si="10"/>
        <v>0</v>
      </c>
      <c r="B124" s="36" t="str">
        <f t="shared" si="6"/>
        <v/>
      </c>
      <c r="C124" s="37"/>
      <c r="D124" s="37"/>
      <c r="E124" s="37"/>
      <c r="F124" s="37"/>
      <c r="H124" s="189">
        <v>119</v>
      </c>
      <c r="I124" s="190" t="str">
        <f t="shared" si="7"/>
        <v/>
      </c>
      <c r="J124" s="189" t="e">
        <f t="shared" si="11"/>
        <v>#NUM!</v>
      </c>
      <c r="K124" s="189" t="e">
        <f t="shared" si="8"/>
        <v>#NUM!</v>
      </c>
      <c r="L124" s="189"/>
      <c r="M124" s="191">
        <f t="shared" si="9"/>
        <v>0</v>
      </c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</row>
    <row r="125" spans="1:38" s="177" customFormat="1" x14ac:dyDescent="0.25">
      <c r="A125" s="106">
        <f t="shared" si="10"/>
        <v>0</v>
      </c>
      <c r="B125" s="42" t="str">
        <f t="shared" si="6"/>
        <v/>
      </c>
      <c r="C125" s="43"/>
      <c r="D125" s="43"/>
      <c r="E125" s="43"/>
      <c r="F125" s="43"/>
      <c r="H125" s="192">
        <v>120</v>
      </c>
      <c r="I125" s="193" t="str">
        <f t="shared" si="7"/>
        <v/>
      </c>
      <c r="J125" s="192" t="e">
        <f t="shared" si="11"/>
        <v>#NUM!</v>
      </c>
      <c r="K125" s="192" t="e">
        <f t="shared" si="8"/>
        <v>#NUM!</v>
      </c>
      <c r="L125" s="192"/>
      <c r="M125" s="194">
        <f t="shared" si="9"/>
        <v>0</v>
      </c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</row>
    <row r="126" spans="1:38" s="177" customFormat="1" x14ac:dyDescent="0.25">
      <c r="A126" s="102">
        <f t="shared" si="10"/>
        <v>0</v>
      </c>
      <c r="B126" s="36" t="str">
        <f t="shared" si="6"/>
        <v/>
      </c>
      <c r="C126" s="37"/>
      <c r="D126" s="37"/>
      <c r="E126" s="37"/>
      <c r="F126" s="37"/>
      <c r="H126" s="189">
        <v>121</v>
      </c>
      <c r="I126" s="190" t="str">
        <f t="shared" si="7"/>
        <v/>
      </c>
      <c r="J126" s="189" t="e">
        <f t="shared" si="11"/>
        <v>#NUM!</v>
      </c>
      <c r="K126" s="189" t="e">
        <f t="shared" si="8"/>
        <v>#NUM!</v>
      </c>
      <c r="L126" s="189"/>
      <c r="M126" s="191">
        <f t="shared" si="9"/>
        <v>0</v>
      </c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</row>
    <row r="127" spans="1:38" s="177" customFormat="1" x14ac:dyDescent="0.25">
      <c r="A127" s="106">
        <f t="shared" si="10"/>
        <v>0</v>
      </c>
      <c r="B127" s="42" t="str">
        <f t="shared" si="6"/>
        <v/>
      </c>
      <c r="C127" s="43"/>
      <c r="D127" s="43"/>
      <c r="E127" s="43"/>
      <c r="F127" s="43"/>
      <c r="H127" s="192">
        <v>122</v>
      </c>
      <c r="I127" s="193" t="str">
        <f t="shared" si="7"/>
        <v/>
      </c>
      <c r="J127" s="192" t="e">
        <f t="shared" si="11"/>
        <v>#NUM!</v>
      </c>
      <c r="K127" s="192" t="e">
        <f t="shared" si="8"/>
        <v>#NUM!</v>
      </c>
      <c r="L127" s="192"/>
      <c r="M127" s="194">
        <f t="shared" si="9"/>
        <v>0</v>
      </c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</row>
    <row r="128" spans="1:38" s="177" customFormat="1" x14ac:dyDescent="0.25">
      <c r="A128" s="102">
        <f t="shared" si="10"/>
        <v>0</v>
      </c>
      <c r="B128" s="36" t="str">
        <f t="shared" si="6"/>
        <v/>
      </c>
      <c r="C128" s="37"/>
      <c r="D128" s="37"/>
      <c r="E128" s="37"/>
      <c r="F128" s="37"/>
      <c r="H128" s="189">
        <v>123</v>
      </c>
      <c r="I128" s="190" t="str">
        <f t="shared" si="7"/>
        <v/>
      </c>
      <c r="J128" s="189" t="e">
        <f t="shared" si="11"/>
        <v>#NUM!</v>
      </c>
      <c r="K128" s="189" t="e">
        <f t="shared" si="8"/>
        <v>#NUM!</v>
      </c>
      <c r="L128" s="189"/>
      <c r="M128" s="191">
        <f t="shared" si="9"/>
        <v>0</v>
      </c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</row>
    <row r="129" spans="1:38" s="177" customFormat="1" x14ac:dyDescent="0.25">
      <c r="A129" s="106">
        <f t="shared" si="10"/>
        <v>0</v>
      </c>
      <c r="B129" s="42" t="str">
        <f t="shared" si="6"/>
        <v/>
      </c>
      <c r="C129" s="43"/>
      <c r="D129" s="43"/>
      <c r="E129" s="43"/>
      <c r="F129" s="43"/>
      <c r="H129" s="192">
        <v>124</v>
      </c>
      <c r="I129" s="193" t="str">
        <f t="shared" si="7"/>
        <v/>
      </c>
      <c r="J129" s="192" t="e">
        <f t="shared" si="11"/>
        <v>#NUM!</v>
      </c>
      <c r="K129" s="192" t="e">
        <f t="shared" si="8"/>
        <v>#NUM!</v>
      </c>
      <c r="L129" s="192"/>
      <c r="M129" s="194">
        <f t="shared" si="9"/>
        <v>0</v>
      </c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</row>
    <row r="130" spans="1:38" s="177" customFormat="1" x14ac:dyDescent="0.25">
      <c r="A130" s="102">
        <f t="shared" si="10"/>
        <v>0</v>
      </c>
      <c r="B130" s="36" t="str">
        <f t="shared" si="6"/>
        <v/>
      </c>
      <c r="C130" s="37"/>
      <c r="D130" s="37"/>
      <c r="E130" s="37"/>
      <c r="F130" s="37"/>
      <c r="H130" s="189">
        <v>125</v>
      </c>
      <c r="I130" s="190" t="str">
        <f t="shared" si="7"/>
        <v/>
      </c>
      <c r="J130" s="189" t="e">
        <f t="shared" si="11"/>
        <v>#NUM!</v>
      </c>
      <c r="K130" s="189" t="e">
        <f t="shared" si="8"/>
        <v>#NUM!</v>
      </c>
      <c r="L130" s="189"/>
      <c r="M130" s="191">
        <f t="shared" si="9"/>
        <v>0</v>
      </c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</row>
    <row r="131" spans="1:38" s="177" customFormat="1" x14ac:dyDescent="0.25">
      <c r="A131" s="106">
        <f t="shared" si="10"/>
        <v>0</v>
      </c>
      <c r="B131" s="42" t="str">
        <f t="shared" si="6"/>
        <v/>
      </c>
      <c r="C131" s="43"/>
      <c r="D131" s="43"/>
      <c r="E131" s="43"/>
      <c r="F131" s="43"/>
      <c r="H131" s="192">
        <v>126</v>
      </c>
      <c r="I131" s="193" t="str">
        <f t="shared" si="7"/>
        <v/>
      </c>
      <c r="J131" s="192" t="e">
        <f t="shared" si="11"/>
        <v>#NUM!</v>
      </c>
      <c r="K131" s="192" t="e">
        <f t="shared" si="8"/>
        <v>#NUM!</v>
      </c>
      <c r="L131" s="192"/>
      <c r="M131" s="194">
        <f t="shared" si="9"/>
        <v>0</v>
      </c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</row>
    <row r="132" spans="1:38" s="177" customFormat="1" x14ac:dyDescent="0.25">
      <c r="A132" s="102">
        <f t="shared" si="10"/>
        <v>0</v>
      </c>
      <c r="B132" s="36" t="str">
        <f t="shared" si="6"/>
        <v/>
      </c>
      <c r="C132" s="37"/>
      <c r="D132" s="37"/>
      <c r="E132" s="37"/>
      <c r="F132" s="37"/>
      <c r="H132" s="189">
        <v>127</v>
      </c>
      <c r="I132" s="190" t="str">
        <f t="shared" si="7"/>
        <v/>
      </c>
      <c r="J132" s="189" t="e">
        <f t="shared" si="11"/>
        <v>#NUM!</v>
      </c>
      <c r="K132" s="189" t="e">
        <f t="shared" si="8"/>
        <v>#NUM!</v>
      </c>
      <c r="L132" s="189"/>
      <c r="M132" s="191">
        <f t="shared" si="9"/>
        <v>0</v>
      </c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</row>
    <row r="133" spans="1:38" s="177" customFormat="1" x14ac:dyDescent="0.25">
      <c r="A133" s="106">
        <f t="shared" si="10"/>
        <v>0</v>
      </c>
      <c r="B133" s="42" t="str">
        <f t="shared" si="6"/>
        <v/>
      </c>
      <c r="C133" s="43"/>
      <c r="D133" s="43"/>
      <c r="E133" s="43"/>
      <c r="F133" s="43"/>
      <c r="H133" s="192">
        <v>128</v>
      </c>
      <c r="I133" s="193" t="str">
        <f t="shared" si="7"/>
        <v/>
      </c>
      <c r="J133" s="192" t="e">
        <f t="shared" si="11"/>
        <v>#NUM!</v>
      </c>
      <c r="K133" s="192" t="e">
        <f t="shared" si="8"/>
        <v>#NUM!</v>
      </c>
      <c r="L133" s="192"/>
      <c r="M133" s="194">
        <f t="shared" si="9"/>
        <v>0</v>
      </c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</row>
    <row r="134" spans="1:38" s="177" customFormat="1" x14ac:dyDescent="0.25">
      <c r="A134" s="102">
        <f t="shared" si="10"/>
        <v>0</v>
      </c>
      <c r="B134" s="36" t="str">
        <f t="shared" ref="B134:B140" si="12">IF(H134&gt;$H$2,"",(ROW()-5))</f>
        <v/>
      </c>
      <c r="C134" s="37"/>
      <c r="D134" s="37"/>
      <c r="E134" s="37"/>
      <c r="F134" s="37"/>
      <c r="H134" s="189">
        <v>129</v>
      </c>
      <c r="I134" s="190" t="str">
        <f t="shared" ref="I134:I197" si="13">IF(H134&lt;$H$2+1,($I$2-($I$2-1)*(LOG(H134)/LOG($H$2))),"")</f>
        <v/>
      </c>
      <c r="J134" s="189" t="e">
        <f t="shared" si="11"/>
        <v>#NUM!</v>
      </c>
      <c r="K134" s="189" t="e">
        <f t="shared" ref="K134:K197" si="14">J134*$J$2</f>
        <v>#NUM!</v>
      </c>
      <c r="L134" s="189"/>
      <c r="M134" s="191">
        <f t="shared" ref="M134:M197" si="15">IF(I134&lt;&gt;"",K134+I134+L134,0)</f>
        <v>0</v>
      </c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</row>
    <row r="135" spans="1:38" s="177" customFormat="1" x14ac:dyDescent="0.25">
      <c r="A135" s="106">
        <f t="shared" ref="A135:A140" si="16">M135</f>
        <v>0</v>
      </c>
      <c r="B135" s="42" t="str">
        <f t="shared" si="12"/>
        <v/>
      </c>
      <c r="C135" s="43"/>
      <c r="D135" s="43"/>
      <c r="E135" s="43"/>
      <c r="F135" s="43"/>
      <c r="H135" s="192">
        <v>130</v>
      </c>
      <c r="I135" s="193" t="str">
        <f t="shared" si="13"/>
        <v/>
      </c>
      <c r="J135" s="192" t="e">
        <f t="shared" ref="J135:J198" si="17">INT(LOG($H$2,2))-ROUNDUP(LOG(H135,2),0)+IF(OR($H$2=1,$H$2=2,$H$2=4,$H$2=8,$H$2=16,$H$2=32,$H$2=64,$H$2=128,$H$2=256),0,1)</f>
        <v>#NUM!</v>
      </c>
      <c r="K135" s="192" t="e">
        <f t="shared" si="14"/>
        <v>#NUM!</v>
      </c>
      <c r="L135" s="192"/>
      <c r="M135" s="194">
        <f t="shared" si="15"/>
        <v>0</v>
      </c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</row>
    <row r="136" spans="1:38" s="177" customFormat="1" x14ac:dyDescent="0.25">
      <c r="A136" s="102">
        <f t="shared" si="16"/>
        <v>0</v>
      </c>
      <c r="B136" s="36" t="str">
        <f t="shared" si="12"/>
        <v/>
      </c>
      <c r="C136" s="37"/>
      <c r="D136" s="37"/>
      <c r="E136" s="37"/>
      <c r="F136" s="37"/>
      <c r="H136" s="189">
        <v>131</v>
      </c>
      <c r="I136" s="190" t="str">
        <f t="shared" si="13"/>
        <v/>
      </c>
      <c r="J136" s="189" t="e">
        <f t="shared" si="17"/>
        <v>#NUM!</v>
      </c>
      <c r="K136" s="189" t="e">
        <f t="shared" si="14"/>
        <v>#NUM!</v>
      </c>
      <c r="L136" s="189"/>
      <c r="M136" s="191">
        <f t="shared" si="15"/>
        <v>0</v>
      </c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</row>
    <row r="137" spans="1:38" s="177" customFormat="1" x14ac:dyDescent="0.25">
      <c r="A137" s="106">
        <f t="shared" si="16"/>
        <v>0</v>
      </c>
      <c r="B137" s="42" t="str">
        <f t="shared" si="12"/>
        <v/>
      </c>
      <c r="C137" s="43"/>
      <c r="D137" s="43"/>
      <c r="E137" s="43"/>
      <c r="F137" s="43"/>
      <c r="H137" s="192">
        <v>132</v>
      </c>
      <c r="I137" s="193" t="str">
        <f t="shared" si="13"/>
        <v/>
      </c>
      <c r="J137" s="192" t="e">
        <f t="shared" si="17"/>
        <v>#NUM!</v>
      </c>
      <c r="K137" s="192" t="e">
        <f t="shared" si="14"/>
        <v>#NUM!</v>
      </c>
      <c r="L137" s="192"/>
      <c r="M137" s="194">
        <f t="shared" si="15"/>
        <v>0</v>
      </c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</row>
    <row r="138" spans="1:38" s="177" customFormat="1" x14ac:dyDescent="0.25">
      <c r="A138" s="102">
        <f t="shared" si="16"/>
        <v>0</v>
      </c>
      <c r="B138" s="36" t="str">
        <f t="shared" si="12"/>
        <v/>
      </c>
      <c r="C138" s="37"/>
      <c r="D138" s="37"/>
      <c r="E138" s="37"/>
      <c r="F138" s="37"/>
      <c r="H138" s="189">
        <v>133</v>
      </c>
      <c r="I138" s="190" t="str">
        <f t="shared" si="13"/>
        <v/>
      </c>
      <c r="J138" s="189" t="e">
        <f t="shared" si="17"/>
        <v>#NUM!</v>
      </c>
      <c r="K138" s="189" t="e">
        <f t="shared" si="14"/>
        <v>#NUM!</v>
      </c>
      <c r="L138" s="189"/>
      <c r="M138" s="191">
        <f t="shared" si="15"/>
        <v>0</v>
      </c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</row>
    <row r="139" spans="1:38" s="177" customFormat="1" x14ac:dyDescent="0.25">
      <c r="A139" s="106">
        <f t="shared" si="16"/>
        <v>0</v>
      </c>
      <c r="B139" s="42" t="str">
        <f t="shared" si="12"/>
        <v/>
      </c>
      <c r="C139" s="43"/>
      <c r="D139" s="43"/>
      <c r="E139" s="43"/>
      <c r="F139" s="43"/>
      <c r="H139" s="192">
        <v>134</v>
      </c>
      <c r="I139" s="193" t="str">
        <f t="shared" si="13"/>
        <v/>
      </c>
      <c r="J139" s="192" t="e">
        <f t="shared" si="17"/>
        <v>#NUM!</v>
      </c>
      <c r="K139" s="192" t="e">
        <f t="shared" si="14"/>
        <v>#NUM!</v>
      </c>
      <c r="L139" s="192"/>
      <c r="M139" s="194">
        <f t="shared" si="15"/>
        <v>0</v>
      </c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</row>
    <row r="140" spans="1:38" s="177" customFormat="1" x14ac:dyDescent="0.25">
      <c r="A140" s="102">
        <f t="shared" si="16"/>
        <v>0</v>
      </c>
      <c r="B140" s="36" t="str">
        <f t="shared" si="12"/>
        <v/>
      </c>
      <c r="C140" s="37"/>
      <c r="D140" s="37"/>
      <c r="E140" s="37"/>
      <c r="F140" s="37"/>
      <c r="H140" s="189">
        <v>135</v>
      </c>
      <c r="I140" s="190" t="str">
        <f t="shared" si="13"/>
        <v/>
      </c>
      <c r="J140" s="189" t="e">
        <f t="shared" si="17"/>
        <v>#NUM!</v>
      </c>
      <c r="K140" s="189" t="e">
        <f t="shared" si="14"/>
        <v>#NUM!</v>
      </c>
      <c r="L140" s="189"/>
      <c r="M140" s="191">
        <f t="shared" si="15"/>
        <v>0</v>
      </c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</row>
    <row r="141" spans="1:38" x14ac:dyDescent="0.25">
      <c r="A141" s="206"/>
      <c r="G141" s="177"/>
      <c r="H141" s="192">
        <v>136</v>
      </c>
      <c r="I141" s="190" t="str">
        <f t="shared" si="13"/>
        <v/>
      </c>
      <c r="J141" s="189" t="e">
        <f t="shared" si="17"/>
        <v>#NUM!</v>
      </c>
      <c r="K141" s="189" t="e">
        <f t="shared" si="14"/>
        <v>#NUM!</v>
      </c>
      <c r="L141" s="189"/>
      <c r="M141" s="191">
        <f t="shared" si="15"/>
        <v>0</v>
      </c>
    </row>
    <row r="142" spans="1:38" x14ac:dyDescent="0.25">
      <c r="A142" s="206"/>
      <c r="G142" s="177"/>
      <c r="H142" s="189">
        <v>137</v>
      </c>
      <c r="I142" s="190" t="str">
        <f t="shared" si="13"/>
        <v/>
      </c>
      <c r="J142" s="189" t="e">
        <f t="shared" si="17"/>
        <v>#NUM!</v>
      </c>
      <c r="K142" s="189" t="e">
        <f t="shared" si="14"/>
        <v>#NUM!</v>
      </c>
      <c r="L142" s="189"/>
      <c r="M142" s="191">
        <f t="shared" si="15"/>
        <v>0</v>
      </c>
    </row>
    <row r="143" spans="1:38" x14ac:dyDescent="0.25">
      <c r="A143" s="206"/>
      <c r="G143" s="177"/>
      <c r="H143" s="192">
        <v>138</v>
      </c>
      <c r="I143" s="190" t="str">
        <f t="shared" si="13"/>
        <v/>
      </c>
      <c r="J143" s="189" t="e">
        <f t="shared" si="17"/>
        <v>#NUM!</v>
      </c>
      <c r="K143" s="189" t="e">
        <f t="shared" si="14"/>
        <v>#NUM!</v>
      </c>
      <c r="L143" s="189"/>
      <c r="M143" s="191">
        <f t="shared" si="15"/>
        <v>0</v>
      </c>
    </row>
    <row r="144" spans="1:38" x14ac:dyDescent="0.25">
      <c r="A144" s="206"/>
      <c r="G144" s="177"/>
      <c r="H144" s="189">
        <v>139</v>
      </c>
      <c r="I144" s="190" t="str">
        <f t="shared" si="13"/>
        <v/>
      </c>
      <c r="J144" s="189" t="e">
        <f t="shared" si="17"/>
        <v>#NUM!</v>
      </c>
      <c r="K144" s="189" t="e">
        <f t="shared" si="14"/>
        <v>#NUM!</v>
      </c>
      <c r="L144" s="189"/>
      <c r="M144" s="191">
        <f t="shared" si="15"/>
        <v>0</v>
      </c>
    </row>
    <row r="145" spans="1:13" x14ac:dyDescent="0.25">
      <c r="A145" s="206"/>
      <c r="G145" s="177"/>
      <c r="H145" s="192">
        <v>140</v>
      </c>
      <c r="I145" s="190" t="str">
        <f t="shared" si="13"/>
        <v/>
      </c>
      <c r="J145" s="189" t="e">
        <f t="shared" si="17"/>
        <v>#NUM!</v>
      </c>
      <c r="K145" s="189" t="e">
        <f t="shared" si="14"/>
        <v>#NUM!</v>
      </c>
      <c r="L145" s="189"/>
      <c r="M145" s="191">
        <f t="shared" si="15"/>
        <v>0</v>
      </c>
    </row>
    <row r="146" spans="1:13" x14ac:dyDescent="0.25">
      <c r="A146" s="206"/>
      <c r="G146" s="177"/>
      <c r="H146" s="189">
        <v>141</v>
      </c>
      <c r="I146" s="190" t="str">
        <f t="shared" si="13"/>
        <v/>
      </c>
      <c r="J146" s="189" t="e">
        <f t="shared" si="17"/>
        <v>#NUM!</v>
      </c>
      <c r="K146" s="189" t="e">
        <f t="shared" si="14"/>
        <v>#NUM!</v>
      </c>
      <c r="L146" s="189"/>
      <c r="M146" s="191">
        <f t="shared" si="15"/>
        <v>0</v>
      </c>
    </row>
    <row r="147" spans="1:13" x14ac:dyDescent="0.25">
      <c r="A147" s="206"/>
      <c r="G147" s="177"/>
      <c r="H147" s="192">
        <v>142</v>
      </c>
      <c r="I147" s="190" t="str">
        <f t="shared" si="13"/>
        <v/>
      </c>
      <c r="J147" s="189" t="e">
        <f t="shared" si="17"/>
        <v>#NUM!</v>
      </c>
      <c r="K147" s="189" t="e">
        <f t="shared" si="14"/>
        <v>#NUM!</v>
      </c>
      <c r="L147" s="189"/>
      <c r="M147" s="191">
        <f t="shared" si="15"/>
        <v>0</v>
      </c>
    </row>
    <row r="148" spans="1:13" x14ac:dyDescent="0.25">
      <c r="A148" s="206"/>
      <c r="G148" s="177"/>
      <c r="H148" s="189">
        <v>143</v>
      </c>
      <c r="I148" s="190" t="str">
        <f t="shared" si="13"/>
        <v/>
      </c>
      <c r="J148" s="189" t="e">
        <f t="shared" si="17"/>
        <v>#NUM!</v>
      </c>
      <c r="K148" s="189" t="e">
        <f t="shared" si="14"/>
        <v>#NUM!</v>
      </c>
      <c r="L148" s="189"/>
      <c r="M148" s="191">
        <f t="shared" si="15"/>
        <v>0</v>
      </c>
    </row>
    <row r="149" spans="1:13" x14ac:dyDescent="0.25">
      <c r="A149" s="206"/>
      <c r="G149" s="177"/>
      <c r="H149" s="192">
        <v>144</v>
      </c>
      <c r="I149" s="190" t="str">
        <f t="shared" si="13"/>
        <v/>
      </c>
      <c r="J149" s="189" t="e">
        <f t="shared" si="17"/>
        <v>#NUM!</v>
      </c>
      <c r="K149" s="189" t="e">
        <f t="shared" si="14"/>
        <v>#NUM!</v>
      </c>
      <c r="L149" s="189"/>
      <c r="M149" s="191">
        <f t="shared" si="15"/>
        <v>0</v>
      </c>
    </row>
    <row r="150" spans="1:13" x14ac:dyDescent="0.25">
      <c r="A150" s="206"/>
      <c r="G150" s="177"/>
      <c r="H150" s="189">
        <v>145</v>
      </c>
      <c r="I150" s="190" t="str">
        <f t="shared" si="13"/>
        <v/>
      </c>
      <c r="J150" s="189" t="e">
        <f t="shared" si="17"/>
        <v>#NUM!</v>
      </c>
      <c r="K150" s="189" t="e">
        <f t="shared" si="14"/>
        <v>#NUM!</v>
      </c>
      <c r="L150" s="189"/>
      <c r="M150" s="191">
        <f t="shared" si="15"/>
        <v>0</v>
      </c>
    </row>
    <row r="151" spans="1:13" x14ac:dyDescent="0.25">
      <c r="A151" s="206"/>
      <c r="G151" s="177"/>
      <c r="H151" s="192">
        <v>146</v>
      </c>
      <c r="I151" s="190" t="str">
        <f t="shared" si="13"/>
        <v/>
      </c>
      <c r="J151" s="189" t="e">
        <f t="shared" si="17"/>
        <v>#NUM!</v>
      </c>
      <c r="K151" s="189" t="e">
        <f t="shared" si="14"/>
        <v>#NUM!</v>
      </c>
      <c r="L151" s="189"/>
      <c r="M151" s="191">
        <f t="shared" si="15"/>
        <v>0</v>
      </c>
    </row>
    <row r="152" spans="1:13" x14ac:dyDescent="0.25">
      <c r="A152" s="206"/>
      <c r="G152" s="177"/>
      <c r="H152" s="189">
        <v>147</v>
      </c>
      <c r="I152" s="190" t="str">
        <f t="shared" si="13"/>
        <v/>
      </c>
      <c r="J152" s="189" t="e">
        <f t="shared" si="17"/>
        <v>#NUM!</v>
      </c>
      <c r="K152" s="189" t="e">
        <f t="shared" si="14"/>
        <v>#NUM!</v>
      </c>
      <c r="L152" s="189"/>
      <c r="M152" s="191">
        <f t="shared" si="15"/>
        <v>0</v>
      </c>
    </row>
    <row r="153" spans="1:13" x14ac:dyDescent="0.25">
      <c r="A153" s="206"/>
      <c r="G153" s="177"/>
      <c r="H153" s="192">
        <v>148</v>
      </c>
      <c r="I153" s="190" t="str">
        <f t="shared" si="13"/>
        <v/>
      </c>
      <c r="J153" s="189" t="e">
        <f t="shared" si="17"/>
        <v>#NUM!</v>
      </c>
      <c r="K153" s="189" t="e">
        <f t="shared" si="14"/>
        <v>#NUM!</v>
      </c>
      <c r="L153" s="189"/>
      <c r="M153" s="191">
        <f t="shared" si="15"/>
        <v>0</v>
      </c>
    </row>
    <row r="154" spans="1:13" x14ac:dyDescent="0.25">
      <c r="A154" s="206"/>
      <c r="G154" s="177"/>
      <c r="H154" s="189">
        <v>149</v>
      </c>
      <c r="I154" s="190" t="str">
        <f t="shared" si="13"/>
        <v/>
      </c>
      <c r="J154" s="189" t="e">
        <f t="shared" si="17"/>
        <v>#NUM!</v>
      </c>
      <c r="K154" s="189" t="e">
        <f t="shared" si="14"/>
        <v>#NUM!</v>
      </c>
      <c r="L154" s="189"/>
      <c r="M154" s="191">
        <f t="shared" si="15"/>
        <v>0</v>
      </c>
    </row>
    <row r="155" spans="1:13" x14ac:dyDescent="0.25">
      <c r="A155" s="206"/>
      <c r="G155" s="177"/>
      <c r="H155" s="192">
        <v>150</v>
      </c>
      <c r="I155" s="190" t="str">
        <f t="shared" si="13"/>
        <v/>
      </c>
      <c r="J155" s="189" t="e">
        <f t="shared" si="17"/>
        <v>#NUM!</v>
      </c>
      <c r="K155" s="189" t="e">
        <f t="shared" si="14"/>
        <v>#NUM!</v>
      </c>
      <c r="L155" s="189"/>
      <c r="M155" s="191">
        <f t="shared" si="15"/>
        <v>0</v>
      </c>
    </row>
    <row r="156" spans="1:13" x14ac:dyDescent="0.25">
      <c r="A156" s="206"/>
      <c r="G156" s="177"/>
      <c r="H156" s="189">
        <v>151</v>
      </c>
      <c r="I156" s="190" t="str">
        <f t="shared" si="13"/>
        <v/>
      </c>
      <c r="J156" s="189" t="e">
        <f t="shared" si="17"/>
        <v>#NUM!</v>
      </c>
      <c r="K156" s="189" t="e">
        <f t="shared" si="14"/>
        <v>#NUM!</v>
      </c>
      <c r="L156" s="189"/>
      <c r="M156" s="191">
        <f t="shared" si="15"/>
        <v>0</v>
      </c>
    </row>
    <row r="157" spans="1:13" x14ac:dyDescent="0.25">
      <c r="A157" s="206"/>
      <c r="G157" s="177"/>
      <c r="H157" s="192">
        <v>152</v>
      </c>
      <c r="I157" s="190" t="str">
        <f t="shared" si="13"/>
        <v/>
      </c>
      <c r="J157" s="189" t="e">
        <f t="shared" si="17"/>
        <v>#NUM!</v>
      </c>
      <c r="K157" s="189" t="e">
        <f t="shared" si="14"/>
        <v>#NUM!</v>
      </c>
      <c r="L157" s="189"/>
      <c r="M157" s="191">
        <f t="shared" si="15"/>
        <v>0</v>
      </c>
    </row>
    <row r="158" spans="1:13" x14ac:dyDescent="0.25">
      <c r="A158" s="206"/>
      <c r="G158" s="177"/>
      <c r="H158" s="189">
        <v>153</v>
      </c>
      <c r="I158" s="190" t="str">
        <f t="shared" si="13"/>
        <v/>
      </c>
      <c r="J158" s="189" t="e">
        <f t="shared" si="17"/>
        <v>#NUM!</v>
      </c>
      <c r="K158" s="189" t="e">
        <f t="shared" si="14"/>
        <v>#NUM!</v>
      </c>
      <c r="L158" s="189"/>
      <c r="M158" s="191">
        <f t="shared" si="15"/>
        <v>0</v>
      </c>
    </row>
    <row r="159" spans="1:13" x14ac:dyDescent="0.25">
      <c r="A159" s="206"/>
      <c r="G159" s="177"/>
      <c r="H159" s="192">
        <v>154</v>
      </c>
      <c r="I159" s="190" t="str">
        <f t="shared" si="13"/>
        <v/>
      </c>
      <c r="J159" s="189" t="e">
        <f t="shared" si="17"/>
        <v>#NUM!</v>
      </c>
      <c r="K159" s="189" t="e">
        <f t="shared" si="14"/>
        <v>#NUM!</v>
      </c>
      <c r="L159" s="189"/>
      <c r="M159" s="191">
        <f t="shared" si="15"/>
        <v>0</v>
      </c>
    </row>
    <row r="160" spans="1:13" x14ac:dyDescent="0.25">
      <c r="A160" s="206"/>
      <c r="G160" s="177"/>
      <c r="H160" s="189">
        <v>155</v>
      </c>
      <c r="I160" s="190" t="str">
        <f t="shared" si="13"/>
        <v/>
      </c>
      <c r="J160" s="189" t="e">
        <f t="shared" si="17"/>
        <v>#NUM!</v>
      </c>
      <c r="K160" s="189" t="e">
        <f t="shared" si="14"/>
        <v>#NUM!</v>
      </c>
      <c r="L160" s="189"/>
      <c r="M160" s="191">
        <f t="shared" si="15"/>
        <v>0</v>
      </c>
    </row>
    <row r="161" spans="1:13" x14ac:dyDescent="0.25">
      <c r="A161" s="206"/>
      <c r="G161" s="177"/>
      <c r="H161" s="192">
        <v>156</v>
      </c>
      <c r="I161" s="190" t="str">
        <f t="shared" si="13"/>
        <v/>
      </c>
      <c r="J161" s="189" t="e">
        <f t="shared" si="17"/>
        <v>#NUM!</v>
      </c>
      <c r="K161" s="189" t="e">
        <f t="shared" si="14"/>
        <v>#NUM!</v>
      </c>
      <c r="L161" s="189"/>
      <c r="M161" s="191">
        <f t="shared" si="15"/>
        <v>0</v>
      </c>
    </row>
    <row r="162" spans="1:13" x14ac:dyDescent="0.25">
      <c r="A162" s="206"/>
      <c r="G162" s="177"/>
      <c r="H162" s="189">
        <v>157</v>
      </c>
      <c r="I162" s="190" t="str">
        <f t="shared" si="13"/>
        <v/>
      </c>
      <c r="J162" s="189" t="e">
        <f t="shared" si="17"/>
        <v>#NUM!</v>
      </c>
      <c r="K162" s="189" t="e">
        <f t="shared" si="14"/>
        <v>#NUM!</v>
      </c>
      <c r="L162" s="189"/>
      <c r="M162" s="191">
        <f t="shared" si="15"/>
        <v>0</v>
      </c>
    </row>
    <row r="163" spans="1:13" x14ac:dyDescent="0.25">
      <c r="A163" s="206"/>
      <c r="G163" s="177"/>
      <c r="H163" s="192">
        <v>158</v>
      </c>
      <c r="I163" s="190" t="str">
        <f t="shared" si="13"/>
        <v/>
      </c>
      <c r="J163" s="189" t="e">
        <f t="shared" si="17"/>
        <v>#NUM!</v>
      </c>
      <c r="K163" s="189" t="e">
        <f t="shared" si="14"/>
        <v>#NUM!</v>
      </c>
      <c r="L163" s="189"/>
      <c r="M163" s="191">
        <f t="shared" si="15"/>
        <v>0</v>
      </c>
    </row>
    <row r="164" spans="1:13" x14ac:dyDescent="0.25">
      <c r="A164" s="206"/>
      <c r="G164" s="177"/>
      <c r="H164" s="189">
        <v>159</v>
      </c>
      <c r="I164" s="190" t="str">
        <f t="shared" si="13"/>
        <v/>
      </c>
      <c r="J164" s="189" t="e">
        <f t="shared" si="17"/>
        <v>#NUM!</v>
      </c>
      <c r="K164" s="189" t="e">
        <f t="shared" si="14"/>
        <v>#NUM!</v>
      </c>
      <c r="L164" s="189"/>
      <c r="M164" s="191">
        <f t="shared" si="15"/>
        <v>0</v>
      </c>
    </row>
    <row r="165" spans="1:13" x14ac:dyDescent="0.25">
      <c r="A165" s="206"/>
      <c r="G165" s="177"/>
      <c r="H165" s="192">
        <v>160</v>
      </c>
      <c r="I165" s="190" t="str">
        <f t="shared" si="13"/>
        <v/>
      </c>
      <c r="J165" s="189" t="e">
        <f t="shared" si="17"/>
        <v>#NUM!</v>
      </c>
      <c r="K165" s="189" t="e">
        <f t="shared" si="14"/>
        <v>#NUM!</v>
      </c>
      <c r="L165" s="189"/>
      <c r="M165" s="191">
        <f t="shared" si="15"/>
        <v>0</v>
      </c>
    </row>
    <row r="166" spans="1:13" x14ac:dyDescent="0.25">
      <c r="A166" s="206"/>
      <c r="G166" s="177"/>
      <c r="H166" s="189">
        <v>161</v>
      </c>
      <c r="I166" s="190" t="str">
        <f t="shared" si="13"/>
        <v/>
      </c>
      <c r="J166" s="189" t="e">
        <f t="shared" si="17"/>
        <v>#NUM!</v>
      </c>
      <c r="K166" s="189" t="e">
        <f t="shared" si="14"/>
        <v>#NUM!</v>
      </c>
      <c r="L166" s="189"/>
      <c r="M166" s="191">
        <f t="shared" si="15"/>
        <v>0</v>
      </c>
    </row>
    <row r="167" spans="1:13" x14ac:dyDescent="0.25">
      <c r="A167" s="206"/>
      <c r="G167" s="177"/>
      <c r="H167" s="192">
        <v>162</v>
      </c>
      <c r="I167" s="190" t="str">
        <f t="shared" si="13"/>
        <v/>
      </c>
      <c r="J167" s="189" t="e">
        <f t="shared" si="17"/>
        <v>#NUM!</v>
      </c>
      <c r="K167" s="189" t="e">
        <f t="shared" si="14"/>
        <v>#NUM!</v>
      </c>
      <c r="L167" s="189"/>
      <c r="M167" s="191">
        <f t="shared" si="15"/>
        <v>0</v>
      </c>
    </row>
    <row r="168" spans="1:13" x14ac:dyDescent="0.25">
      <c r="A168" s="206"/>
      <c r="G168" s="177"/>
      <c r="H168" s="189">
        <v>163</v>
      </c>
      <c r="I168" s="190" t="str">
        <f t="shared" si="13"/>
        <v/>
      </c>
      <c r="J168" s="189" t="e">
        <f t="shared" si="17"/>
        <v>#NUM!</v>
      </c>
      <c r="K168" s="189" t="e">
        <f t="shared" si="14"/>
        <v>#NUM!</v>
      </c>
      <c r="L168" s="189"/>
      <c r="M168" s="191">
        <f t="shared" si="15"/>
        <v>0</v>
      </c>
    </row>
    <row r="169" spans="1:13" x14ac:dyDescent="0.25">
      <c r="A169" s="206"/>
      <c r="C169" s="205" t="s">
        <v>53</v>
      </c>
      <c r="G169" s="177"/>
      <c r="H169" s="192">
        <v>164</v>
      </c>
      <c r="I169" s="190" t="str">
        <f t="shared" si="13"/>
        <v/>
      </c>
      <c r="J169" s="189" t="e">
        <f t="shared" si="17"/>
        <v>#NUM!</v>
      </c>
      <c r="K169" s="189" t="e">
        <f t="shared" si="14"/>
        <v>#NUM!</v>
      </c>
      <c r="L169" s="189"/>
      <c r="M169" s="191">
        <f t="shared" si="15"/>
        <v>0</v>
      </c>
    </row>
    <row r="170" spans="1:13" x14ac:dyDescent="0.25">
      <c r="A170" s="206"/>
      <c r="G170" s="177"/>
      <c r="H170" s="189">
        <v>165</v>
      </c>
      <c r="I170" s="190" t="str">
        <f t="shared" si="13"/>
        <v/>
      </c>
      <c r="J170" s="189" t="e">
        <f t="shared" si="17"/>
        <v>#NUM!</v>
      </c>
      <c r="K170" s="189" t="e">
        <f t="shared" si="14"/>
        <v>#NUM!</v>
      </c>
      <c r="L170" s="189"/>
      <c r="M170" s="191">
        <f t="shared" si="15"/>
        <v>0</v>
      </c>
    </row>
    <row r="171" spans="1:13" x14ac:dyDescent="0.25">
      <c r="A171" s="206"/>
      <c r="G171" s="177"/>
      <c r="H171" s="192">
        <v>166</v>
      </c>
      <c r="I171" s="190" t="str">
        <f t="shared" si="13"/>
        <v/>
      </c>
      <c r="J171" s="189" t="e">
        <f t="shared" si="17"/>
        <v>#NUM!</v>
      </c>
      <c r="K171" s="189" t="e">
        <f t="shared" si="14"/>
        <v>#NUM!</v>
      </c>
      <c r="L171" s="189"/>
      <c r="M171" s="191">
        <f t="shared" si="15"/>
        <v>0</v>
      </c>
    </row>
    <row r="172" spans="1:13" x14ac:dyDescent="0.25">
      <c r="A172" s="206"/>
      <c r="G172" s="177"/>
      <c r="H172" s="189">
        <v>167</v>
      </c>
      <c r="I172" s="190" t="str">
        <f t="shared" si="13"/>
        <v/>
      </c>
      <c r="J172" s="189" t="e">
        <f t="shared" si="17"/>
        <v>#NUM!</v>
      </c>
      <c r="K172" s="189" t="e">
        <f t="shared" si="14"/>
        <v>#NUM!</v>
      </c>
      <c r="L172" s="189"/>
      <c r="M172" s="191">
        <f t="shared" si="15"/>
        <v>0</v>
      </c>
    </row>
    <row r="173" spans="1:13" x14ac:dyDescent="0.25">
      <c r="A173" s="206"/>
      <c r="G173" s="177"/>
      <c r="H173" s="192">
        <v>168</v>
      </c>
      <c r="I173" s="190" t="str">
        <f t="shared" si="13"/>
        <v/>
      </c>
      <c r="J173" s="189" t="e">
        <f t="shared" si="17"/>
        <v>#NUM!</v>
      </c>
      <c r="K173" s="189" t="e">
        <f t="shared" si="14"/>
        <v>#NUM!</v>
      </c>
      <c r="L173" s="189"/>
      <c r="M173" s="191">
        <f t="shared" si="15"/>
        <v>0</v>
      </c>
    </row>
    <row r="174" spans="1:13" x14ac:dyDescent="0.25">
      <c r="A174" s="206"/>
      <c r="G174" s="177"/>
      <c r="H174" s="189">
        <v>169</v>
      </c>
      <c r="I174" s="190" t="str">
        <f t="shared" si="13"/>
        <v/>
      </c>
      <c r="J174" s="189" t="e">
        <f t="shared" si="17"/>
        <v>#NUM!</v>
      </c>
      <c r="K174" s="189" t="e">
        <f t="shared" si="14"/>
        <v>#NUM!</v>
      </c>
      <c r="L174" s="189"/>
      <c r="M174" s="191">
        <f t="shared" si="15"/>
        <v>0</v>
      </c>
    </row>
    <row r="175" spans="1:13" x14ac:dyDescent="0.25">
      <c r="A175" s="206"/>
      <c r="G175" s="177"/>
      <c r="H175" s="192">
        <v>170</v>
      </c>
      <c r="I175" s="190" t="str">
        <f t="shared" si="13"/>
        <v/>
      </c>
      <c r="J175" s="189" t="e">
        <f t="shared" si="17"/>
        <v>#NUM!</v>
      </c>
      <c r="K175" s="189" t="e">
        <f t="shared" si="14"/>
        <v>#NUM!</v>
      </c>
      <c r="L175" s="189"/>
      <c r="M175" s="191">
        <f t="shared" si="15"/>
        <v>0</v>
      </c>
    </row>
    <row r="176" spans="1:13" x14ac:dyDescent="0.25">
      <c r="A176" s="206"/>
      <c r="G176" s="177"/>
      <c r="H176" s="189">
        <v>171</v>
      </c>
      <c r="I176" s="190" t="str">
        <f t="shared" si="13"/>
        <v/>
      </c>
      <c r="J176" s="189" t="e">
        <f t="shared" si="17"/>
        <v>#NUM!</v>
      </c>
      <c r="K176" s="189" t="e">
        <f t="shared" si="14"/>
        <v>#NUM!</v>
      </c>
      <c r="L176" s="189"/>
      <c r="M176" s="191">
        <f t="shared" si="15"/>
        <v>0</v>
      </c>
    </row>
    <row r="177" spans="1:13" x14ac:dyDescent="0.25">
      <c r="A177" s="206"/>
      <c r="G177" s="177"/>
      <c r="H177" s="192">
        <v>172</v>
      </c>
      <c r="I177" s="190" t="str">
        <f t="shared" si="13"/>
        <v/>
      </c>
      <c r="J177" s="189" t="e">
        <f t="shared" si="17"/>
        <v>#NUM!</v>
      </c>
      <c r="K177" s="189" t="e">
        <f t="shared" si="14"/>
        <v>#NUM!</v>
      </c>
      <c r="L177" s="189"/>
      <c r="M177" s="191">
        <f t="shared" si="15"/>
        <v>0</v>
      </c>
    </row>
    <row r="178" spans="1:13" x14ac:dyDescent="0.25">
      <c r="A178" s="206"/>
      <c r="G178" s="177"/>
      <c r="H178" s="189">
        <v>173</v>
      </c>
      <c r="I178" s="190" t="str">
        <f t="shared" si="13"/>
        <v/>
      </c>
      <c r="J178" s="189" t="e">
        <f t="shared" si="17"/>
        <v>#NUM!</v>
      </c>
      <c r="K178" s="189" t="e">
        <f t="shared" si="14"/>
        <v>#NUM!</v>
      </c>
      <c r="L178" s="189"/>
      <c r="M178" s="191">
        <f t="shared" si="15"/>
        <v>0</v>
      </c>
    </row>
    <row r="179" spans="1:13" x14ac:dyDescent="0.25">
      <c r="A179" s="206"/>
      <c r="G179" s="177"/>
      <c r="H179" s="192">
        <v>174</v>
      </c>
      <c r="I179" s="190" t="str">
        <f t="shared" si="13"/>
        <v/>
      </c>
      <c r="J179" s="189" t="e">
        <f t="shared" si="17"/>
        <v>#NUM!</v>
      </c>
      <c r="K179" s="189" t="e">
        <f t="shared" si="14"/>
        <v>#NUM!</v>
      </c>
      <c r="L179" s="189"/>
      <c r="M179" s="191">
        <f t="shared" si="15"/>
        <v>0</v>
      </c>
    </row>
    <row r="180" spans="1:13" x14ac:dyDescent="0.25">
      <c r="A180" s="206"/>
      <c r="G180" s="177"/>
      <c r="H180" s="189">
        <v>175</v>
      </c>
      <c r="I180" s="190" t="str">
        <f t="shared" si="13"/>
        <v/>
      </c>
      <c r="J180" s="189" t="e">
        <f t="shared" si="17"/>
        <v>#NUM!</v>
      </c>
      <c r="K180" s="189" t="e">
        <f t="shared" si="14"/>
        <v>#NUM!</v>
      </c>
      <c r="L180" s="189"/>
      <c r="M180" s="191">
        <f t="shared" si="15"/>
        <v>0</v>
      </c>
    </row>
    <row r="181" spans="1:13" x14ac:dyDescent="0.25">
      <c r="A181" s="206"/>
      <c r="G181" s="177"/>
      <c r="H181" s="192">
        <v>176</v>
      </c>
      <c r="I181" s="190" t="str">
        <f t="shared" si="13"/>
        <v/>
      </c>
      <c r="J181" s="189" t="e">
        <f t="shared" si="17"/>
        <v>#NUM!</v>
      </c>
      <c r="K181" s="189" t="e">
        <f t="shared" si="14"/>
        <v>#NUM!</v>
      </c>
      <c r="L181" s="189"/>
      <c r="M181" s="191">
        <f t="shared" si="15"/>
        <v>0</v>
      </c>
    </row>
    <row r="182" spans="1:13" x14ac:dyDescent="0.25">
      <c r="A182" s="206"/>
      <c r="G182" s="177"/>
      <c r="H182" s="189">
        <v>177</v>
      </c>
      <c r="I182" s="190" t="str">
        <f t="shared" si="13"/>
        <v/>
      </c>
      <c r="J182" s="189" t="e">
        <f t="shared" si="17"/>
        <v>#NUM!</v>
      </c>
      <c r="K182" s="189" t="e">
        <f t="shared" si="14"/>
        <v>#NUM!</v>
      </c>
      <c r="L182" s="189"/>
      <c r="M182" s="191">
        <f t="shared" si="15"/>
        <v>0</v>
      </c>
    </row>
    <row r="183" spans="1:13" x14ac:dyDescent="0.25">
      <c r="A183" s="206"/>
      <c r="G183" s="177"/>
      <c r="H183" s="192">
        <v>178</v>
      </c>
      <c r="I183" s="190" t="str">
        <f t="shared" si="13"/>
        <v/>
      </c>
      <c r="J183" s="189" t="e">
        <f t="shared" si="17"/>
        <v>#NUM!</v>
      </c>
      <c r="K183" s="189" t="e">
        <f t="shared" si="14"/>
        <v>#NUM!</v>
      </c>
      <c r="L183" s="189"/>
      <c r="M183" s="191">
        <f t="shared" si="15"/>
        <v>0</v>
      </c>
    </row>
    <row r="184" spans="1:13" x14ac:dyDescent="0.25">
      <c r="A184" s="206"/>
      <c r="G184" s="177"/>
      <c r="H184" s="189">
        <v>179</v>
      </c>
      <c r="I184" s="190" t="str">
        <f t="shared" si="13"/>
        <v/>
      </c>
      <c r="J184" s="189" t="e">
        <f t="shared" si="17"/>
        <v>#NUM!</v>
      </c>
      <c r="K184" s="189" t="e">
        <f t="shared" si="14"/>
        <v>#NUM!</v>
      </c>
      <c r="L184" s="189"/>
      <c r="M184" s="191">
        <f t="shared" si="15"/>
        <v>0</v>
      </c>
    </row>
    <row r="185" spans="1:13" x14ac:dyDescent="0.25">
      <c r="A185" s="206"/>
      <c r="G185" s="177"/>
      <c r="H185" s="192">
        <v>180</v>
      </c>
      <c r="I185" s="190" t="str">
        <f t="shared" si="13"/>
        <v/>
      </c>
      <c r="J185" s="189" t="e">
        <f t="shared" si="17"/>
        <v>#NUM!</v>
      </c>
      <c r="K185" s="189" t="e">
        <f t="shared" si="14"/>
        <v>#NUM!</v>
      </c>
      <c r="L185" s="189"/>
      <c r="M185" s="191">
        <f t="shared" si="15"/>
        <v>0</v>
      </c>
    </row>
    <row r="186" spans="1:13" x14ac:dyDescent="0.25">
      <c r="A186" s="206"/>
      <c r="G186" s="177"/>
      <c r="H186" s="189">
        <v>181</v>
      </c>
      <c r="I186" s="190" t="str">
        <f t="shared" si="13"/>
        <v/>
      </c>
      <c r="J186" s="189" t="e">
        <f t="shared" si="17"/>
        <v>#NUM!</v>
      </c>
      <c r="K186" s="189" t="e">
        <f t="shared" si="14"/>
        <v>#NUM!</v>
      </c>
      <c r="L186" s="189"/>
      <c r="M186" s="191">
        <f t="shared" si="15"/>
        <v>0</v>
      </c>
    </row>
    <row r="187" spans="1:13" x14ac:dyDescent="0.25">
      <c r="A187" s="206"/>
      <c r="G187" s="177"/>
      <c r="H187" s="192">
        <v>182</v>
      </c>
      <c r="I187" s="190" t="str">
        <f t="shared" si="13"/>
        <v/>
      </c>
      <c r="J187" s="189" t="e">
        <f t="shared" si="17"/>
        <v>#NUM!</v>
      </c>
      <c r="K187" s="189" t="e">
        <f t="shared" si="14"/>
        <v>#NUM!</v>
      </c>
      <c r="L187" s="189"/>
      <c r="M187" s="191">
        <f t="shared" si="15"/>
        <v>0</v>
      </c>
    </row>
    <row r="188" spans="1:13" x14ac:dyDescent="0.25">
      <c r="A188" s="206"/>
      <c r="G188" s="177"/>
      <c r="H188" s="189">
        <v>183</v>
      </c>
      <c r="I188" s="190" t="str">
        <f t="shared" si="13"/>
        <v/>
      </c>
      <c r="J188" s="189" t="e">
        <f t="shared" si="17"/>
        <v>#NUM!</v>
      </c>
      <c r="K188" s="189" t="e">
        <f t="shared" si="14"/>
        <v>#NUM!</v>
      </c>
      <c r="L188" s="189"/>
      <c r="M188" s="191">
        <f t="shared" si="15"/>
        <v>0</v>
      </c>
    </row>
    <row r="189" spans="1:13" x14ac:dyDescent="0.25">
      <c r="A189" s="206"/>
      <c r="G189" s="177"/>
      <c r="H189" s="192">
        <v>184</v>
      </c>
      <c r="I189" s="190" t="str">
        <f t="shared" si="13"/>
        <v/>
      </c>
      <c r="J189" s="189" t="e">
        <f t="shared" si="17"/>
        <v>#NUM!</v>
      </c>
      <c r="K189" s="189" t="e">
        <f t="shared" si="14"/>
        <v>#NUM!</v>
      </c>
      <c r="L189" s="189"/>
      <c r="M189" s="191">
        <f t="shared" si="15"/>
        <v>0</v>
      </c>
    </row>
    <row r="190" spans="1:13" x14ac:dyDescent="0.25">
      <c r="A190" s="206"/>
      <c r="G190" s="177"/>
      <c r="H190" s="189">
        <v>185</v>
      </c>
      <c r="I190" s="190" t="str">
        <f t="shared" si="13"/>
        <v/>
      </c>
      <c r="J190" s="189" t="e">
        <f t="shared" si="17"/>
        <v>#NUM!</v>
      </c>
      <c r="K190" s="189" t="e">
        <f t="shared" si="14"/>
        <v>#NUM!</v>
      </c>
      <c r="L190" s="189"/>
      <c r="M190" s="191">
        <f t="shared" si="15"/>
        <v>0</v>
      </c>
    </row>
    <row r="191" spans="1:13" x14ac:dyDescent="0.25">
      <c r="A191" s="206"/>
      <c r="G191" s="177"/>
      <c r="H191" s="192">
        <v>186</v>
      </c>
      <c r="I191" s="190" t="str">
        <f t="shared" si="13"/>
        <v/>
      </c>
      <c r="J191" s="189" t="e">
        <f t="shared" si="17"/>
        <v>#NUM!</v>
      </c>
      <c r="K191" s="189" t="e">
        <f t="shared" si="14"/>
        <v>#NUM!</v>
      </c>
      <c r="L191" s="189"/>
      <c r="M191" s="191">
        <f t="shared" si="15"/>
        <v>0</v>
      </c>
    </row>
    <row r="192" spans="1:13" x14ac:dyDescent="0.25">
      <c r="A192" s="206"/>
      <c r="G192" s="177"/>
      <c r="H192" s="189">
        <v>187</v>
      </c>
      <c r="I192" s="190" t="str">
        <f t="shared" si="13"/>
        <v/>
      </c>
      <c r="J192" s="189" t="e">
        <f t="shared" si="17"/>
        <v>#NUM!</v>
      </c>
      <c r="K192" s="189" t="e">
        <f t="shared" si="14"/>
        <v>#NUM!</v>
      </c>
      <c r="L192" s="189"/>
      <c r="M192" s="191">
        <f t="shared" si="15"/>
        <v>0</v>
      </c>
    </row>
    <row r="193" spans="1:13" x14ac:dyDescent="0.25">
      <c r="A193" s="206"/>
      <c r="G193" s="177"/>
      <c r="H193" s="192">
        <v>188</v>
      </c>
      <c r="I193" s="190" t="str">
        <f t="shared" si="13"/>
        <v/>
      </c>
      <c r="J193" s="189" t="e">
        <f t="shared" si="17"/>
        <v>#NUM!</v>
      </c>
      <c r="K193" s="189" t="e">
        <f t="shared" si="14"/>
        <v>#NUM!</v>
      </c>
      <c r="L193" s="189"/>
      <c r="M193" s="191">
        <f t="shared" si="15"/>
        <v>0</v>
      </c>
    </row>
    <row r="194" spans="1:13" x14ac:dyDescent="0.25">
      <c r="A194" s="206"/>
      <c r="G194" s="177"/>
      <c r="H194" s="189">
        <v>189</v>
      </c>
      <c r="I194" s="190" t="str">
        <f t="shared" si="13"/>
        <v/>
      </c>
      <c r="J194" s="189" t="e">
        <f t="shared" si="17"/>
        <v>#NUM!</v>
      </c>
      <c r="K194" s="189" t="e">
        <f t="shared" si="14"/>
        <v>#NUM!</v>
      </c>
      <c r="L194" s="189"/>
      <c r="M194" s="191">
        <f t="shared" si="15"/>
        <v>0</v>
      </c>
    </row>
    <row r="195" spans="1:13" x14ac:dyDescent="0.25">
      <c r="A195" s="206"/>
      <c r="G195" s="177"/>
      <c r="H195" s="192">
        <v>190</v>
      </c>
      <c r="I195" s="190" t="str">
        <f t="shared" si="13"/>
        <v/>
      </c>
      <c r="J195" s="189" t="e">
        <f t="shared" si="17"/>
        <v>#NUM!</v>
      </c>
      <c r="K195" s="189" t="e">
        <f t="shared" si="14"/>
        <v>#NUM!</v>
      </c>
      <c r="L195" s="189"/>
      <c r="M195" s="191">
        <f t="shared" si="15"/>
        <v>0</v>
      </c>
    </row>
    <row r="196" spans="1:13" x14ac:dyDescent="0.25">
      <c r="A196" s="206"/>
      <c r="G196" s="177"/>
      <c r="H196" s="189">
        <v>191</v>
      </c>
      <c r="I196" s="190" t="str">
        <f t="shared" si="13"/>
        <v/>
      </c>
      <c r="J196" s="189" t="e">
        <f t="shared" si="17"/>
        <v>#NUM!</v>
      </c>
      <c r="K196" s="189" t="e">
        <f t="shared" si="14"/>
        <v>#NUM!</v>
      </c>
      <c r="L196" s="189"/>
      <c r="M196" s="191">
        <f t="shared" si="15"/>
        <v>0</v>
      </c>
    </row>
    <row r="197" spans="1:13" x14ac:dyDescent="0.25">
      <c r="A197" s="206"/>
      <c r="G197" s="177"/>
      <c r="H197" s="192">
        <v>192</v>
      </c>
      <c r="I197" s="190" t="str">
        <f t="shared" si="13"/>
        <v/>
      </c>
      <c r="J197" s="189" t="e">
        <f t="shared" si="17"/>
        <v>#NUM!</v>
      </c>
      <c r="K197" s="189" t="e">
        <f t="shared" si="14"/>
        <v>#NUM!</v>
      </c>
      <c r="L197" s="189"/>
      <c r="M197" s="191">
        <f t="shared" si="15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8">IF(H198&lt;$H$2+1,($I$2-($I$2-1)*(LOG(H198)/LOG($H$2))),"")</f>
        <v/>
      </c>
      <c r="J198" s="189" t="e">
        <f t="shared" si="17"/>
        <v>#NUM!</v>
      </c>
      <c r="K198" s="189" t="e">
        <f t="shared" ref="K198:K261" si="19">J198*$J$2</f>
        <v>#NUM!</v>
      </c>
      <c r="L198" s="189"/>
      <c r="M198" s="191">
        <f t="shared" ref="M198:M261" si="20">IF(I198&lt;&gt;"",K198+I198+L198,0)</f>
        <v>0</v>
      </c>
    </row>
    <row r="199" spans="1:13" x14ac:dyDescent="0.25">
      <c r="A199" s="206"/>
      <c r="G199" s="177"/>
      <c r="H199" s="192">
        <v>194</v>
      </c>
      <c r="I199" s="190" t="str">
        <f t="shared" si="18"/>
        <v/>
      </c>
      <c r="J199" s="189" t="e">
        <f t="shared" ref="J199:J262" si="21">INT(LOG($H$2,2))-ROUNDUP(LOG(H199,2),0)+IF(OR($H$2=1,$H$2=2,$H$2=4,$H$2=8,$H$2=16,$H$2=32,$H$2=64,$H$2=128,$H$2=256),0,1)</f>
        <v>#NUM!</v>
      </c>
      <c r="K199" s="189" t="e">
        <f t="shared" si="19"/>
        <v>#NUM!</v>
      </c>
      <c r="L199" s="189"/>
      <c r="M199" s="191">
        <f t="shared" si="20"/>
        <v>0</v>
      </c>
    </row>
    <row r="200" spans="1:13" x14ac:dyDescent="0.25">
      <c r="A200" s="206"/>
      <c r="G200" s="177"/>
      <c r="H200" s="189">
        <v>195</v>
      </c>
      <c r="I200" s="190" t="str">
        <f t="shared" si="18"/>
        <v/>
      </c>
      <c r="J200" s="189" t="e">
        <f t="shared" si="21"/>
        <v>#NUM!</v>
      </c>
      <c r="K200" s="189" t="e">
        <f t="shared" si="19"/>
        <v>#NUM!</v>
      </c>
      <c r="L200" s="189"/>
      <c r="M200" s="191">
        <f t="shared" si="20"/>
        <v>0</v>
      </c>
    </row>
    <row r="201" spans="1:13" x14ac:dyDescent="0.25">
      <c r="A201" s="206"/>
      <c r="G201" s="177"/>
      <c r="H201" s="192">
        <v>196</v>
      </c>
      <c r="I201" s="190" t="str">
        <f t="shared" si="18"/>
        <v/>
      </c>
      <c r="J201" s="189" t="e">
        <f t="shared" si="21"/>
        <v>#NUM!</v>
      </c>
      <c r="K201" s="189" t="e">
        <f t="shared" si="19"/>
        <v>#NUM!</v>
      </c>
      <c r="L201" s="189"/>
      <c r="M201" s="191">
        <f t="shared" si="20"/>
        <v>0</v>
      </c>
    </row>
    <row r="202" spans="1:13" x14ac:dyDescent="0.25">
      <c r="A202" s="206"/>
      <c r="G202" s="177"/>
      <c r="H202" s="189">
        <v>197</v>
      </c>
      <c r="I202" s="190" t="str">
        <f t="shared" si="18"/>
        <v/>
      </c>
      <c r="J202" s="189" t="e">
        <f t="shared" si="21"/>
        <v>#NUM!</v>
      </c>
      <c r="K202" s="189" t="e">
        <f t="shared" si="19"/>
        <v>#NUM!</v>
      </c>
      <c r="L202" s="189"/>
      <c r="M202" s="191">
        <f t="shared" si="20"/>
        <v>0</v>
      </c>
    </row>
    <row r="203" spans="1:13" x14ac:dyDescent="0.25">
      <c r="A203" s="206"/>
      <c r="G203" s="177"/>
      <c r="H203" s="192">
        <v>198</v>
      </c>
      <c r="I203" s="190" t="str">
        <f t="shared" si="18"/>
        <v/>
      </c>
      <c r="J203" s="189" t="e">
        <f t="shared" si="21"/>
        <v>#NUM!</v>
      </c>
      <c r="K203" s="189" t="e">
        <f t="shared" si="19"/>
        <v>#NUM!</v>
      </c>
      <c r="L203" s="189"/>
      <c r="M203" s="191">
        <f t="shared" si="20"/>
        <v>0</v>
      </c>
    </row>
    <row r="204" spans="1:13" x14ac:dyDescent="0.25">
      <c r="A204" s="206"/>
      <c r="G204" s="177"/>
      <c r="H204" s="189">
        <v>199</v>
      </c>
      <c r="I204" s="190" t="str">
        <f t="shared" si="18"/>
        <v/>
      </c>
      <c r="J204" s="189" t="e">
        <f t="shared" si="21"/>
        <v>#NUM!</v>
      </c>
      <c r="K204" s="189" t="e">
        <f t="shared" si="19"/>
        <v>#NUM!</v>
      </c>
      <c r="L204" s="189"/>
      <c r="M204" s="191">
        <f t="shared" si="20"/>
        <v>0</v>
      </c>
    </row>
    <row r="205" spans="1:13" x14ac:dyDescent="0.25">
      <c r="A205" s="206"/>
      <c r="G205" s="177"/>
      <c r="H205" s="192">
        <v>200</v>
      </c>
      <c r="I205" s="190" t="str">
        <f t="shared" si="18"/>
        <v/>
      </c>
      <c r="J205" s="189" t="e">
        <f t="shared" si="21"/>
        <v>#NUM!</v>
      </c>
      <c r="K205" s="189" t="e">
        <f t="shared" si="19"/>
        <v>#NUM!</v>
      </c>
      <c r="L205" s="189"/>
      <c r="M205" s="191">
        <f t="shared" si="20"/>
        <v>0</v>
      </c>
    </row>
    <row r="206" spans="1:13" x14ac:dyDescent="0.25">
      <c r="A206" s="206"/>
      <c r="G206" s="177"/>
      <c r="H206" s="189">
        <v>201</v>
      </c>
      <c r="I206" s="190" t="str">
        <f t="shared" si="18"/>
        <v/>
      </c>
      <c r="J206" s="189" t="e">
        <f t="shared" si="21"/>
        <v>#NUM!</v>
      </c>
      <c r="K206" s="189" t="e">
        <f t="shared" si="19"/>
        <v>#NUM!</v>
      </c>
      <c r="L206" s="189"/>
      <c r="M206" s="191">
        <f t="shared" si="20"/>
        <v>0</v>
      </c>
    </row>
    <row r="207" spans="1:13" x14ac:dyDescent="0.25">
      <c r="A207" s="206"/>
      <c r="G207" s="177"/>
      <c r="H207" s="192">
        <v>202</v>
      </c>
      <c r="I207" s="190" t="str">
        <f t="shared" si="18"/>
        <v/>
      </c>
      <c r="J207" s="189" t="e">
        <f t="shared" si="21"/>
        <v>#NUM!</v>
      </c>
      <c r="K207" s="189" t="e">
        <f t="shared" si="19"/>
        <v>#NUM!</v>
      </c>
      <c r="L207" s="189"/>
      <c r="M207" s="191">
        <f t="shared" si="20"/>
        <v>0</v>
      </c>
    </row>
    <row r="208" spans="1:13" x14ac:dyDescent="0.25">
      <c r="A208" s="206"/>
      <c r="G208" s="177"/>
      <c r="H208" s="189">
        <v>203</v>
      </c>
      <c r="I208" s="190" t="str">
        <f t="shared" si="18"/>
        <v/>
      </c>
      <c r="J208" s="189" t="e">
        <f t="shared" si="21"/>
        <v>#NUM!</v>
      </c>
      <c r="K208" s="189" t="e">
        <f t="shared" si="19"/>
        <v>#NUM!</v>
      </c>
      <c r="L208" s="189"/>
      <c r="M208" s="191">
        <f t="shared" si="20"/>
        <v>0</v>
      </c>
    </row>
    <row r="209" spans="1:13" x14ac:dyDescent="0.25">
      <c r="A209" s="206"/>
      <c r="G209" s="177"/>
      <c r="H209" s="192">
        <v>204</v>
      </c>
      <c r="I209" s="190" t="str">
        <f t="shared" si="18"/>
        <v/>
      </c>
      <c r="J209" s="189" t="e">
        <f t="shared" si="21"/>
        <v>#NUM!</v>
      </c>
      <c r="K209" s="189" t="e">
        <f t="shared" si="19"/>
        <v>#NUM!</v>
      </c>
      <c r="L209" s="189"/>
      <c r="M209" s="191">
        <f t="shared" si="20"/>
        <v>0</v>
      </c>
    </row>
    <row r="210" spans="1:13" x14ac:dyDescent="0.25">
      <c r="A210" s="206"/>
      <c r="G210" s="177"/>
      <c r="H210" s="189">
        <v>205</v>
      </c>
      <c r="I210" s="190" t="str">
        <f t="shared" si="18"/>
        <v/>
      </c>
      <c r="J210" s="189" t="e">
        <f t="shared" si="21"/>
        <v>#NUM!</v>
      </c>
      <c r="K210" s="189" t="e">
        <f t="shared" si="19"/>
        <v>#NUM!</v>
      </c>
      <c r="L210" s="189"/>
      <c r="M210" s="191">
        <f t="shared" si="20"/>
        <v>0</v>
      </c>
    </row>
    <row r="211" spans="1:13" x14ac:dyDescent="0.25">
      <c r="A211" s="206"/>
      <c r="G211" s="177"/>
      <c r="H211" s="192">
        <v>206</v>
      </c>
      <c r="I211" s="190" t="str">
        <f t="shared" si="18"/>
        <v/>
      </c>
      <c r="J211" s="189" t="e">
        <f t="shared" si="21"/>
        <v>#NUM!</v>
      </c>
      <c r="K211" s="189" t="e">
        <f t="shared" si="19"/>
        <v>#NUM!</v>
      </c>
      <c r="L211" s="189"/>
      <c r="M211" s="191">
        <f t="shared" si="20"/>
        <v>0</v>
      </c>
    </row>
    <row r="212" spans="1:13" x14ac:dyDescent="0.25">
      <c r="A212" s="206"/>
      <c r="G212" s="177"/>
      <c r="H212" s="189">
        <v>207</v>
      </c>
      <c r="I212" s="190" t="str">
        <f t="shared" si="18"/>
        <v/>
      </c>
      <c r="J212" s="189" t="e">
        <f t="shared" si="21"/>
        <v>#NUM!</v>
      </c>
      <c r="K212" s="189" t="e">
        <f t="shared" si="19"/>
        <v>#NUM!</v>
      </c>
      <c r="L212" s="189"/>
      <c r="M212" s="191">
        <f t="shared" si="20"/>
        <v>0</v>
      </c>
    </row>
    <row r="213" spans="1:13" x14ac:dyDescent="0.25">
      <c r="A213" s="206"/>
      <c r="G213" s="177"/>
      <c r="H213" s="192">
        <v>208</v>
      </c>
      <c r="I213" s="190" t="str">
        <f t="shared" si="18"/>
        <v/>
      </c>
      <c r="J213" s="189" t="e">
        <f t="shared" si="21"/>
        <v>#NUM!</v>
      </c>
      <c r="K213" s="189" t="e">
        <f t="shared" si="19"/>
        <v>#NUM!</v>
      </c>
      <c r="L213" s="189"/>
      <c r="M213" s="191">
        <f t="shared" si="20"/>
        <v>0</v>
      </c>
    </row>
    <row r="214" spans="1:13" x14ac:dyDescent="0.25">
      <c r="A214" s="206"/>
      <c r="G214" s="177"/>
      <c r="H214" s="189">
        <v>209</v>
      </c>
      <c r="I214" s="190" t="str">
        <f t="shared" si="18"/>
        <v/>
      </c>
      <c r="J214" s="189" t="e">
        <f t="shared" si="21"/>
        <v>#NUM!</v>
      </c>
      <c r="K214" s="189" t="e">
        <f t="shared" si="19"/>
        <v>#NUM!</v>
      </c>
      <c r="L214" s="189"/>
      <c r="M214" s="191">
        <f t="shared" si="20"/>
        <v>0</v>
      </c>
    </row>
    <row r="215" spans="1:13" x14ac:dyDescent="0.25">
      <c r="A215" s="206"/>
      <c r="G215" s="177"/>
      <c r="H215" s="192">
        <v>210</v>
      </c>
      <c r="I215" s="190" t="str">
        <f t="shared" si="18"/>
        <v/>
      </c>
      <c r="J215" s="189" t="e">
        <f t="shared" si="21"/>
        <v>#NUM!</v>
      </c>
      <c r="K215" s="189" t="e">
        <f t="shared" si="19"/>
        <v>#NUM!</v>
      </c>
      <c r="L215" s="189"/>
      <c r="M215" s="191">
        <f t="shared" si="20"/>
        <v>0</v>
      </c>
    </row>
    <row r="216" spans="1:13" x14ac:dyDescent="0.25">
      <c r="A216" s="206"/>
      <c r="G216" s="177"/>
      <c r="H216" s="189">
        <v>211</v>
      </c>
      <c r="I216" s="190" t="str">
        <f t="shared" si="18"/>
        <v/>
      </c>
      <c r="J216" s="189" t="e">
        <f t="shared" si="21"/>
        <v>#NUM!</v>
      </c>
      <c r="K216" s="189" t="e">
        <f t="shared" si="19"/>
        <v>#NUM!</v>
      </c>
      <c r="L216" s="189"/>
      <c r="M216" s="191">
        <f t="shared" si="20"/>
        <v>0</v>
      </c>
    </row>
    <row r="217" spans="1:13" x14ac:dyDescent="0.25">
      <c r="A217" s="206"/>
      <c r="G217" s="177"/>
      <c r="H217" s="192">
        <v>212</v>
      </c>
      <c r="I217" s="190" t="str">
        <f t="shared" si="18"/>
        <v/>
      </c>
      <c r="J217" s="189" t="e">
        <f t="shared" si="21"/>
        <v>#NUM!</v>
      </c>
      <c r="K217" s="189" t="e">
        <f t="shared" si="19"/>
        <v>#NUM!</v>
      </c>
      <c r="L217" s="189"/>
      <c r="M217" s="191">
        <f t="shared" si="20"/>
        <v>0</v>
      </c>
    </row>
    <row r="218" spans="1:13" x14ac:dyDescent="0.25">
      <c r="A218" s="206"/>
      <c r="G218" s="177"/>
      <c r="H218" s="189">
        <v>213</v>
      </c>
      <c r="I218" s="190" t="str">
        <f t="shared" si="18"/>
        <v/>
      </c>
      <c r="J218" s="189" t="e">
        <f t="shared" si="21"/>
        <v>#NUM!</v>
      </c>
      <c r="K218" s="189" t="e">
        <f t="shared" si="19"/>
        <v>#NUM!</v>
      </c>
      <c r="L218" s="189"/>
      <c r="M218" s="191">
        <f t="shared" si="20"/>
        <v>0</v>
      </c>
    </row>
    <row r="219" spans="1:13" x14ac:dyDescent="0.25">
      <c r="A219" s="206"/>
      <c r="G219" s="177"/>
      <c r="H219" s="192">
        <v>214</v>
      </c>
      <c r="I219" s="190" t="str">
        <f t="shared" si="18"/>
        <v/>
      </c>
      <c r="J219" s="189" t="e">
        <f t="shared" si="21"/>
        <v>#NUM!</v>
      </c>
      <c r="K219" s="189" t="e">
        <f t="shared" si="19"/>
        <v>#NUM!</v>
      </c>
      <c r="L219" s="189"/>
      <c r="M219" s="191">
        <f t="shared" si="20"/>
        <v>0</v>
      </c>
    </row>
    <row r="220" spans="1:13" x14ac:dyDescent="0.25">
      <c r="A220" s="206"/>
      <c r="G220" s="177"/>
      <c r="H220" s="189">
        <v>215</v>
      </c>
      <c r="I220" s="190" t="str">
        <f t="shared" si="18"/>
        <v/>
      </c>
      <c r="J220" s="189" t="e">
        <f t="shared" si="21"/>
        <v>#NUM!</v>
      </c>
      <c r="K220" s="189" t="e">
        <f t="shared" si="19"/>
        <v>#NUM!</v>
      </c>
      <c r="L220" s="189"/>
      <c r="M220" s="191">
        <f t="shared" si="20"/>
        <v>0</v>
      </c>
    </row>
    <row r="221" spans="1:13" x14ac:dyDescent="0.25">
      <c r="A221" s="206"/>
      <c r="G221" s="177"/>
      <c r="H221" s="192">
        <v>216</v>
      </c>
      <c r="I221" s="190" t="str">
        <f t="shared" si="18"/>
        <v/>
      </c>
      <c r="J221" s="189" t="e">
        <f t="shared" si="21"/>
        <v>#NUM!</v>
      </c>
      <c r="K221" s="189" t="e">
        <f t="shared" si="19"/>
        <v>#NUM!</v>
      </c>
      <c r="L221" s="189"/>
      <c r="M221" s="191">
        <f t="shared" si="20"/>
        <v>0</v>
      </c>
    </row>
    <row r="222" spans="1:13" x14ac:dyDescent="0.25">
      <c r="A222" s="206"/>
      <c r="G222" s="177"/>
      <c r="H222" s="189">
        <v>217</v>
      </c>
      <c r="I222" s="190" t="str">
        <f t="shared" si="18"/>
        <v/>
      </c>
      <c r="J222" s="189" t="e">
        <f t="shared" si="21"/>
        <v>#NUM!</v>
      </c>
      <c r="K222" s="189" t="e">
        <f t="shared" si="19"/>
        <v>#NUM!</v>
      </c>
      <c r="L222" s="189"/>
      <c r="M222" s="191">
        <f t="shared" si="20"/>
        <v>0</v>
      </c>
    </row>
    <row r="223" spans="1:13" x14ac:dyDescent="0.25">
      <c r="A223" s="206"/>
      <c r="G223" s="177"/>
      <c r="H223" s="192">
        <v>218</v>
      </c>
      <c r="I223" s="190" t="str">
        <f t="shared" si="18"/>
        <v/>
      </c>
      <c r="J223" s="189" t="e">
        <f t="shared" si="21"/>
        <v>#NUM!</v>
      </c>
      <c r="K223" s="189" t="e">
        <f t="shared" si="19"/>
        <v>#NUM!</v>
      </c>
      <c r="L223" s="189"/>
      <c r="M223" s="191">
        <f t="shared" si="20"/>
        <v>0</v>
      </c>
    </row>
    <row r="224" spans="1:13" x14ac:dyDescent="0.25">
      <c r="A224" s="206"/>
      <c r="G224" s="177"/>
      <c r="H224" s="189">
        <v>219</v>
      </c>
      <c r="I224" s="190" t="str">
        <f t="shared" si="18"/>
        <v/>
      </c>
      <c r="J224" s="189" t="e">
        <f t="shared" si="21"/>
        <v>#NUM!</v>
      </c>
      <c r="K224" s="189" t="e">
        <f t="shared" si="19"/>
        <v>#NUM!</v>
      </c>
      <c r="L224" s="189"/>
      <c r="M224" s="191">
        <f t="shared" si="20"/>
        <v>0</v>
      </c>
    </row>
    <row r="225" spans="1:13" x14ac:dyDescent="0.25">
      <c r="A225" s="206"/>
      <c r="G225" s="177"/>
      <c r="H225" s="192">
        <v>220</v>
      </c>
      <c r="I225" s="190" t="str">
        <f t="shared" si="18"/>
        <v/>
      </c>
      <c r="J225" s="189" t="e">
        <f t="shared" si="21"/>
        <v>#NUM!</v>
      </c>
      <c r="K225" s="189" t="e">
        <f t="shared" si="19"/>
        <v>#NUM!</v>
      </c>
      <c r="L225" s="189"/>
      <c r="M225" s="191">
        <f t="shared" si="20"/>
        <v>0</v>
      </c>
    </row>
    <row r="226" spans="1:13" x14ac:dyDescent="0.25">
      <c r="A226" s="206"/>
      <c r="G226" s="177"/>
      <c r="H226" s="189">
        <v>221</v>
      </c>
      <c r="I226" s="190" t="str">
        <f t="shared" si="18"/>
        <v/>
      </c>
      <c r="J226" s="189" t="e">
        <f t="shared" si="21"/>
        <v>#NUM!</v>
      </c>
      <c r="K226" s="189" t="e">
        <f t="shared" si="19"/>
        <v>#NUM!</v>
      </c>
      <c r="L226" s="189"/>
      <c r="M226" s="191">
        <f t="shared" si="20"/>
        <v>0</v>
      </c>
    </row>
    <row r="227" spans="1:13" x14ac:dyDescent="0.25">
      <c r="A227" s="206"/>
      <c r="G227" s="177"/>
      <c r="H227" s="192">
        <v>222</v>
      </c>
      <c r="I227" s="190" t="str">
        <f t="shared" si="18"/>
        <v/>
      </c>
      <c r="J227" s="189" t="e">
        <f t="shared" si="21"/>
        <v>#NUM!</v>
      </c>
      <c r="K227" s="189" t="e">
        <f t="shared" si="19"/>
        <v>#NUM!</v>
      </c>
      <c r="L227" s="189"/>
      <c r="M227" s="191">
        <f t="shared" si="20"/>
        <v>0</v>
      </c>
    </row>
    <row r="228" spans="1:13" x14ac:dyDescent="0.25">
      <c r="A228" s="206"/>
      <c r="G228" s="177"/>
      <c r="H228" s="189">
        <v>223</v>
      </c>
      <c r="I228" s="190" t="str">
        <f t="shared" si="18"/>
        <v/>
      </c>
      <c r="J228" s="189" t="e">
        <f t="shared" si="21"/>
        <v>#NUM!</v>
      </c>
      <c r="K228" s="189" t="e">
        <f t="shared" si="19"/>
        <v>#NUM!</v>
      </c>
      <c r="L228" s="189"/>
      <c r="M228" s="191">
        <f t="shared" si="20"/>
        <v>0</v>
      </c>
    </row>
    <row r="229" spans="1:13" x14ac:dyDescent="0.25">
      <c r="A229" s="206"/>
      <c r="G229" s="177"/>
      <c r="H229" s="192">
        <v>224</v>
      </c>
      <c r="I229" s="190" t="str">
        <f t="shared" si="18"/>
        <v/>
      </c>
      <c r="J229" s="189" t="e">
        <f t="shared" si="21"/>
        <v>#NUM!</v>
      </c>
      <c r="K229" s="189" t="e">
        <f t="shared" si="19"/>
        <v>#NUM!</v>
      </c>
      <c r="L229" s="189"/>
      <c r="M229" s="191">
        <f t="shared" si="20"/>
        <v>0</v>
      </c>
    </row>
    <row r="230" spans="1:13" x14ac:dyDescent="0.25">
      <c r="A230" s="206"/>
      <c r="G230" s="177"/>
      <c r="H230" s="189">
        <v>225</v>
      </c>
      <c r="I230" s="190" t="str">
        <f t="shared" si="18"/>
        <v/>
      </c>
      <c r="J230" s="189" t="e">
        <f t="shared" si="21"/>
        <v>#NUM!</v>
      </c>
      <c r="K230" s="189" t="e">
        <f t="shared" si="19"/>
        <v>#NUM!</v>
      </c>
      <c r="L230" s="189"/>
      <c r="M230" s="191">
        <f t="shared" si="20"/>
        <v>0</v>
      </c>
    </row>
    <row r="231" spans="1:13" x14ac:dyDescent="0.25">
      <c r="A231" s="206"/>
      <c r="G231" s="177"/>
      <c r="H231" s="192">
        <v>226</v>
      </c>
      <c r="I231" s="190" t="str">
        <f t="shared" si="18"/>
        <v/>
      </c>
      <c r="J231" s="189" t="e">
        <f t="shared" si="21"/>
        <v>#NUM!</v>
      </c>
      <c r="K231" s="189" t="e">
        <f t="shared" si="19"/>
        <v>#NUM!</v>
      </c>
      <c r="L231" s="189"/>
      <c r="M231" s="191">
        <f t="shared" si="20"/>
        <v>0</v>
      </c>
    </row>
    <row r="232" spans="1:13" x14ac:dyDescent="0.25">
      <c r="A232" s="206"/>
      <c r="G232" s="177"/>
      <c r="H232" s="189">
        <v>227</v>
      </c>
      <c r="I232" s="190" t="str">
        <f t="shared" si="18"/>
        <v/>
      </c>
      <c r="J232" s="189" t="e">
        <f t="shared" si="21"/>
        <v>#NUM!</v>
      </c>
      <c r="K232" s="189" t="e">
        <f t="shared" si="19"/>
        <v>#NUM!</v>
      </c>
      <c r="L232" s="189"/>
      <c r="M232" s="191">
        <f t="shared" si="20"/>
        <v>0</v>
      </c>
    </row>
    <row r="233" spans="1:13" x14ac:dyDescent="0.25">
      <c r="A233" s="206"/>
      <c r="G233" s="177"/>
      <c r="H233" s="192">
        <v>228</v>
      </c>
      <c r="I233" s="190" t="str">
        <f t="shared" si="18"/>
        <v/>
      </c>
      <c r="J233" s="189" t="e">
        <f t="shared" si="21"/>
        <v>#NUM!</v>
      </c>
      <c r="K233" s="189" t="e">
        <f t="shared" si="19"/>
        <v>#NUM!</v>
      </c>
      <c r="L233" s="189"/>
      <c r="M233" s="191">
        <f t="shared" si="20"/>
        <v>0</v>
      </c>
    </row>
    <row r="234" spans="1:13" x14ac:dyDescent="0.25">
      <c r="A234" s="206"/>
      <c r="G234" s="177"/>
      <c r="H234" s="189">
        <v>229</v>
      </c>
      <c r="I234" s="190" t="str">
        <f t="shared" si="18"/>
        <v/>
      </c>
      <c r="J234" s="189" t="e">
        <f t="shared" si="21"/>
        <v>#NUM!</v>
      </c>
      <c r="K234" s="189" t="e">
        <f t="shared" si="19"/>
        <v>#NUM!</v>
      </c>
      <c r="L234" s="189"/>
      <c r="M234" s="191">
        <f t="shared" si="20"/>
        <v>0</v>
      </c>
    </row>
    <row r="235" spans="1:13" x14ac:dyDescent="0.25">
      <c r="A235" s="206"/>
      <c r="G235" s="177"/>
      <c r="H235" s="192">
        <v>230</v>
      </c>
      <c r="I235" s="190" t="str">
        <f t="shared" si="18"/>
        <v/>
      </c>
      <c r="J235" s="189" t="e">
        <f t="shared" si="21"/>
        <v>#NUM!</v>
      </c>
      <c r="K235" s="189" t="e">
        <f t="shared" si="19"/>
        <v>#NUM!</v>
      </c>
      <c r="L235" s="189"/>
      <c r="M235" s="191">
        <f t="shared" si="20"/>
        <v>0</v>
      </c>
    </row>
    <row r="236" spans="1:13" x14ac:dyDescent="0.25">
      <c r="A236" s="206"/>
      <c r="G236" s="177"/>
      <c r="H236" s="189">
        <v>231</v>
      </c>
      <c r="I236" s="190" t="str">
        <f t="shared" si="18"/>
        <v/>
      </c>
      <c r="J236" s="189" t="e">
        <f t="shared" si="21"/>
        <v>#NUM!</v>
      </c>
      <c r="K236" s="189" t="e">
        <f t="shared" si="19"/>
        <v>#NUM!</v>
      </c>
      <c r="L236" s="189"/>
      <c r="M236" s="191">
        <f t="shared" si="20"/>
        <v>0</v>
      </c>
    </row>
    <row r="237" spans="1:13" x14ac:dyDescent="0.25">
      <c r="A237" s="206"/>
      <c r="G237" s="177"/>
      <c r="H237" s="192">
        <v>232</v>
      </c>
      <c r="I237" s="190" t="str">
        <f t="shared" si="18"/>
        <v/>
      </c>
      <c r="J237" s="189" t="e">
        <f t="shared" si="21"/>
        <v>#NUM!</v>
      </c>
      <c r="K237" s="189" t="e">
        <f t="shared" si="19"/>
        <v>#NUM!</v>
      </c>
      <c r="L237" s="189"/>
      <c r="M237" s="191">
        <f t="shared" si="20"/>
        <v>0</v>
      </c>
    </row>
    <row r="238" spans="1:13" x14ac:dyDescent="0.25">
      <c r="A238" s="206"/>
      <c r="G238" s="177"/>
      <c r="H238" s="189">
        <v>233</v>
      </c>
      <c r="I238" s="190" t="str">
        <f t="shared" si="18"/>
        <v/>
      </c>
      <c r="J238" s="189" t="e">
        <f t="shared" si="21"/>
        <v>#NUM!</v>
      </c>
      <c r="K238" s="189" t="e">
        <f t="shared" si="19"/>
        <v>#NUM!</v>
      </c>
      <c r="L238" s="189"/>
      <c r="M238" s="191">
        <f t="shared" si="20"/>
        <v>0</v>
      </c>
    </row>
    <row r="239" spans="1:13" x14ac:dyDescent="0.25">
      <c r="A239" s="206"/>
      <c r="G239" s="177"/>
      <c r="H239" s="192">
        <v>234</v>
      </c>
      <c r="I239" s="190" t="str">
        <f t="shared" si="18"/>
        <v/>
      </c>
      <c r="J239" s="189" t="e">
        <f t="shared" si="21"/>
        <v>#NUM!</v>
      </c>
      <c r="K239" s="189" t="e">
        <f t="shared" si="19"/>
        <v>#NUM!</v>
      </c>
      <c r="L239" s="189"/>
      <c r="M239" s="191">
        <f t="shared" si="20"/>
        <v>0</v>
      </c>
    </row>
    <row r="240" spans="1:13" x14ac:dyDescent="0.25">
      <c r="A240" s="206"/>
      <c r="G240" s="177"/>
      <c r="H240" s="189">
        <v>235</v>
      </c>
      <c r="I240" s="190" t="str">
        <f t="shared" si="18"/>
        <v/>
      </c>
      <c r="J240" s="189" t="e">
        <f t="shared" si="21"/>
        <v>#NUM!</v>
      </c>
      <c r="K240" s="189" t="e">
        <f t="shared" si="19"/>
        <v>#NUM!</v>
      </c>
      <c r="L240" s="189"/>
      <c r="M240" s="191">
        <f t="shared" si="20"/>
        <v>0</v>
      </c>
    </row>
    <row r="241" spans="1:13" x14ac:dyDescent="0.25">
      <c r="A241" s="206"/>
      <c r="G241" s="177"/>
      <c r="H241" s="192">
        <v>236</v>
      </c>
      <c r="I241" s="190" t="str">
        <f t="shared" si="18"/>
        <v/>
      </c>
      <c r="J241" s="189" t="e">
        <f t="shared" si="21"/>
        <v>#NUM!</v>
      </c>
      <c r="K241" s="189" t="e">
        <f t="shared" si="19"/>
        <v>#NUM!</v>
      </c>
      <c r="L241" s="189"/>
      <c r="M241" s="191">
        <f t="shared" si="20"/>
        <v>0</v>
      </c>
    </row>
    <row r="242" spans="1:13" x14ac:dyDescent="0.25">
      <c r="A242" s="206"/>
      <c r="G242" s="177"/>
      <c r="H242" s="189">
        <v>237</v>
      </c>
      <c r="I242" s="190" t="str">
        <f t="shared" si="18"/>
        <v/>
      </c>
      <c r="J242" s="189" t="e">
        <f t="shared" si="21"/>
        <v>#NUM!</v>
      </c>
      <c r="K242" s="189" t="e">
        <f t="shared" si="19"/>
        <v>#NUM!</v>
      </c>
      <c r="L242" s="189"/>
      <c r="M242" s="191">
        <f t="shared" si="20"/>
        <v>0</v>
      </c>
    </row>
    <row r="243" spans="1:13" x14ac:dyDescent="0.25">
      <c r="A243" s="206"/>
      <c r="G243" s="177"/>
      <c r="H243" s="192">
        <v>238</v>
      </c>
      <c r="I243" s="190" t="str">
        <f t="shared" si="18"/>
        <v/>
      </c>
      <c r="J243" s="189" t="e">
        <f t="shared" si="21"/>
        <v>#NUM!</v>
      </c>
      <c r="K243" s="189" t="e">
        <f t="shared" si="19"/>
        <v>#NUM!</v>
      </c>
      <c r="L243" s="189"/>
      <c r="M243" s="191">
        <f t="shared" si="20"/>
        <v>0</v>
      </c>
    </row>
    <row r="244" spans="1:13" x14ac:dyDescent="0.25">
      <c r="A244" s="206"/>
      <c r="G244" s="177"/>
      <c r="H244" s="189">
        <v>239</v>
      </c>
      <c r="I244" s="190" t="str">
        <f t="shared" si="18"/>
        <v/>
      </c>
      <c r="J244" s="189" t="e">
        <f t="shared" si="21"/>
        <v>#NUM!</v>
      </c>
      <c r="K244" s="189" t="e">
        <f t="shared" si="19"/>
        <v>#NUM!</v>
      </c>
      <c r="L244" s="189"/>
      <c r="M244" s="191">
        <f t="shared" si="20"/>
        <v>0</v>
      </c>
    </row>
    <row r="245" spans="1:13" x14ac:dyDescent="0.25">
      <c r="A245" s="206"/>
      <c r="G245" s="177"/>
      <c r="H245" s="192">
        <v>240</v>
      </c>
      <c r="I245" s="190" t="str">
        <f t="shared" si="18"/>
        <v/>
      </c>
      <c r="J245" s="189" t="e">
        <f t="shared" si="21"/>
        <v>#NUM!</v>
      </c>
      <c r="K245" s="189" t="e">
        <f t="shared" si="19"/>
        <v>#NUM!</v>
      </c>
      <c r="L245" s="189"/>
      <c r="M245" s="191">
        <f t="shared" si="20"/>
        <v>0</v>
      </c>
    </row>
    <row r="246" spans="1:13" x14ac:dyDescent="0.25">
      <c r="A246" s="206"/>
      <c r="G246" s="177"/>
      <c r="H246" s="189">
        <v>241</v>
      </c>
      <c r="I246" s="190" t="str">
        <f t="shared" si="18"/>
        <v/>
      </c>
      <c r="J246" s="189" t="e">
        <f t="shared" si="21"/>
        <v>#NUM!</v>
      </c>
      <c r="K246" s="189" t="e">
        <f t="shared" si="19"/>
        <v>#NUM!</v>
      </c>
      <c r="L246" s="189"/>
      <c r="M246" s="191">
        <f t="shared" si="20"/>
        <v>0</v>
      </c>
    </row>
    <row r="247" spans="1:13" x14ac:dyDescent="0.25">
      <c r="A247" s="206"/>
      <c r="G247" s="177"/>
      <c r="H247" s="192">
        <v>242</v>
      </c>
      <c r="I247" s="190" t="str">
        <f t="shared" si="18"/>
        <v/>
      </c>
      <c r="J247" s="189" t="e">
        <f t="shared" si="21"/>
        <v>#NUM!</v>
      </c>
      <c r="K247" s="189" t="e">
        <f t="shared" si="19"/>
        <v>#NUM!</v>
      </c>
      <c r="L247" s="189"/>
      <c r="M247" s="191">
        <f t="shared" si="20"/>
        <v>0</v>
      </c>
    </row>
    <row r="248" spans="1:13" x14ac:dyDescent="0.25">
      <c r="A248" s="206"/>
      <c r="G248" s="177"/>
      <c r="H248" s="189">
        <v>243</v>
      </c>
      <c r="I248" s="190" t="str">
        <f t="shared" si="18"/>
        <v/>
      </c>
      <c r="J248" s="189" t="e">
        <f t="shared" si="21"/>
        <v>#NUM!</v>
      </c>
      <c r="K248" s="189" t="e">
        <f t="shared" si="19"/>
        <v>#NUM!</v>
      </c>
      <c r="L248" s="189"/>
      <c r="M248" s="191">
        <f t="shared" si="20"/>
        <v>0</v>
      </c>
    </row>
    <row r="249" spans="1:13" x14ac:dyDescent="0.25">
      <c r="A249" s="206"/>
      <c r="G249" s="177"/>
      <c r="H249" s="192">
        <v>244</v>
      </c>
      <c r="I249" s="190" t="str">
        <f t="shared" si="18"/>
        <v/>
      </c>
      <c r="J249" s="189" t="e">
        <f t="shared" si="21"/>
        <v>#NUM!</v>
      </c>
      <c r="K249" s="189" t="e">
        <f t="shared" si="19"/>
        <v>#NUM!</v>
      </c>
      <c r="L249" s="189"/>
      <c r="M249" s="191">
        <f t="shared" si="20"/>
        <v>0</v>
      </c>
    </row>
    <row r="250" spans="1:13" x14ac:dyDescent="0.25">
      <c r="A250" s="206"/>
      <c r="G250" s="177"/>
      <c r="H250" s="189">
        <v>245</v>
      </c>
      <c r="I250" s="190" t="str">
        <f t="shared" si="18"/>
        <v/>
      </c>
      <c r="J250" s="189" t="e">
        <f t="shared" si="21"/>
        <v>#NUM!</v>
      </c>
      <c r="K250" s="189" t="e">
        <f t="shared" si="19"/>
        <v>#NUM!</v>
      </c>
      <c r="L250" s="189"/>
      <c r="M250" s="191">
        <f t="shared" si="20"/>
        <v>0</v>
      </c>
    </row>
    <row r="251" spans="1:13" x14ac:dyDescent="0.25">
      <c r="A251" s="206"/>
      <c r="G251" s="177"/>
      <c r="H251" s="192">
        <v>246</v>
      </c>
      <c r="I251" s="190" t="str">
        <f t="shared" si="18"/>
        <v/>
      </c>
      <c r="J251" s="189" t="e">
        <f t="shared" si="21"/>
        <v>#NUM!</v>
      </c>
      <c r="K251" s="189" t="e">
        <f t="shared" si="19"/>
        <v>#NUM!</v>
      </c>
      <c r="L251" s="189"/>
      <c r="M251" s="191">
        <f t="shared" si="20"/>
        <v>0</v>
      </c>
    </row>
    <row r="252" spans="1:13" x14ac:dyDescent="0.25">
      <c r="A252" s="206"/>
      <c r="G252" s="177"/>
      <c r="H252" s="189">
        <v>247</v>
      </c>
      <c r="I252" s="190" t="str">
        <f t="shared" si="18"/>
        <v/>
      </c>
      <c r="J252" s="189" t="e">
        <f t="shared" si="21"/>
        <v>#NUM!</v>
      </c>
      <c r="K252" s="189" t="e">
        <f t="shared" si="19"/>
        <v>#NUM!</v>
      </c>
      <c r="L252" s="189"/>
      <c r="M252" s="191">
        <f t="shared" si="20"/>
        <v>0</v>
      </c>
    </row>
    <row r="253" spans="1:13" x14ac:dyDescent="0.25">
      <c r="A253" s="206"/>
      <c r="G253" s="177"/>
      <c r="H253" s="192">
        <v>248</v>
      </c>
      <c r="I253" s="190" t="str">
        <f t="shared" si="18"/>
        <v/>
      </c>
      <c r="J253" s="189" t="e">
        <f t="shared" si="21"/>
        <v>#NUM!</v>
      </c>
      <c r="K253" s="189" t="e">
        <f t="shared" si="19"/>
        <v>#NUM!</v>
      </c>
      <c r="L253" s="189"/>
      <c r="M253" s="191">
        <f t="shared" si="20"/>
        <v>0</v>
      </c>
    </row>
    <row r="254" spans="1:13" x14ac:dyDescent="0.25">
      <c r="A254" s="206"/>
      <c r="G254" s="177"/>
      <c r="H254" s="189">
        <v>249</v>
      </c>
      <c r="I254" s="190" t="str">
        <f t="shared" si="18"/>
        <v/>
      </c>
      <c r="J254" s="189" t="e">
        <f t="shared" si="21"/>
        <v>#NUM!</v>
      </c>
      <c r="K254" s="189" t="e">
        <f t="shared" si="19"/>
        <v>#NUM!</v>
      </c>
      <c r="L254" s="189"/>
      <c r="M254" s="191">
        <f t="shared" si="20"/>
        <v>0</v>
      </c>
    </row>
    <row r="255" spans="1:13" x14ac:dyDescent="0.25">
      <c r="A255" s="206"/>
      <c r="G255" s="177"/>
      <c r="H255" s="192">
        <v>250</v>
      </c>
      <c r="I255" s="190" t="str">
        <f t="shared" si="18"/>
        <v/>
      </c>
      <c r="J255" s="189" t="e">
        <f t="shared" si="21"/>
        <v>#NUM!</v>
      </c>
      <c r="K255" s="189" t="e">
        <f t="shared" si="19"/>
        <v>#NUM!</v>
      </c>
      <c r="L255" s="189"/>
      <c r="M255" s="191">
        <f t="shared" si="20"/>
        <v>0</v>
      </c>
    </row>
    <row r="256" spans="1:13" x14ac:dyDescent="0.25">
      <c r="A256" s="206"/>
      <c r="G256" s="177"/>
      <c r="H256" s="189">
        <v>251</v>
      </c>
      <c r="I256" s="190" t="str">
        <f t="shared" si="18"/>
        <v/>
      </c>
      <c r="J256" s="189" t="e">
        <f t="shared" si="21"/>
        <v>#NUM!</v>
      </c>
      <c r="K256" s="189" t="e">
        <f t="shared" si="19"/>
        <v>#NUM!</v>
      </c>
      <c r="L256" s="189"/>
      <c r="M256" s="191">
        <f t="shared" si="20"/>
        <v>0</v>
      </c>
    </row>
    <row r="257" spans="1:13" x14ac:dyDescent="0.25">
      <c r="A257" s="206"/>
      <c r="G257" s="177"/>
      <c r="H257" s="192">
        <v>252</v>
      </c>
      <c r="I257" s="190" t="str">
        <f t="shared" si="18"/>
        <v/>
      </c>
      <c r="J257" s="189" t="e">
        <f t="shared" si="21"/>
        <v>#NUM!</v>
      </c>
      <c r="K257" s="189" t="e">
        <f t="shared" si="19"/>
        <v>#NUM!</v>
      </c>
      <c r="L257" s="189"/>
      <c r="M257" s="191">
        <f t="shared" si="20"/>
        <v>0</v>
      </c>
    </row>
    <row r="258" spans="1:13" x14ac:dyDescent="0.25">
      <c r="A258" s="206"/>
      <c r="G258" s="177"/>
      <c r="H258" s="189">
        <v>253</v>
      </c>
      <c r="I258" s="190" t="str">
        <f t="shared" si="18"/>
        <v/>
      </c>
      <c r="J258" s="189" t="e">
        <f t="shared" si="21"/>
        <v>#NUM!</v>
      </c>
      <c r="K258" s="189" t="e">
        <f t="shared" si="19"/>
        <v>#NUM!</v>
      </c>
      <c r="L258" s="189"/>
      <c r="M258" s="191">
        <f t="shared" si="20"/>
        <v>0</v>
      </c>
    </row>
    <row r="259" spans="1:13" x14ac:dyDescent="0.25">
      <c r="A259" s="206"/>
      <c r="G259" s="177"/>
      <c r="H259" s="192">
        <v>254</v>
      </c>
      <c r="I259" s="190" t="str">
        <f t="shared" si="18"/>
        <v/>
      </c>
      <c r="J259" s="189" t="e">
        <f t="shared" si="21"/>
        <v>#NUM!</v>
      </c>
      <c r="K259" s="189" t="e">
        <f t="shared" si="19"/>
        <v>#NUM!</v>
      </c>
      <c r="L259" s="189"/>
      <c r="M259" s="191">
        <f t="shared" si="20"/>
        <v>0</v>
      </c>
    </row>
    <row r="260" spans="1:13" x14ac:dyDescent="0.25">
      <c r="A260" s="206"/>
      <c r="G260" s="177"/>
      <c r="H260" s="189">
        <v>255</v>
      </c>
      <c r="I260" s="190" t="str">
        <f t="shared" si="18"/>
        <v/>
      </c>
      <c r="J260" s="189" t="e">
        <f t="shared" si="21"/>
        <v>#NUM!</v>
      </c>
      <c r="K260" s="189" t="e">
        <f t="shared" si="19"/>
        <v>#NUM!</v>
      </c>
      <c r="L260" s="189"/>
      <c r="M260" s="191">
        <f t="shared" si="20"/>
        <v>0</v>
      </c>
    </row>
    <row r="261" spans="1:13" x14ac:dyDescent="0.25">
      <c r="A261" s="206"/>
      <c r="G261" s="177"/>
      <c r="H261" s="192">
        <v>256</v>
      </c>
      <c r="I261" s="190" t="str">
        <f t="shared" si="18"/>
        <v/>
      </c>
      <c r="J261" s="189" t="e">
        <f t="shared" si="21"/>
        <v>#NUM!</v>
      </c>
      <c r="K261" s="189" t="e">
        <f t="shared" si="19"/>
        <v>#NUM!</v>
      </c>
      <c r="L261" s="189"/>
      <c r="M261" s="191">
        <f t="shared" si="20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22">IF(H262&lt;$H$2+1,($I$2-($I$2-1)*(LOG(H262)/LOG($H$2))),"")</f>
        <v/>
      </c>
      <c r="J262" s="189" t="e">
        <f t="shared" si="21"/>
        <v>#NUM!</v>
      </c>
      <c r="K262" s="189" t="e">
        <f t="shared" ref="K262:K305" si="23">J262*$J$2</f>
        <v>#NUM!</v>
      </c>
      <c r="L262" s="189"/>
      <c r="M262" s="191">
        <f t="shared" ref="M262:M305" si="24">IF(I262&lt;&gt;"",K262+I262+L262,0)</f>
        <v>0</v>
      </c>
    </row>
    <row r="263" spans="1:13" x14ac:dyDescent="0.25">
      <c r="A263" s="206"/>
      <c r="G263" s="177"/>
      <c r="H263" s="192">
        <v>258</v>
      </c>
      <c r="I263" s="190" t="str">
        <f t="shared" si="22"/>
        <v/>
      </c>
      <c r="J263" s="189" t="e">
        <f t="shared" ref="J263:J305" si="25">INT(LOG($H$2,2))-ROUNDUP(LOG(H263,2),0)+IF(OR($H$2=1,$H$2=2,$H$2=4,$H$2=8,$H$2=16,$H$2=32,$H$2=64,$H$2=128,$H$2=256),0,1)</f>
        <v>#NUM!</v>
      </c>
      <c r="K263" s="189" t="e">
        <f t="shared" si="23"/>
        <v>#NUM!</v>
      </c>
      <c r="L263" s="189"/>
      <c r="M263" s="191">
        <f t="shared" si="24"/>
        <v>0</v>
      </c>
    </row>
    <row r="264" spans="1:13" x14ac:dyDescent="0.25">
      <c r="A264" s="206"/>
      <c r="G264" s="177"/>
      <c r="H264" s="189">
        <v>259</v>
      </c>
      <c r="I264" s="190" t="str">
        <f t="shared" si="22"/>
        <v/>
      </c>
      <c r="J264" s="189" t="e">
        <f t="shared" si="25"/>
        <v>#NUM!</v>
      </c>
      <c r="K264" s="189" t="e">
        <f t="shared" si="23"/>
        <v>#NUM!</v>
      </c>
      <c r="L264" s="189"/>
      <c r="M264" s="191">
        <f t="shared" si="24"/>
        <v>0</v>
      </c>
    </row>
    <row r="265" spans="1:13" x14ac:dyDescent="0.25">
      <c r="A265" s="206"/>
      <c r="G265" s="177"/>
      <c r="H265" s="192">
        <v>260</v>
      </c>
      <c r="I265" s="190" t="str">
        <f t="shared" si="22"/>
        <v/>
      </c>
      <c r="J265" s="189" t="e">
        <f t="shared" si="25"/>
        <v>#NUM!</v>
      </c>
      <c r="K265" s="189" t="e">
        <f t="shared" si="23"/>
        <v>#NUM!</v>
      </c>
      <c r="L265" s="189"/>
      <c r="M265" s="191">
        <f t="shared" si="24"/>
        <v>0</v>
      </c>
    </row>
    <row r="266" spans="1:13" x14ac:dyDescent="0.25">
      <c r="A266" s="206"/>
      <c r="G266" s="177"/>
      <c r="H266" s="189">
        <v>261</v>
      </c>
      <c r="I266" s="190" t="str">
        <f t="shared" si="22"/>
        <v/>
      </c>
      <c r="J266" s="189" t="e">
        <f t="shared" si="25"/>
        <v>#NUM!</v>
      </c>
      <c r="K266" s="189" t="e">
        <f t="shared" si="23"/>
        <v>#NUM!</v>
      </c>
      <c r="L266" s="189"/>
      <c r="M266" s="191">
        <f t="shared" si="24"/>
        <v>0</v>
      </c>
    </row>
    <row r="267" spans="1:13" x14ac:dyDescent="0.25">
      <c r="A267" s="206"/>
      <c r="G267" s="177"/>
      <c r="H267" s="192">
        <v>262</v>
      </c>
      <c r="I267" s="190" t="str">
        <f t="shared" si="22"/>
        <v/>
      </c>
      <c r="J267" s="189" t="e">
        <f t="shared" si="25"/>
        <v>#NUM!</v>
      </c>
      <c r="K267" s="189" t="e">
        <f t="shared" si="23"/>
        <v>#NUM!</v>
      </c>
      <c r="L267" s="189"/>
      <c r="M267" s="191">
        <f t="shared" si="24"/>
        <v>0</v>
      </c>
    </row>
    <row r="268" spans="1:13" x14ac:dyDescent="0.25">
      <c r="A268" s="206"/>
      <c r="G268" s="177"/>
      <c r="H268" s="189">
        <v>263</v>
      </c>
      <c r="I268" s="190" t="str">
        <f t="shared" si="22"/>
        <v/>
      </c>
      <c r="J268" s="189" t="e">
        <f t="shared" si="25"/>
        <v>#NUM!</v>
      </c>
      <c r="K268" s="189" t="e">
        <f t="shared" si="23"/>
        <v>#NUM!</v>
      </c>
      <c r="L268" s="189"/>
      <c r="M268" s="191">
        <f t="shared" si="24"/>
        <v>0</v>
      </c>
    </row>
    <row r="269" spans="1:13" x14ac:dyDescent="0.25">
      <c r="A269" s="206"/>
      <c r="G269" s="177"/>
      <c r="H269" s="192">
        <v>264</v>
      </c>
      <c r="I269" s="190" t="str">
        <f t="shared" si="22"/>
        <v/>
      </c>
      <c r="J269" s="189" t="e">
        <f t="shared" si="25"/>
        <v>#NUM!</v>
      </c>
      <c r="K269" s="189" t="e">
        <f t="shared" si="23"/>
        <v>#NUM!</v>
      </c>
      <c r="L269" s="189"/>
      <c r="M269" s="191">
        <f t="shared" si="24"/>
        <v>0</v>
      </c>
    </row>
    <row r="270" spans="1:13" x14ac:dyDescent="0.25">
      <c r="A270" s="206"/>
      <c r="G270" s="177"/>
      <c r="H270" s="189">
        <v>265</v>
      </c>
      <c r="I270" s="190" t="str">
        <f t="shared" si="22"/>
        <v/>
      </c>
      <c r="J270" s="189" t="e">
        <f t="shared" si="25"/>
        <v>#NUM!</v>
      </c>
      <c r="K270" s="189" t="e">
        <f t="shared" si="23"/>
        <v>#NUM!</v>
      </c>
      <c r="L270" s="189"/>
      <c r="M270" s="191">
        <f t="shared" si="24"/>
        <v>0</v>
      </c>
    </row>
    <row r="271" spans="1:13" x14ac:dyDescent="0.25">
      <c r="A271" s="206"/>
      <c r="G271" s="177"/>
      <c r="H271" s="192">
        <v>266</v>
      </c>
      <c r="I271" s="190" t="str">
        <f t="shared" si="22"/>
        <v/>
      </c>
      <c r="J271" s="189" t="e">
        <f t="shared" si="25"/>
        <v>#NUM!</v>
      </c>
      <c r="K271" s="189" t="e">
        <f t="shared" si="23"/>
        <v>#NUM!</v>
      </c>
      <c r="L271" s="189"/>
      <c r="M271" s="191">
        <f t="shared" si="24"/>
        <v>0</v>
      </c>
    </row>
    <row r="272" spans="1:13" x14ac:dyDescent="0.25">
      <c r="A272" s="206"/>
      <c r="G272" s="177"/>
      <c r="H272" s="189">
        <v>267</v>
      </c>
      <c r="I272" s="190" t="str">
        <f t="shared" si="22"/>
        <v/>
      </c>
      <c r="J272" s="189" t="e">
        <f t="shared" si="25"/>
        <v>#NUM!</v>
      </c>
      <c r="K272" s="189" t="e">
        <f t="shared" si="23"/>
        <v>#NUM!</v>
      </c>
      <c r="L272" s="189"/>
      <c r="M272" s="191">
        <f t="shared" si="24"/>
        <v>0</v>
      </c>
    </row>
    <row r="273" spans="1:13" x14ac:dyDescent="0.25">
      <c r="A273" s="206"/>
      <c r="G273" s="177"/>
      <c r="H273" s="192">
        <v>268</v>
      </c>
      <c r="I273" s="190" t="str">
        <f t="shared" si="22"/>
        <v/>
      </c>
      <c r="J273" s="189" t="e">
        <f t="shared" si="25"/>
        <v>#NUM!</v>
      </c>
      <c r="K273" s="189" t="e">
        <f t="shared" si="23"/>
        <v>#NUM!</v>
      </c>
      <c r="L273" s="189"/>
      <c r="M273" s="191">
        <f t="shared" si="24"/>
        <v>0</v>
      </c>
    </row>
    <row r="274" spans="1:13" x14ac:dyDescent="0.25">
      <c r="A274" s="206"/>
      <c r="G274" s="177"/>
      <c r="H274" s="189">
        <v>269</v>
      </c>
      <c r="I274" s="190" t="str">
        <f t="shared" si="22"/>
        <v/>
      </c>
      <c r="J274" s="189" t="e">
        <f t="shared" si="25"/>
        <v>#NUM!</v>
      </c>
      <c r="K274" s="189" t="e">
        <f t="shared" si="23"/>
        <v>#NUM!</v>
      </c>
      <c r="L274" s="189"/>
      <c r="M274" s="191">
        <f t="shared" si="24"/>
        <v>0</v>
      </c>
    </row>
    <row r="275" spans="1:13" x14ac:dyDescent="0.25">
      <c r="A275" s="206"/>
      <c r="G275" s="177"/>
      <c r="H275" s="192">
        <v>270</v>
      </c>
      <c r="I275" s="190" t="str">
        <f t="shared" si="22"/>
        <v/>
      </c>
      <c r="J275" s="189" t="e">
        <f t="shared" si="25"/>
        <v>#NUM!</v>
      </c>
      <c r="K275" s="189" t="e">
        <f t="shared" si="23"/>
        <v>#NUM!</v>
      </c>
      <c r="L275" s="189"/>
      <c r="M275" s="191">
        <f t="shared" si="24"/>
        <v>0</v>
      </c>
    </row>
    <row r="276" spans="1:13" x14ac:dyDescent="0.25">
      <c r="A276" s="206"/>
      <c r="G276" s="177"/>
      <c r="H276" s="189">
        <v>271</v>
      </c>
      <c r="I276" s="190" t="str">
        <f t="shared" si="22"/>
        <v/>
      </c>
      <c r="J276" s="189" t="e">
        <f t="shared" si="25"/>
        <v>#NUM!</v>
      </c>
      <c r="K276" s="189" t="e">
        <f t="shared" si="23"/>
        <v>#NUM!</v>
      </c>
      <c r="L276" s="189"/>
      <c r="M276" s="191">
        <f t="shared" si="24"/>
        <v>0</v>
      </c>
    </row>
    <row r="277" spans="1:13" x14ac:dyDescent="0.25">
      <c r="A277" s="206"/>
      <c r="G277" s="177"/>
      <c r="H277" s="192">
        <v>272</v>
      </c>
      <c r="I277" s="190" t="str">
        <f t="shared" si="22"/>
        <v/>
      </c>
      <c r="J277" s="189" t="e">
        <f t="shared" si="25"/>
        <v>#NUM!</v>
      </c>
      <c r="K277" s="189" t="e">
        <f t="shared" si="23"/>
        <v>#NUM!</v>
      </c>
      <c r="L277" s="189"/>
      <c r="M277" s="191">
        <f t="shared" si="24"/>
        <v>0</v>
      </c>
    </row>
    <row r="278" spans="1:13" x14ac:dyDescent="0.25">
      <c r="A278" s="206"/>
      <c r="G278" s="177"/>
      <c r="H278" s="189">
        <v>273</v>
      </c>
      <c r="I278" s="190" t="str">
        <f t="shared" si="22"/>
        <v/>
      </c>
      <c r="J278" s="189" t="e">
        <f t="shared" si="25"/>
        <v>#NUM!</v>
      </c>
      <c r="K278" s="189" t="e">
        <f t="shared" si="23"/>
        <v>#NUM!</v>
      </c>
      <c r="L278" s="189"/>
      <c r="M278" s="191">
        <f t="shared" si="24"/>
        <v>0</v>
      </c>
    </row>
    <row r="279" spans="1:13" x14ac:dyDescent="0.25">
      <c r="A279" s="206"/>
      <c r="G279" s="177"/>
      <c r="H279" s="192">
        <v>274</v>
      </c>
      <c r="I279" s="190" t="str">
        <f t="shared" si="22"/>
        <v/>
      </c>
      <c r="J279" s="189" t="e">
        <f t="shared" si="25"/>
        <v>#NUM!</v>
      </c>
      <c r="K279" s="189" t="e">
        <f t="shared" si="23"/>
        <v>#NUM!</v>
      </c>
      <c r="L279" s="189"/>
      <c r="M279" s="191">
        <f t="shared" si="24"/>
        <v>0</v>
      </c>
    </row>
    <row r="280" spans="1:13" x14ac:dyDescent="0.25">
      <c r="A280" s="206"/>
      <c r="G280" s="177"/>
      <c r="H280" s="189">
        <v>275</v>
      </c>
      <c r="I280" s="190" t="str">
        <f t="shared" si="22"/>
        <v/>
      </c>
      <c r="J280" s="189" t="e">
        <f t="shared" si="25"/>
        <v>#NUM!</v>
      </c>
      <c r="K280" s="189" t="e">
        <f t="shared" si="23"/>
        <v>#NUM!</v>
      </c>
      <c r="L280" s="189"/>
      <c r="M280" s="191">
        <f t="shared" si="24"/>
        <v>0</v>
      </c>
    </row>
    <row r="281" spans="1:13" x14ac:dyDescent="0.25">
      <c r="A281" s="206"/>
      <c r="G281" s="177"/>
      <c r="H281" s="192">
        <v>276</v>
      </c>
      <c r="I281" s="190" t="str">
        <f t="shared" si="22"/>
        <v/>
      </c>
      <c r="J281" s="189" t="e">
        <f t="shared" si="25"/>
        <v>#NUM!</v>
      </c>
      <c r="K281" s="189" t="e">
        <f t="shared" si="23"/>
        <v>#NUM!</v>
      </c>
      <c r="L281" s="189"/>
      <c r="M281" s="191">
        <f t="shared" si="24"/>
        <v>0</v>
      </c>
    </row>
    <row r="282" spans="1:13" x14ac:dyDescent="0.25">
      <c r="A282" s="206"/>
      <c r="G282" s="177"/>
      <c r="H282" s="189">
        <v>277</v>
      </c>
      <c r="I282" s="190" t="str">
        <f t="shared" si="22"/>
        <v/>
      </c>
      <c r="J282" s="189" t="e">
        <f t="shared" si="25"/>
        <v>#NUM!</v>
      </c>
      <c r="K282" s="189" t="e">
        <f t="shared" si="23"/>
        <v>#NUM!</v>
      </c>
      <c r="L282" s="189"/>
      <c r="M282" s="191">
        <f t="shared" si="24"/>
        <v>0</v>
      </c>
    </row>
    <row r="283" spans="1:13" x14ac:dyDescent="0.25">
      <c r="A283" s="206"/>
      <c r="G283" s="177"/>
      <c r="H283" s="192">
        <v>278</v>
      </c>
      <c r="I283" s="190" t="str">
        <f t="shared" si="22"/>
        <v/>
      </c>
      <c r="J283" s="189" t="e">
        <f t="shared" si="25"/>
        <v>#NUM!</v>
      </c>
      <c r="K283" s="189" t="e">
        <f t="shared" si="23"/>
        <v>#NUM!</v>
      </c>
      <c r="L283" s="189"/>
      <c r="M283" s="191">
        <f t="shared" si="24"/>
        <v>0</v>
      </c>
    </row>
    <row r="284" spans="1:13" x14ac:dyDescent="0.25">
      <c r="A284" s="206"/>
      <c r="G284" s="177"/>
      <c r="H284" s="189">
        <v>279</v>
      </c>
      <c r="I284" s="190" t="str">
        <f t="shared" si="22"/>
        <v/>
      </c>
      <c r="J284" s="189" t="e">
        <f t="shared" si="25"/>
        <v>#NUM!</v>
      </c>
      <c r="K284" s="189" t="e">
        <f t="shared" si="23"/>
        <v>#NUM!</v>
      </c>
      <c r="L284" s="189"/>
      <c r="M284" s="191">
        <f t="shared" si="24"/>
        <v>0</v>
      </c>
    </row>
    <row r="285" spans="1:13" x14ac:dyDescent="0.25">
      <c r="A285" s="206"/>
      <c r="G285" s="177"/>
      <c r="H285" s="192">
        <v>280</v>
      </c>
      <c r="I285" s="190" t="str">
        <f t="shared" si="22"/>
        <v/>
      </c>
      <c r="J285" s="189" t="e">
        <f t="shared" si="25"/>
        <v>#NUM!</v>
      </c>
      <c r="K285" s="189" t="e">
        <f t="shared" si="23"/>
        <v>#NUM!</v>
      </c>
      <c r="L285" s="189"/>
      <c r="M285" s="191">
        <f t="shared" si="24"/>
        <v>0</v>
      </c>
    </row>
    <row r="286" spans="1:13" x14ac:dyDescent="0.25">
      <c r="A286" s="206"/>
      <c r="G286" s="177"/>
      <c r="H286" s="189">
        <v>281</v>
      </c>
      <c r="I286" s="190" t="str">
        <f t="shared" si="22"/>
        <v/>
      </c>
      <c r="J286" s="189" t="e">
        <f t="shared" si="25"/>
        <v>#NUM!</v>
      </c>
      <c r="K286" s="189" t="e">
        <f t="shared" si="23"/>
        <v>#NUM!</v>
      </c>
      <c r="L286" s="189"/>
      <c r="M286" s="191">
        <f t="shared" si="24"/>
        <v>0</v>
      </c>
    </row>
    <row r="287" spans="1:13" x14ac:dyDescent="0.25">
      <c r="A287" s="206"/>
      <c r="G287" s="177"/>
      <c r="H287" s="192">
        <v>282</v>
      </c>
      <c r="I287" s="190" t="str">
        <f t="shared" si="22"/>
        <v/>
      </c>
      <c r="J287" s="189" t="e">
        <f t="shared" si="25"/>
        <v>#NUM!</v>
      </c>
      <c r="K287" s="189" t="e">
        <f t="shared" si="23"/>
        <v>#NUM!</v>
      </c>
      <c r="L287" s="189"/>
      <c r="M287" s="191">
        <f t="shared" si="24"/>
        <v>0</v>
      </c>
    </row>
    <row r="288" spans="1:13" x14ac:dyDescent="0.25">
      <c r="A288" s="206"/>
      <c r="G288" s="177"/>
      <c r="H288" s="189">
        <v>283</v>
      </c>
      <c r="I288" s="190" t="str">
        <f t="shared" si="22"/>
        <v/>
      </c>
      <c r="J288" s="189" t="e">
        <f t="shared" si="25"/>
        <v>#NUM!</v>
      </c>
      <c r="K288" s="189" t="e">
        <f t="shared" si="23"/>
        <v>#NUM!</v>
      </c>
      <c r="L288" s="189"/>
      <c r="M288" s="191">
        <f t="shared" si="24"/>
        <v>0</v>
      </c>
    </row>
    <row r="289" spans="1:13" x14ac:dyDescent="0.25">
      <c r="A289" s="206"/>
      <c r="G289" s="177"/>
      <c r="H289" s="192">
        <v>284</v>
      </c>
      <c r="I289" s="190" t="str">
        <f t="shared" si="22"/>
        <v/>
      </c>
      <c r="J289" s="189" t="e">
        <f t="shared" si="25"/>
        <v>#NUM!</v>
      </c>
      <c r="K289" s="189" t="e">
        <f t="shared" si="23"/>
        <v>#NUM!</v>
      </c>
      <c r="L289" s="189"/>
      <c r="M289" s="191">
        <f t="shared" si="24"/>
        <v>0</v>
      </c>
    </row>
    <row r="290" spans="1:13" x14ac:dyDescent="0.25">
      <c r="A290" s="206"/>
      <c r="G290" s="177"/>
      <c r="H290" s="189">
        <v>285</v>
      </c>
      <c r="I290" s="190" t="str">
        <f t="shared" si="22"/>
        <v/>
      </c>
      <c r="J290" s="189" t="e">
        <f t="shared" si="25"/>
        <v>#NUM!</v>
      </c>
      <c r="K290" s="189" t="e">
        <f t="shared" si="23"/>
        <v>#NUM!</v>
      </c>
      <c r="L290" s="189"/>
      <c r="M290" s="191">
        <f t="shared" si="24"/>
        <v>0</v>
      </c>
    </row>
    <row r="291" spans="1:13" x14ac:dyDescent="0.25">
      <c r="A291" s="206"/>
      <c r="G291" s="177"/>
      <c r="H291" s="192">
        <v>286</v>
      </c>
      <c r="I291" s="190" t="str">
        <f t="shared" si="22"/>
        <v/>
      </c>
      <c r="J291" s="189" t="e">
        <f t="shared" si="25"/>
        <v>#NUM!</v>
      </c>
      <c r="K291" s="189" t="e">
        <f t="shared" si="23"/>
        <v>#NUM!</v>
      </c>
      <c r="L291" s="189"/>
      <c r="M291" s="191">
        <f t="shared" si="24"/>
        <v>0</v>
      </c>
    </row>
    <row r="292" spans="1:13" x14ac:dyDescent="0.25">
      <c r="A292" s="206"/>
      <c r="G292" s="177"/>
      <c r="H292" s="189">
        <v>287</v>
      </c>
      <c r="I292" s="190" t="str">
        <f t="shared" si="22"/>
        <v/>
      </c>
      <c r="J292" s="189" t="e">
        <f t="shared" si="25"/>
        <v>#NUM!</v>
      </c>
      <c r="K292" s="189" t="e">
        <f t="shared" si="23"/>
        <v>#NUM!</v>
      </c>
      <c r="L292" s="189"/>
      <c r="M292" s="191">
        <f t="shared" si="24"/>
        <v>0</v>
      </c>
    </row>
    <row r="293" spans="1:13" x14ac:dyDescent="0.25">
      <c r="A293" s="206"/>
      <c r="G293" s="177"/>
      <c r="H293" s="189">
        <v>288</v>
      </c>
      <c r="I293" s="190" t="str">
        <f t="shared" si="22"/>
        <v/>
      </c>
      <c r="J293" s="189" t="e">
        <f t="shared" si="25"/>
        <v>#NUM!</v>
      </c>
      <c r="K293" s="189" t="e">
        <f t="shared" si="23"/>
        <v>#NUM!</v>
      </c>
      <c r="L293" s="189"/>
      <c r="M293" s="191">
        <f t="shared" si="24"/>
        <v>0</v>
      </c>
    </row>
    <row r="294" spans="1:13" x14ac:dyDescent="0.25">
      <c r="A294" s="206"/>
      <c r="G294" s="177"/>
      <c r="H294" s="189">
        <v>289</v>
      </c>
      <c r="I294" s="190" t="str">
        <f t="shared" si="22"/>
        <v/>
      </c>
      <c r="J294" s="189" t="e">
        <f t="shared" si="25"/>
        <v>#NUM!</v>
      </c>
      <c r="K294" s="189" t="e">
        <f t="shared" si="23"/>
        <v>#NUM!</v>
      </c>
      <c r="L294" s="189"/>
      <c r="M294" s="191">
        <f t="shared" si="24"/>
        <v>0</v>
      </c>
    </row>
    <row r="295" spans="1:13" x14ac:dyDescent="0.25">
      <c r="A295" s="206"/>
      <c r="G295" s="177"/>
      <c r="H295" s="189">
        <v>290</v>
      </c>
      <c r="I295" s="190" t="str">
        <f t="shared" si="22"/>
        <v/>
      </c>
      <c r="J295" s="189" t="e">
        <f t="shared" si="25"/>
        <v>#NUM!</v>
      </c>
      <c r="K295" s="189" t="e">
        <f t="shared" si="23"/>
        <v>#NUM!</v>
      </c>
      <c r="L295" s="189"/>
      <c r="M295" s="191">
        <f t="shared" si="24"/>
        <v>0</v>
      </c>
    </row>
    <row r="296" spans="1:13" x14ac:dyDescent="0.25">
      <c r="A296" s="206"/>
      <c r="G296" s="177"/>
      <c r="H296" s="189">
        <v>291</v>
      </c>
      <c r="I296" s="190" t="str">
        <f t="shared" si="22"/>
        <v/>
      </c>
      <c r="J296" s="189" t="e">
        <f t="shared" si="25"/>
        <v>#NUM!</v>
      </c>
      <c r="K296" s="189" t="e">
        <f t="shared" si="23"/>
        <v>#NUM!</v>
      </c>
      <c r="L296" s="189"/>
      <c r="M296" s="191">
        <f t="shared" si="24"/>
        <v>0</v>
      </c>
    </row>
    <row r="297" spans="1:13" x14ac:dyDescent="0.25">
      <c r="A297" s="206"/>
      <c r="G297" s="177"/>
      <c r="H297" s="189">
        <v>292</v>
      </c>
      <c r="I297" s="190" t="str">
        <f t="shared" si="22"/>
        <v/>
      </c>
      <c r="J297" s="189" t="e">
        <f t="shared" si="25"/>
        <v>#NUM!</v>
      </c>
      <c r="K297" s="189" t="e">
        <f t="shared" si="23"/>
        <v>#NUM!</v>
      </c>
      <c r="L297" s="189"/>
      <c r="M297" s="191">
        <f t="shared" si="24"/>
        <v>0</v>
      </c>
    </row>
    <row r="298" spans="1:13" x14ac:dyDescent="0.25">
      <c r="A298" s="206"/>
      <c r="G298" s="177"/>
      <c r="H298" s="189">
        <v>293</v>
      </c>
      <c r="I298" s="190" t="str">
        <f t="shared" si="22"/>
        <v/>
      </c>
      <c r="J298" s="189" t="e">
        <f t="shared" si="25"/>
        <v>#NUM!</v>
      </c>
      <c r="K298" s="189" t="e">
        <f t="shared" si="23"/>
        <v>#NUM!</v>
      </c>
      <c r="L298" s="189"/>
      <c r="M298" s="191">
        <f t="shared" si="24"/>
        <v>0</v>
      </c>
    </row>
    <row r="299" spans="1:13" x14ac:dyDescent="0.25">
      <c r="A299" s="206"/>
      <c r="G299" s="177"/>
      <c r="H299" s="189">
        <v>294</v>
      </c>
      <c r="I299" s="190" t="str">
        <f t="shared" si="22"/>
        <v/>
      </c>
      <c r="J299" s="189" t="e">
        <f t="shared" si="25"/>
        <v>#NUM!</v>
      </c>
      <c r="K299" s="189" t="e">
        <f t="shared" si="23"/>
        <v>#NUM!</v>
      </c>
      <c r="L299" s="189"/>
      <c r="M299" s="191">
        <f t="shared" si="24"/>
        <v>0</v>
      </c>
    </row>
    <row r="300" spans="1:13" x14ac:dyDescent="0.25">
      <c r="A300" s="206"/>
      <c r="G300" s="177"/>
      <c r="H300" s="189">
        <v>295</v>
      </c>
      <c r="I300" s="190" t="str">
        <f t="shared" si="22"/>
        <v/>
      </c>
      <c r="J300" s="189" t="e">
        <f t="shared" si="25"/>
        <v>#NUM!</v>
      </c>
      <c r="K300" s="189" t="e">
        <f t="shared" si="23"/>
        <v>#NUM!</v>
      </c>
      <c r="L300" s="189"/>
      <c r="M300" s="191">
        <f t="shared" si="24"/>
        <v>0</v>
      </c>
    </row>
    <row r="301" spans="1:13" x14ac:dyDescent="0.25">
      <c r="A301" s="206"/>
      <c r="G301" s="177"/>
      <c r="H301" s="189">
        <v>296</v>
      </c>
      <c r="I301" s="190" t="str">
        <f t="shared" si="22"/>
        <v/>
      </c>
      <c r="J301" s="189" t="e">
        <f t="shared" si="25"/>
        <v>#NUM!</v>
      </c>
      <c r="K301" s="189" t="e">
        <f t="shared" si="23"/>
        <v>#NUM!</v>
      </c>
      <c r="L301" s="189"/>
      <c r="M301" s="191">
        <f t="shared" si="24"/>
        <v>0</v>
      </c>
    </row>
    <row r="302" spans="1:13" x14ac:dyDescent="0.25">
      <c r="A302" s="206"/>
      <c r="G302" s="177"/>
      <c r="H302" s="189">
        <v>297</v>
      </c>
      <c r="I302" s="190" t="str">
        <f t="shared" si="22"/>
        <v/>
      </c>
      <c r="J302" s="189" t="e">
        <f t="shared" si="25"/>
        <v>#NUM!</v>
      </c>
      <c r="K302" s="189" t="e">
        <f t="shared" si="23"/>
        <v>#NUM!</v>
      </c>
      <c r="L302" s="189"/>
      <c r="M302" s="191">
        <f t="shared" si="24"/>
        <v>0</v>
      </c>
    </row>
    <row r="303" spans="1:13" x14ac:dyDescent="0.25">
      <c r="A303" s="206"/>
      <c r="G303" s="177"/>
      <c r="H303" s="189">
        <v>298</v>
      </c>
      <c r="I303" s="190" t="str">
        <f t="shared" si="22"/>
        <v/>
      </c>
      <c r="J303" s="189" t="e">
        <f t="shared" si="25"/>
        <v>#NUM!</v>
      </c>
      <c r="K303" s="189" t="e">
        <f t="shared" si="23"/>
        <v>#NUM!</v>
      </c>
      <c r="L303" s="189"/>
      <c r="M303" s="191">
        <f t="shared" si="24"/>
        <v>0</v>
      </c>
    </row>
    <row r="304" spans="1:13" x14ac:dyDescent="0.25">
      <c r="A304" s="206"/>
      <c r="G304" s="177"/>
      <c r="H304" s="189">
        <v>299</v>
      </c>
      <c r="I304" s="190" t="str">
        <f t="shared" si="22"/>
        <v/>
      </c>
      <c r="J304" s="189" t="e">
        <f t="shared" si="25"/>
        <v>#NUM!</v>
      </c>
      <c r="K304" s="189" t="e">
        <f t="shared" si="23"/>
        <v>#NUM!</v>
      </c>
      <c r="L304" s="189"/>
      <c r="M304" s="191">
        <f t="shared" si="24"/>
        <v>0</v>
      </c>
    </row>
    <row r="305" spans="1:16" x14ac:dyDescent="0.25">
      <c r="A305" s="206"/>
      <c r="G305" s="177"/>
      <c r="H305" s="189">
        <v>300</v>
      </c>
      <c r="I305" s="190" t="str">
        <f t="shared" si="22"/>
        <v/>
      </c>
      <c r="J305" s="189" t="e">
        <f t="shared" si="25"/>
        <v>#NUM!</v>
      </c>
      <c r="K305" s="189" t="e">
        <f t="shared" si="23"/>
        <v>#NUM!</v>
      </c>
      <c r="L305" s="189"/>
      <c r="M305" s="191">
        <f t="shared" si="24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conditionalFormatting sqref="J6:K305">
    <cfRule type="cellIs" dxfId="3" priority="1" operator="lessThanOrEqual">
      <formula>0</formula>
    </cfRule>
  </conditionalFormatting>
  <hyperlinks>
    <hyperlink ref="C2" r:id="rId1" xr:uid="{32060778-F96A-4876-A63D-D128AC236136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B609-1E0B-4103-8381-276D12D7322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1.75" style="126" customWidth="1"/>
    <col min="14" max="14" width="11.75" style="127" customWidth="1"/>
    <col min="15" max="16" width="13.875" style="88" customWidth="1"/>
    <col min="17" max="19" width="8.875" style="88"/>
    <col min="20" max="21" width="8.875" style="93"/>
    <col min="22" max="22" width="12.125" style="93" customWidth="1"/>
    <col min="23" max="23" width="27.375" style="93" customWidth="1"/>
    <col min="24" max="39" width="8.875" style="93"/>
    <col min="40" max="16384" width="8.875" style="123"/>
  </cols>
  <sheetData>
    <row r="1" spans="1:37" s="93" customFormat="1" x14ac:dyDescent="0.25">
      <c r="A1" s="88"/>
      <c r="B1" s="88"/>
      <c r="C1" s="88"/>
      <c r="D1" s="88"/>
      <c r="E1" s="88"/>
      <c r="F1" s="88"/>
      <c r="G1" s="88"/>
      <c r="H1" s="89" t="s">
        <v>26</v>
      </c>
      <c r="I1" s="90" t="s">
        <v>27</v>
      </c>
      <c r="J1" s="90" t="s">
        <v>28</v>
      </c>
      <c r="K1" s="91" t="s">
        <v>102</v>
      </c>
      <c r="L1" s="130" t="s">
        <v>103</v>
      </c>
      <c r="M1" s="131"/>
      <c r="N1" s="92"/>
      <c r="O1" s="88"/>
      <c r="P1" s="88"/>
      <c r="Q1" s="88"/>
      <c r="R1" s="88"/>
      <c r="S1" s="88"/>
    </row>
    <row r="2" spans="1:37" s="93" customFormat="1" ht="14.3" customHeight="1" x14ac:dyDescent="0.25">
      <c r="A2" s="88"/>
      <c r="B2" s="22" t="s">
        <v>30</v>
      </c>
      <c r="C2" s="314" t="s">
        <v>146</v>
      </c>
      <c r="D2" s="314"/>
      <c r="E2" s="23"/>
      <c r="F2" s="23"/>
      <c r="G2" s="23"/>
      <c r="H2" s="94">
        <v>40</v>
      </c>
      <c r="I2" s="95">
        <v>50</v>
      </c>
      <c r="J2" s="95">
        <v>10</v>
      </c>
      <c r="K2" s="129">
        <f>3*H2^(1/3)</f>
        <v>10.259855680060182</v>
      </c>
      <c r="L2" s="132">
        <v>1.2</v>
      </c>
      <c r="M2" s="92"/>
      <c r="N2" s="92"/>
      <c r="O2" s="88"/>
      <c r="P2" s="88"/>
      <c r="Q2" s="88"/>
      <c r="R2" s="88"/>
      <c r="S2" s="88"/>
    </row>
    <row r="3" spans="1:37" s="93" customFormat="1" ht="14.3" customHeight="1" x14ac:dyDescent="0.25">
      <c r="A3" s="88"/>
      <c r="B3" s="97" t="s">
        <v>32</v>
      </c>
      <c r="C3" s="315">
        <v>2023</v>
      </c>
      <c r="D3" s="315"/>
      <c r="E3" s="28"/>
      <c r="F3" s="28"/>
      <c r="G3" s="28"/>
      <c r="H3" s="92"/>
      <c r="I3" s="92"/>
      <c r="J3" s="98"/>
      <c r="K3" s="92"/>
      <c r="L3" s="92"/>
      <c r="M3" s="92"/>
      <c r="N3" s="92"/>
      <c r="O3" s="88"/>
      <c r="P3" s="88"/>
      <c r="Q3" s="88"/>
      <c r="R3" s="88"/>
      <c r="S3" s="88"/>
    </row>
    <row r="4" spans="1:37" s="93" customFormat="1" ht="10.199999999999999" customHeight="1" x14ac:dyDescent="0.25">
      <c r="A4" s="30"/>
      <c r="B4" s="28"/>
      <c r="C4" s="30"/>
      <c r="D4" s="30"/>
      <c r="E4" s="30"/>
      <c r="F4" s="30"/>
      <c r="G4" s="30"/>
      <c r="H4" s="92"/>
      <c r="I4" s="92"/>
      <c r="J4" s="98"/>
      <c r="K4" s="92"/>
      <c r="L4" s="92"/>
      <c r="M4" s="92"/>
      <c r="N4" s="92"/>
      <c r="O4" s="88"/>
      <c r="P4" s="88"/>
      <c r="Q4" s="88"/>
      <c r="R4" s="88"/>
      <c r="S4" s="88"/>
    </row>
    <row r="5" spans="1:37" s="93" customFormat="1" ht="34.65" x14ac:dyDescent="0.25">
      <c r="A5" s="1" t="s">
        <v>34</v>
      </c>
      <c r="B5" s="3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30"/>
      <c r="H5" s="99" t="s">
        <v>40</v>
      </c>
      <c r="I5" s="100" t="s">
        <v>41</v>
      </c>
      <c r="J5" s="101" t="s">
        <v>42</v>
      </c>
      <c r="K5" s="100" t="s">
        <v>43</v>
      </c>
      <c r="L5" s="100" t="s">
        <v>44</v>
      </c>
      <c r="M5" s="99" t="s">
        <v>45</v>
      </c>
      <c r="N5" s="99" t="s">
        <v>106</v>
      </c>
      <c r="O5" s="88"/>
      <c r="P5" s="88"/>
      <c r="Q5" s="88"/>
      <c r="R5" s="88"/>
      <c r="S5" s="88"/>
    </row>
    <row r="6" spans="1:37" s="93" customFormat="1" ht="14.45" customHeight="1" x14ac:dyDescent="0.25">
      <c r="A6" s="102">
        <f t="shared" ref="A6:A69" si="0">N6</f>
        <v>168.93548044821665</v>
      </c>
      <c r="B6" s="36">
        <f t="shared" ref="B6:B46" si="1">IF(H6&gt;$H$2,"",(ROW()-5))</f>
        <v>1</v>
      </c>
      <c r="C6" s="37" t="s">
        <v>147</v>
      </c>
      <c r="D6" s="37" t="s">
        <v>148</v>
      </c>
      <c r="E6" s="37" t="s">
        <v>149</v>
      </c>
      <c r="F6" s="37" t="s">
        <v>150</v>
      </c>
      <c r="G6" s="30"/>
      <c r="H6" s="103">
        <v>1</v>
      </c>
      <c r="I6" s="104">
        <f t="shared" ref="I6:I69" si="2">IF(H6&lt;$H$2+1,($I$2-($I$2-1)*(LOG(H6)/LOG($H$2))),"")</f>
        <v>50</v>
      </c>
      <c r="J6" s="103">
        <f t="shared" ref="J6:J69" si="3">INT(LOG($H$2,2))-ROUNDUP(LOG(H6,2),0)+IF(OR($H$2=1,$H$2=2,$H$2=4,$H$2=8,$H$2=16,$H$2=32,$H$2=64,$H$2=128,$H$2=256),0,1)</f>
        <v>6</v>
      </c>
      <c r="K6" s="103">
        <f t="shared" ref="K6:K69" si="4">J6*$J$2</f>
        <v>60</v>
      </c>
      <c r="L6" s="105">
        <f>3*K2</f>
        <v>30.779567040180545</v>
      </c>
      <c r="M6" s="105">
        <f t="shared" ref="M6:M69" si="5">IF(I6&lt;&gt;"",K6+I6+L6,0)</f>
        <v>140.77956704018055</v>
      </c>
      <c r="N6" s="105">
        <f t="shared" ref="N6:N69" si="6">IF(I6&lt;&gt;"",M6*L$2,0)</f>
        <v>168.93548044821665</v>
      </c>
      <c r="O6" s="88"/>
      <c r="P6" s="88"/>
      <c r="Q6" s="88"/>
      <c r="R6" s="88"/>
      <c r="S6" s="88"/>
    </row>
    <row r="7" spans="1:37" s="93" customFormat="1" ht="14.45" customHeight="1" x14ac:dyDescent="0.25">
      <c r="A7" s="106">
        <f t="shared" si="0"/>
        <v>133.57502633924889</v>
      </c>
      <c r="B7" s="42">
        <f t="shared" si="1"/>
        <v>2</v>
      </c>
      <c r="C7" s="43" t="s">
        <v>151</v>
      </c>
      <c r="D7" s="43" t="s">
        <v>152</v>
      </c>
      <c r="E7" s="43" t="s">
        <v>153</v>
      </c>
      <c r="F7" s="43" t="s">
        <v>150</v>
      </c>
      <c r="G7" s="30"/>
      <c r="H7" s="107">
        <v>2</v>
      </c>
      <c r="I7" s="108">
        <f t="shared" si="2"/>
        <v>40.792810589253726</v>
      </c>
      <c r="J7" s="107">
        <f t="shared" si="3"/>
        <v>5</v>
      </c>
      <c r="K7" s="107">
        <f t="shared" si="4"/>
        <v>50</v>
      </c>
      <c r="L7" s="109">
        <f>2*K2</f>
        <v>20.519711360120365</v>
      </c>
      <c r="M7" s="109">
        <f t="shared" si="5"/>
        <v>111.31252194937409</v>
      </c>
      <c r="N7" s="109">
        <f t="shared" si="6"/>
        <v>133.57502633924889</v>
      </c>
      <c r="O7" s="88"/>
      <c r="P7" s="88"/>
      <c r="Q7" s="88"/>
      <c r="R7" s="88"/>
      <c r="S7" s="88"/>
    </row>
    <row r="8" spans="1:37" s="93" customFormat="1" ht="14.45" customHeight="1" x14ac:dyDescent="0.25">
      <c r="A8" s="102">
        <f t="shared" si="0"/>
        <v>102.8001668723885</v>
      </c>
      <c r="B8" s="36">
        <f t="shared" si="1"/>
        <v>3</v>
      </c>
      <c r="C8" s="37" t="s">
        <v>154</v>
      </c>
      <c r="D8" s="37" t="s">
        <v>155</v>
      </c>
      <c r="E8" s="37" t="s">
        <v>156</v>
      </c>
      <c r="F8" s="37" t="s">
        <v>150</v>
      </c>
      <c r="G8" s="30"/>
      <c r="H8" s="103">
        <v>3</v>
      </c>
      <c r="I8" s="104">
        <f t="shared" si="2"/>
        <v>35.406950046930241</v>
      </c>
      <c r="J8" s="103">
        <f t="shared" si="3"/>
        <v>4</v>
      </c>
      <c r="K8" s="103">
        <f t="shared" si="4"/>
        <v>40</v>
      </c>
      <c r="L8" s="105">
        <f>K2</f>
        <v>10.259855680060182</v>
      </c>
      <c r="M8" s="105">
        <f t="shared" si="5"/>
        <v>85.666805726990418</v>
      </c>
      <c r="N8" s="105">
        <f t="shared" si="6"/>
        <v>102.8001668723885</v>
      </c>
      <c r="O8" s="88"/>
      <c r="P8" s="88"/>
      <c r="Q8" s="88"/>
      <c r="R8" s="88"/>
      <c r="S8" s="88"/>
    </row>
    <row r="9" spans="1:37" s="93" customFormat="1" ht="14.45" customHeight="1" x14ac:dyDescent="0.25">
      <c r="A9" s="106">
        <f t="shared" si="0"/>
        <v>102.8001668723885</v>
      </c>
      <c r="B9" s="42">
        <f t="shared" si="1"/>
        <v>4</v>
      </c>
      <c r="C9" s="43" t="s">
        <v>157</v>
      </c>
      <c r="D9" s="43" t="s">
        <v>158</v>
      </c>
      <c r="E9" s="43" t="s">
        <v>159</v>
      </c>
      <c r="F9" s="43" t="s">
        <v>150</v>
      </c>
      <c r="G9" s="30"/>
      <c r="H9" s="107">
        <v>3</v>
      </c>
      <c r="I9" s="108">
        <f t="shared" si="2"/>
        <v>35.406950046930241</v>
      </c>
      <c r="J9" s="107">
        <f t="shared" si="3"/>
        <v>4</v>
      </c>
      <c r="K9" s="107">
        <f t="shared" si="4"/>
        <v>40</v>
      </c>
      <c r="L9" s="109">
        <f>K2</f>
        <v>10.259855680060182</v>
      </c>
      <c r="M9" s="109">
        <f t="shared" si="5"/>
        <v>85.666805726990418</v>
      </c>
      <c r="N9" s="109">
        <f t="shared" si="6"/>
        <v>102.8001668723885</v>
      </c>
      <c r="O9" s="88"/>
      <c r="P9" s="88"/>
      <c r="Q9" s="88"/>
      <c r="R9" s="88"/>
      <c r="S9" s="88"/>
      <c r="V9" s="110"/>
      <c r="Z9" s="111"/>
      <c r="AA9" s="111"/>
      <c r="AG9" s="112"/>
      <c r="AH9" s="93" t="s">
        <v>53</v>
      </c>
      <c r="AI9" s="93">
        <v>23</v>
      </c>
    </row>
    <row r="10" spans="1:37" s="93" customFormat="1" ht="14.45" customHeight="1" x14ac:dyDescent="0.25">
      <c r="A10" s="102">
        <f t="shared" si="0"/>
        <v>70.345881878686569</v>
      </c>
      <c r="B10" s="36">
        <f t="shared" si="1"/>
        <v>5</v>
      </c>
      <c r="C10" s="37" t="s">
        <v>160</v>
      </c>
      <c r="D10" s="37" t="s">
        <v>161</v>
      </c>
      <c r="E10" s="37" t="s">
        <v>156</v>
      </c>
      <c r="F10" s="37" t="s">
        <v>150</v>
      </c>
      <c r="G10" s="30"/>
      <c r="H10" s="103">
        <v>5</v>
      </c>
      <c r="I10" s="104">
        <f t="shared" si="2"/>
        <v>28.621568232238811</v>
      </c>
      <c r="J10" s="103">
        <f t="shared" si="3"/>
        <v>3</v>
      </c>
      <c r="K10" s="103">
        <f t="shared" si="4"/>
        <v>30</v>
      </c>
      <c r="L10" s="103"/>
      <c r="M10" s="105">
        <f t="shared" si="5"/>
        <v>58.621568232238815</v>
      </c>
      <c r="N10" s="105">
        <f t="shared" si="6"/>
        <v>70.345881878686569</v>
      </c>
      <c r="O10" s="88"/>
      <c r="P10" s="88"/>
      <c r="Q10" s="88"/>
      <c r="R10" s="88"/>
      <c r="S10" s="88"/>
      <c r="W10" s="110"/>
      <c r="AA10" s="111"/>
      <c r="AB10" s="111"/>
      <c r="AH10" s="112"/>
      <c r="AI10" s="93" t="s">
        <v>55</v>
      </c>
      <c r="AJ10" s="93">
        <v>45</v>
      </c>
    </row>
    <row r="11" spans="1:37" s="93" customFormat="1" ht="14.45" customHeight="1" x14ac:dyDescent="0.25">
      <c r="A11" s="106">
        <f t="shared" si="0"/>
        <v>67.439712763420758</v>
      </c>
      <c r="B11" s="42">
        <f t="shared" si="1"/>
        <v>6</v>
      </c>
      <c r="C11" s="43" t="s">
        <v>162</v>
      </c>
      <c r="D11" s="43" t="s">
        <v>163</v>
      </c>
      <c r="E11" s="43" t="s">
        <v>164</v>
      </c>
      <c r="F11" s="43" t="s">
        <v>150</v>
      </c>
      <c r="G11" s="30"/>
      <c r="H11" s="107">
        <v>6</v>
      </c>
      <c r="I11" s="108">
        <f t="shared" si="2"/>
        <v>26.199760636183967</v>
      </c>
      <c r="J11" s="107">
        <f t="shared" si="3"/>
        <v>3</v>
      </c>
      <c r="K11" s="107">
        <f t="shared" si="4"/>
        <v>30</v>
      </c>
      <c r="L11" s="107"/>
      <c r="M11" s="109">
        <f t="shared" si="5"/>
        <v>56.199760636183967</v>
      </c>
      <c r="N11" s="109">
        <f t="shared" si="6"/>
        <v>67.439712763420758</v>
      </c>
      <c r="O11" s="88"/>
      <c r="P11" s="88"/>
      <c r="Q11" s="88"/>
      <c r="R11" s="88"/>
      <c r="S11" s="88"/>
      <c r="W11" s="113"/>
      <c r="AA11" s="111"/>
      <c r="AB11" s="111"/>
      <c r="AH11" s="112"/>
      <c r="AI11" s="93" t="s">
        <v>57</v>
      </c>
      <c r="AJ11" s="93">
        <v>50</v>
      </c>
    </row>
    <row r="12" spans="1:37" s="93" customFormat="1" ht="14.45" customHeight="1" x14ac:dyDescent="0.25">
      <c r="A12" s="102">
        <f t="shared" si="0"/>
        <v>64.982581787309755</v>
      </c>
      <c r="B12" s="36">
        <f t="shared" si="1"/>
        <v>7</v>
      </c>
      <c r="C12" s="37" t="s">
        <v>165</v>
      </c>
      <c r="D12" s="37" t="s">
        <v>166</v>
      </c>
      <c r="E12" s="37" t="s">
        <v>167</v>
      </c>
      <c r="F12" s="37" t="s">
        <v>150</v>
      </c>
      <c r="G12" s="30"/>
      <c r="H12" s="103">
        <v>7</v>
      </c>
      <c r="I12" s="104">
        <f t="shared" si="2"/>
        <v>24.152151489424799</v>
      </c>
      <c r="J12" s="103">
        <f t="shared" si="3"/>
        <v>3</v>
      </c>
      <c r="K12" s="103">
        <f t="shared" si="4"/>
        <v>30</v>
      </c>
      <c r="L12" s="103"/>
      <c r="M12" s="105">
        <f t="shared" si="5"/>
        <v>54.152151489424796</v>
      </c>
      <c r="N12" s="105">
        <f t="shared" si="6"/>
        <v>64.982581787309755</v>
      </c>
      <c r="O12" s="88"/>
      <c r="P12" s="88"/>
      <c r="Q12" s="88"/>
      <c r="R12" s="88"/>
      <c r="S12" s="88"/>
      <c r="AA12" s="111"/>
      <c r="AB12" s="111"/>
      <c r="AH12" s="112"/>
      <c r="AI12" s="93" t="s">
        <v>58</v>
      </c>
      <c r="AJ12" s="93">
        <f>AJ11-1</f>
        <v>49</v>
      </c>
    </row>
    <row r="13" spans="1:37" s="93" customFormat="1" ht="14.45" customHeight="1" x14ac:dyDescent="0.25">
      <c r="A13" s="106">
        <f t="shared" si="0"/>
        <v>62.854118121313419</v>
      </c>
      <c r="B13" s="42">
        <f t="shared" si="1"/>
        <v>8</v>
      </c>
      <c r="C13" s="43" t="s">
        <v>168</v>
      </c>
      <c r="D13" s="43" t="s">
        <v>169</v>
      </c>
      <c r="E13" s="43" t="s">
        <v>156</v>
      </c>
      <c r="F13" s="43" t="s">
        <v>150</v>
      </c>
      <c r="G13" s="30"/>
      <c r="H13" s="107">
        <v>8</v>
      </c>
      <c r="I13" s="108">
        <f t="shared" si="2"/>
        <v>22.378431767761185</v>
      </c>
      <c r="J13" s="107">
        <f t="shared" si="3"/>
        <v>3</v>
      </c>
      <c r="K13" s="107">
        <f t="shared" si="4"/>
        <v>30</v>
      </c>
      <c r="L13" s="107"/>
      <c r="M13" s="109">
        <f t="shared" si="5"/>
        <v>52.378431767761185</v>
      </c>
      <c r="N13" s="109">
        <f t="shared" si="6"/>
        <v>62.854118121313419</v>
      </c>
      <c r="O13" s="88"/>
      <c r="P13" s="88"/>
      <c r="Q13" s="88"/>
      <c r="R13" s="88"/>
      <c r="S13" s="88"/>
      <c r="Y13" s="110"/>
      <c r="AH13" s="112"/>
      <c r="AI13" s="93" t="s">
        <v>59</v>
      </c>
      <c r="AJ13" s="93" t="e">
        <f>LOG(AJ9)</f>
        <v>#NUM!</v>
      </c>
    </row>
    <row r="14" spans="1:37" s="93" customFormat="1" ht="38.75" x14ac:dyDescent="0.25">
      <c r="A14" s="102">
        <f t="shared" si="0"/>
        <v>48.976680112632579</v>
      </c>
      <c r="B14" s="36">
        <f t="shared" si="1"/>
        <v>9</v>
      </c>
      <c r="C14" s="37" t="s">
        <v>170</v>
      </c>
      <c r="D14" s="37" t="s">
        <v>171</v>
      </c>
      <c r="E14" s="37" t="s">
        <v>156</v>
      </c>
      <c r="F14" s="37" t="s">
        <v>150</v>
      </c>
      <c r="G14" s="30"/>
      <c r="H14" s="103">
        <v>9</v>
      </c>
      <c r="I14" s="104">
        <f t="shared" si="2"/>
        <v>20.813900093860482</v>
      </c>
      <c r="J14" s="103">
        <f t="shared" si="3"/>
        <v>2</v>
      </c>
      <c r="K14" s="103">
        <f t="shared" si="4"/>
        <v>20</v>
      </c>
      <c r="L14" s="103"/>
      <c r="M14" s="105">
        <f t="shared" si="5"/>
        <v>40.813900093860482</v>
      </c>
      <c r="N14" s="105">
        <f t="shared" si="6"/>
        <v>48.976680112632579</v>
      </c>
      <c r="O14" s="88"/>
      <c r="P14" s="88"/>
      <c r="Q14" s="88"/>
      <c r="R14" s="88"/>
      <c r="S14" s="88"/>
      <c r="Y14" s="114"/>
      <c r="AA14" s="111"/>
      <c r="AB14" s="111"/>
      <c r="AH14" s="112"/>
      <c r="AI14" s="93" t="s">
        <v>65</v>
      </c>
      <c r="AJ14" s="93">
        <f>LOG(AJ10)</f>
        <v>1.6532125137753437</v>
      </c>
    </row>
    <row r="15" spans="1:37" s="93" customFormat="1" x14ac:dyDescent="0.25">
      <c r="A15" s="106">
        <f t="shared" si="0"/>
        <v>47.297254585791045</v>
      </c>
      <c r="B15" s="42">
        <f t="shared" si="1"/>
        <v>10</v>
      </c>
      <c r="C15" s="43" t="s">
        <v>172</v>
      </c>
      <c r="D15" s="43" t="s">
        <v>173</v>
      </c>
      <c r="E15" s="43" t="s">
        <v>153</v>
      </c>
      <c r="F15" s="43" t="s">
        <v>150</v>
      </c>
      <c r="G15" s="30"/>
      <c r="H15" s="107">
        <v>10</v>
      </c>
      <c r="I15" s="108">
        <f t="shared" si="2"/>
        <v>19.414378821492541</v>
      </c>
      <c r="J15" s="107">
        <f t="shared" si="3"/>
        <v>2</v>
      </c>
      <c r="K15" s="107">
        <f t="shared" si="4"/>
        <v>20</v>
      </c>
      <c r="L15" s="107"/>
      <c r="M15" s="109">
        <f t="shared" si="5"/>
        <v>39.414378821492541</v>
      </c>
      <c r="N15" s="109">
        <f t="shared" si="6"/>
        <v>47.297254585791045</v>
      </c>
      <c r="O15" s="88"/>
      <c r="P15" s="88"/>
      <c r="Q15" s="88"/>
      <c r="R15" s="88"/>
      <c r="S15" s="88"/>
      <c r="Y15" s="110"/>
      <c r="AA15" s="111"/>
      <c r="AB15" s="111"/>
    </row>
    <row r="16" spans="1:37" s="93" customFormat="1" x14ac:dyDescent="0.25">
      <c r="A16" s="102">
        <f t="shared" si="0"/>
        <v>45.778029400418212</v>
      </c>
      <c r="B16" s="36">
        <f t="shared" si="1"/>
        <v>11</v>
      </c>
      <c r="C16" s="37" t="s">
        <v>174</v>
      </c>
      <c r="D16" s="37" t="s">
        <v>175</v>
      </c>
      <c r="E16" s="37" t="s">
        <v>149</v>
      </c>
      <c r="F16" s="37" t="s">
        <v>150</v>
      </c>
      <c r="G16" s="30"/>
      <c r="H16" s="103">
        <v>11</v>
      </c>
      <c r="I16" s="104">
        <f t="shared" si="2"/>
        <v>18.148357833681839</v>
      </c>
      <c r="J16" s="103">
        <f t="shared" si="3"/>
        <v>2</v>
      </c>
      <c r="K16" s="103">
        <f t="shared" si="4"/>
        <v>20</v>
      </c>
      <c r="L16" s="103"/>
      <c r="M16" s="105">
        <f t="shared" si="5"/>
        <v>38.148357833681843</v>
      </c>
      <c r="N16" s="105">
        <f t="shared" si="6"/>
        <v>45.778029400418212</v>
      </c>
      <c r="O16" s="88"/>
      <c r="P16" s="88"/>
      <c r="Q16" s="88"/>
      <c r="R16" s="88"/>
      <c r="S16" s="115"/>
      <c r="AA16" s="111"/>
      <c r="AB16" s="111"/>
      <c r="AI16" s="116" t="s">
        <v>61</v>
      </c>
      <c r="AJ16" s="93" t="e">
        <f>AJ11-AJ12*AJ13/AJ14</f>
        <v>#NUM!</v>
      </c>
      <c r="AK16" s="93" t="s">
        <v>62</v>
      </c>
    </row>
    <row r="17" spans="1:20" s="93" customFormat="1" x14ac:dyDescent="0.25">
      <c r="A17" s="106">
        <f t="shared" si="0"/>
        <v>44.391085470525233</v>
      </c>
      <c r="B17" s="42">
        <f t="shared" si="1"/>
        <v>12</v>
      </c>
      <c r="C17" s="43" t="s">
        <v>51</v>
      </c>
      <c r="D17" s="43" t="s">
        <v>176</v>
      </c>
      <c r="E17" s="43" t="s">
        <v>177</v>
      </c>
      <c r="F17" s="43" t="s">
        <v>150</v>
      </c>
      <c r="G17" s="30"/>
      <c r="H17" s="107">
        <v>12</v>
      </c>
      <c r="I17" s="108">
        <f t="shared" si="2"/>
        <v>16.992571225437693</v>
      </c>
      <c r="J17" s="107">
        <f t="shared" si="3"/>
        <v>2</v>
      </c>
      <c r="K17" s="107">
        <f t="shared" si="4"/>
        <v>20</v>
      </c>
      <c r="L17" s="107"/>
      <c r="M17" s="109">
        <f t="shared" si="5"/>
        <v>36.992571225437693</v>
      </c>
      <c r="N17" s="109">
        <f t="shared" si="6"/>
        <v>44.391085470525233</v>
      </c>
      <c r="O17" s="88"/>
      <c r="P17" s="88"/>
      <c r="Q17" s="88"/>
      <c r="R17" s="88"/>
      <c r="S17" s="88"/>
    </row>
    <row r="18" spans="1:20" s="93" customFormat="1" ht="38.75" x14ac:dyDescent="0.25">
      <c r="A18" s="102">
        <f t="shared" si="0"/>
        <v>43.115220734431702</v>
      </c>
      <c r="B18" s="36">
        <f t="shared" si="1"/>
        <v>13</v>
      </c>
      <c r="C18" s="37" t="s">
        <v>178</v>
      </c>
      <c r="D18" s="37" t="s">
        <v>179</v>
      </c>
      <c r="E18" s="37" t="s">
        <v>164</v>
      </c>
      <c r="F18" s="37" t="s">
        <v>150</v>
      </c>
      <c r="G18" s="30"/>
      <c r="H18" s="103">
        <v>13</v>
      </c>
      <c r="I18" s="104">
        <f t="shared" si="2"/>
        <v>15.929350612026418</v>
      </c>
      <c r="J18" s="103">
        <f t="shared" si="3"/>
        <v>2</v>
      </c>
      <c r="K18" s="103">
        <f t="shared" si="4"/>
        <v>20</v>
      </c>
      <c r="L18" s="103"/>
      <c r="M18" s="105">
        <f t="shared" si="5"/>
        <v>35.929350612026418</v>
      </c>
      <c r="N18" s="105">
        <f t="shared" si="6"/>
        <v>43.115220734431702</v>
      </c>
      <c r="O18" s="88"/>
      <c r="P18" s="88"/>
      <c r="Q18" s="88"/>
      <c r="R18" s="88"/>
      <c r="S18" s="88"/>
    </row>
    <row r="19" spans="1:20" s="93" customFormat="1" x14ac:dyDescent="0.25">
      <c r="A19" s="106">
        <f t="shared" si="0"/>
        <v>41.93395449441423</v>
      </c>
      <c r="B19" s="42">
        <f t="shared" si="1"/>
        <v>14</v>
      </c>
      <c r="C19" s="43" t="s">
        <v>180</v>
      </c>
      <c r="D19" s="43" t="s">
        <v>181</v>
      </c>
      <c r="E19" s="43" t="s">
        <v>149</v>
      </c>
      <c r="F19" s="43" t="s">
        <v>150</v>
      </c>
      <c r="G19" s="30"/>
      <c r="H19" s="107">
        <v>14</v>
      </c>
      <c r="I19" s="108">
        <f t="shared" si="2"/>
        <v>14.944962078678529</v>
      </c>
      <c r="J19" s="107">
        <f t="shared" si="3"/>
        <v>2</v>
      </c>
      <c r="K19" s="107">
        <f t="shared" si="4"/>
        <v>20</v>
      </c>
      <c r="L19" s="107"/>
      <c r="M19" s="109">
        <f t="shared" si="5"/>
        <v>34.944962078678529</v>
      </c>
      <c r="N19" s="109">
        <f t="shared" si="6"/>
        <v>41.93395449441423</v>
      </c>
      <c r="O19" s="88"/>
      <c r="P19" s="88"/>
      <c r="Q19" s="88"/>
      <c r="R19" s="88"/>
      <c r="S19" s="88"/>
    </row>
    <row r="20" spans="1:20" s="93" customFormat="1" x14ac:dyDescent="0.25">
      <c r="A20" s="102">
        <f t="shared" si="0"/>
        <v>40.834221935002859</v>
      </c>
      <c r="B20" s="36">
        <f t="shared" si="1"/>
        <v>15</v>
      </c>
      <c r="C20" s="37" t="s">
        <v>20</v>
      </c>
      <c r="D20" s="37" t="s">
        <v>182</v>
      </c>
      <c r="E20" s="37" t="s">
        <v>177</v>
      </c>
      <c r="F20" s="37" t="s">
        <v>150</v>
      </c>
      <c r="G20" s="30"/>
      <c r="H20" s="103">
        <v>15</v>
      </c>
      <c r="I20" s="104">
        <f t="shared" si="2"/>
        <v>14.028518279169049</v>
      </c>
      <c r="J20" s="103">
        <f t="shared" si="3"/>
        <v>2</v>
      </c>
      <c r="K20" s="103">
        <f t="shared" si="4"/>
        <v>20</v>
      </c>
      <c r="L20" s="103"/>
      <c r="M20" s="105">
        <f t="shared" si="5"/>
        <v>34.028518279169049</v>
      </c>
      <c r="N20" s="105">
        <f t="shared" si="6"/>
        <v>40.834221935002859</v>
      </c>
      <c r="O20" s="88"/>
      <c r="P20" s="88"/>
      <c r="Q20" s="88"/>
      <c r="R20" s="88"/>
      <c r="S20" s="117"/>
      <c r="T20" s="118"/>
    </row>
    <row r="21" spans="1:20" s="93" customFormat="1" x14ac:dyDescent="0.25">
      <c r="A21" s="106">
        <f t="shared" si="0"/>
        <v>39.805490828417895</v>
      </c>
      <c r="B21" s="42">
        <f t="shared" si="1"/>
        <v>16</v>
      </c>
      <c r="C21" s="43" t="s">
        <v>183</v>
      </c>
      <c r="D21" s="43" t="s">
        <v>184</v>
      </c>
      <c r="E21" s="43" t="s">
        <v>167</v>
      </c>
      <c r="F21" s="43" t="s">
        <v>150</v>
      </c>
      <c r="G21" s="30"/>
      <c r="H21" s="107">
        <v>16</v>
      </c>
      <c r="I21" s="108">
        <f t="shared" si="2"/>
        <v>13.171242357014911</v>
      </c>
      <c r="J21" s="107">
        <f t="shared" si="3"/>
        <v>2</v>
      </c>
      <c r="K21" s="107">
        <f t="shared" si="4"/>
        <v>20</v>
      </c>
      <c r="L21" s="107"/>
      <c r="M21" s="109">
        <f t="shared" si="5"/>
        <v>33.171242357014911</v>
      </c>
      <c r="N21" s="109">
        <f t="shared" si="6"/>
        <v>39.805490828417895</v>
      </c>
      <c r="O21" s="88"/>
      <c r="P21" s="88"/>
      <c r="Q21" s="88"/>
      <c r="R21" s="88"/>
      <c r="S21" s="88"/>
    </row>
    <row r="22" spans="1:20" s="93" customFormat="1" x14ac:dyDescent="0.25">
      <c r="A22" s="102">
        <f t="shared" si="0"/>
        <v>26.839146493465201</v>
      </c>
      <c r="B22" s="36">
        <f t="shared" si="1"/>
        <v>17</v>
      </c>
      <c r="C22" s="37" t="s">
        <v>185</v>
      </c>
      <c r="D22" s="37" t="s">
        <v>186</v>
      </c>
      <c r="E22" s="37" t="s">
        <v>159</v>
      </c>
      <c r="F22" s="37" t="s">
        <v>150</v>
      </c>
      <c r="G22" s="30"/>
      <c r="H22" s="103">
        <v>17</v>
      </c>
      <c r="I22" s="104">
        <f t="shared" si="2"/>
        <v>12.365955411221002</v>
      </c>
      <c r="J22" s="103">
        <f t="shared" si="3"/>
        <v>1</v>
      </c>
      <c r="K22" s="103">
        <f t="shared" si="4"/>
        <v>10</v>
      </c>
      <c r="L22" s="103"/>
      <c r="M22" s="105">
        <f t="shared" si="5"/>
        <v>22.365955411221002</v>
      </c>
      <c r="N22" s="105">
        <f t="shared" si="6"/>
        <v>26.839146493465201</v>
      </c>
      <c r="O22" s="88"/>
      <c r="P22" s="88"/>
      <c r="Q22" s="88"/>
      <c r="R22" s="88"/>
      <c r="S22" s="88"/>
    </row>
    <row r="23" spans="1:20" s="93" customFormat="1" x14ac:dyDescent="0.25">
      <c r="A23" s="106">
        <f t="shared" si="0"/>
        <v>25.928052819737051</v>
      </c>
      <c r="B23" s="42">
        <f t="shared" si="1"/>
        <v>18</v>
      </c>
      <c r="C23" s="43" t="s">
        <v>187</v>
      </c>
      <c r="D23" s="43" t="s">
        <v>188</v>
      </c>
      <c r="E23" s="43" t="s">
        <v>164</v>
      </c>
      <c r="F23" s="43" t="s">
        <v>150</v>
      </c>
      <c r="G23" s="30"/>
      <c r="H23" s="107">
        <v>18</v>
      </c>
      <c r="I23" s="108">
        <f t="shared" si="2"/>
        <v>11.606710683114208</v>
      </c>
      <c r="J23" s="107">
        <f t="shared" si="3"/>
        <v>1</v>
      </c>
      <c r="K23" s="107">
        <f t="shared" si="4"/>
        <v>10</v>
      </c>
      <c r="L23" s="107"/>
      <c r="M23" s="109">
        <f t="shared" si="5"/>
        <v>21.606710683114208</v>
      </c>
      <c r="N23" s="109">
        <f t="shared" si="6"/>
        <v>25.928052819737051</v>
      </c>
      <c r="O23" s="88"/>
      <c r="P23" s="88"/>
      <c r="Q23" s="88"/>
      <c r="R23" s="88"/>
      <c r="S23" s="88"/>
    </row>
    <row r="24" spans="1:20" s="93" customFormat="1" x14ac:dyDescent="0.25">
      <c r="A24" s="102">
        <f t="shared" si="0"/>
        <v>25.066232136725382</v>
      </c>
      <c r="B24" s="36">
        <f t="shared" si="1"/>
        <v>19</v>
      </c>
      <c r="C24" s="37" t="s">
        <v>189</v>
      </c>
      <c r="D24" s="37" t="s">
        <v>190</v>
      </c>
      <c r="E24" s="37" t="s">
        <v>191</v>
      </c>
      <c r="F24" s="37" t="s">
        <v>150</v>
      </c>
      <c r="G24" s="30"/>
      <c r="H24" s="103">
        <v>19</v>
      </c>
      <c r="I24" s="104">
        <f t="shared" si="2"/>
        <v>10.888526780604487</v>
      </c>
      <c r="J24" s="103">
        <f t="shared" si="3"/>
        <v>1</v>
      </c>
      <c r="K24" s="103">
        <f t="shared" si="4"/>
        <v>10</v>
      </c>
      <c r="L24" s="103"/>
      <c r="M24" s="105">
        <f t="shared" si="5"/>
        <v>20.888526780604487</v>
      </c>
      <c r="N24" s="105">
        <f t="shared" si="6"/>
        <v>25.066232136725382</v>
      </c>
      <c r="O24" s="88"/>
      <c r="P24" s="88"/>
      <c r="Q24" s="88"/>
      <c r="R24" s="88"/>
      <c r="S24" s="117"/>
      <c r="T24" s="118"/>
    </row>
    <row r="25" spans="1:20" s="93" customFormat="1" x14ac:dyDescent="0.25">
      <c r="A25" s="106">
        <f t="shared" si="0"/>
        <v>24.24862729289552</v>
      </c>
      <c r="B25" s="42">
        <f t="shared" si="1"/>
        <v>20</v>
      </c>
      <c r="C25" s="43" t="s">
        <v>192</v>
      </c>
      <c r="D25" s="43" t="s">
        <v>193</v>
      </c>
      <c r="E25" s="43" t="s">
        <v>191</v>
      </c>
      <c r="F25" s="43" t="s">
        <v>150</v>
      </c>
      <c r="G25" s="30"/>
      <c r="H25" s="107">
        <v>20</v>
      </c>
      <c r="I25" s="108">
        <f t="shared" si="2"/>
        <v>10.207189410746267</v>
      </c>
      <c r="J25" s="107">
        <f t="shared" si="3"/>
        <v>1</v>
      </c>
      <c r="K25" s="107">
        <f t="shared" si="4"/>
        <v>10</v>
      </c>
      <c r="L25" s="107"/>
      <c r="M25" s="109">
        <f t="shared" si="5"/>
        <v>20.207189410746267</v>
      </c>
      <c r="N25" s="109">
        <f t="shared" si="6"/>
        <v>24.24862729289552</v>
      </c>
      <c r="O25" s="88"/>
      <c r="P25" s="88"/>
      <c r="Q25" s="88"/>
      <c r="R25" s="88"/>
      <c r="S25" s="88"/>
    </row>
    <row r="26" spans="1:20" s="93" customFormat="1" x14ac:dyDescent="0.25">
      <c r="A26" s="102">
        <f t="shared" si="0"/>
        <v>23.470921843626051</v>
      </c>
      <c r="B26" s="36">
        <f t="shared" si="1"/>
        <v>21</v>
      </c>
      <c r="C26" s="37" t="s">
        <v>194</v>
      </c>
      <c r="D26" s="37" t="s">
        <v>195</v>
      </c>
      <c r="E26" s="37" t="s">
        <v>196</v>
      </c>
      <c r="F26" s="37" t="s">
        <v>150</v>
      </c>
      <c r="G26" s="30"/>
      <c r="H26" s="103">
        <v>21</v>
      </c>
      <c r="I26" s="104">
        <f t="shared" si="2"/>
        <v>9.559101536355044</v>
      </c>
      <c r="J26" s="103">
        <f t="shared" si="3"/>
        <v>1</v>
      </c>
      <c r="K26" s="103">
        <f t="shared" si="4"/>
        <v>10</v>
      </c>
      <c r="L26" s="103"/>
      <c r="M26" s="105">
        <f t="shared" si="5"/>
        <v>19.559101536355044</v>
      </c>
      <c r="N26" s="105">
        <f t="shared" si="6"/>
        <v>23.470921843626051</v>
      </c>
      <c r="O26" s="88"/>
      <c r="P26" s="88"/>
      <c r="Q26" s="88"/>
      <c r="R26" s="88"/>
      <c r="S26" s="88"/>
    </row>
    <row r="27" spans="1:20" s="93" customFormat="1" x14ac:dyDescent="0.25">
      <c r="A27" s="106">
        <f t="shared" si="0"/>
        <v>22.729402107522692</v>
      </c>
      <c r="B27" s="42">
        <f t="shared" si="1"/>
        <v>22</v>
      </c>
      <c r="C27" s="43" t="s">
        <v>197</v>
      </c>
      <c r="D27" s="43" t="s">
        <v>198</v>
      </c>
      <c r="E27" s="43" t="s">
        <v>149</v>
      </c>
      <c r="F27" s="43" t="s">
        <v>150</v>
      </c>
      <c r="G27" s="30"/>
      <c r="H27" s="107">
        <v>22</v>
      </c>
      <c r="I27" s="108">
        <f t="shared" si="2"/>
        <v>8.9411684229355757</v>
      </c>
      <c r="J27" s="107">
        <f t="shared" si="3"/>
        <v>1</v>
      </c>
      <c r="K27" s="107">
        <f t="shared" si="4"/>
        <v>10</v>
      </c>
      <c r="L27" s="107"/>
      <c r="M27" s="109">
        <f t="shared" si="5"/>
        <v>18.941168422935576</v>
      </c>
      <c r="N27" s="109">
        <f t="shared" si="6"/>
        <v>22.729402107522692</v>
      </c>
      <c r="O27" s="88"/>
      <c r="P27" s="88"/>
      <c r="Q27" s="88"/>
      <c r="R27" s="88"/>
      <c r="S27" s="88"/>
    </row>
    <row r="28" spans="1:20" s="93" customFormat="1" x14ac:dyDescent="0.25">
      <c r="A28" s="102">
        <f t="shared" si="0"/>
        <v>22.020849911204611</v>
      </c>
      <c r="B28" s="36">
        <f t="shared" si="1"/>
        <v>23</v>
      </c>
      <c r="C28" s="37" t="s">
        <v>199</v>
      </c>
      <c r="D28" s="37" t="s">
        <v>200</v>
      </c>
      <c r="E28" s="37" t="s">
        <v>196</v>
      </c>
      <c r="F28" s="37" t="s">
        <v>150</v>
      </c>
      <c r="G28" s="30"/>
      <c r="H28" s="103">
        <v>23</v>
      </c>
      <c r="I28" s="104">
        <f t="shared" si="2"/>
        <v>8.3507082593371749</v>
      </c>
      <c r="J28" s="103">
        <f t="shared" si="3"/>
        <v>1</v>
      </c>
      <c r="K28" s="103">
        <f t="shared" si="4"/>
        <v>10</v>
      </c>
      <c r="L28" s="103"/>
      <c r="M28" s="105">
        <f t="shared" si="5"/>
        <v>18.350708259337175</v>
      </c>
      <c r="N28" s="105">
        <f t="shared" si="6"/>
        <v>22.020849911204611</v>
      </c>
      <c r="O28" s="88"/>
      <c r="P28" s="88"/>
      <c r="Q28" s="88"/>
      <c r="R28" s="88"/>
      <c r="S28" s="117"/>
      <c r="T28" s="118"/>
    </row>
    <row r="29" spans="1:20" s="93" customFormat="1" x14ac:dyDescent="0.25">
      <c r="A29" s="106">
        <f t="shared" si="0"/>
        <v>21.342458177629712</v>
      </c>
      <c r="B29" s="42">
        <f t="shared" si="1"/>
        <v>24</v>
      </c>
      <c r="C29" s="43" t="s">
        <v>201</v>
      </c>
      <c r="D29" s="43" t="s">
        <v>202</v>
      </c>
      <c r="E29" s="43" t="s">
        <v>156</v>
      </c>
      <c r="F29" s="43" t="s">
        <v>150</v>
      </c>
      <c r="G29" s="88"/>
      <c r="H29" s="107">
        <v>24</v>
      </c>
      <c r="I29" s="108">
        <f t="shared" si="2"/>
        <v>7.7853818146914264</v>
      </c>
      <c r="J29" s="107">
        <f t="shared" si="3"/>
        <v>1</v>
      </c>
      <c r="K29" s="107">
        <f t="shared" si="4"/>
        <v>10</v>
      </c>
      <c r="L29" s="107"/>
      <c r="M29" s="109">
        <f t="shared" si="5"/>
        <v>17.785381814691426</v>
      </c>
      <c r="N29" s="109">
        <f t="shared" si="6"/>
        <v>21.342458177629712</v>
      </c>
      <c r="O29" s="88"/>
      <c r="P29" s="88"/>
      <c r="Q29" s="88"/>
      <c r="R29" s="88"/>
      <c r="S29" s="88"/>
    </row>
    <row r="30" spans="1:20" s="93" customFormat="1" x14ac:dyDescent="0.25">
      <c r="A30" s="102">
        <f t="shared" si="0"/>
        <v>20.691763757373145</v>
      </c>
      <c r="B30" s="36">
        <f t="shared" si="1"/>
        <v>25</v>
      </c>
      <c r="C30" s="37" t="s">
        <v>203</v>
      </c>
      <c r="D30" s="37" t="s">
        <v>204</v>
      </c>
      <c r="E30" s="37" t="s">
        <v>205</v>
      </c>
      <c r="F30" s="37" t="s">
        <v>150</v>
      </c>
      <c r="G30" s="88"/>
      <c r="H30" s="103">
        <v>25</v>
      </c>
      <c r="I30" s="104">
        <f t="shared" si="2"/>
        <v>7.2431364644776224</v>
      </c>
      <c r="J30" s="103">
        <f t="shared" si="3"/>
        <v>1</v>
      </c>
      <c r="K30" s="103">
        <f t="shared" si="4"/>
        <v>10</v>
      </c>
      <c r="L30" s="103"/>
      <c r="M30" s="105">
        <f t="shared" si="5"/>
        <v>17.243136464477622</v>
      </c>
      <c r="N30" s="105">
        <f t="shared" si="6"/>
        <v>20.691763757373145</v>
      </c>
      <c r="O30" s="88"/>
      <c r="P30" s="88"/>
      <c r="Q30" s="88"/>
      <c r="R30" s="88"/>
      <c r="S30" s="88"/>
    </row>
    <row r="31" spans="1:20" s="93" customFormat="1" x14ac:dyDescent="0.25">
      <c r="A31" s="106">
        <f t="shared" si="0"/>
        <v>20.066593441536174</v>
      </c>
      <c r="B31" s="42">
        <f t="shared" si="1"/>
        <v>26</v>
      </c>
      <c r="C31" s="43" t="s">
        <v>206</v>
      </c>
      <c r="D31" s="43" t="s">
        <v>207</v>
      </c>
      <c r="E31" s="43" t="s">
        <v>153</v>
      </c>
      <c r="F31" s="43" t="s">
        <v>150</v>
      </c>
      <c r="G31" s="88"/>
      <c r="H31" s="107">
        <v>26</v>
      </c>
      <c r="I31" s="108">
        <f t="shared" si="2"/>
        <v>6.7221612012801444</v>
      </c>
      <c r="J31" s="107">
        <f t="shared" si="3"/>
        <v>1</v>
      </c>
      <c r="K31" s="107">
        <f t="shared" si="4"/>
        <v>10</v>
      </c>
      <c r="L31" s="107"/>
      <c r="M31" s="109">
        <f t="shared" si="5"/>
        <v>16.722161201280144</v>
      </c>
      <c r="N31" s="109">
        <f t="shared" si="6"/>
        <v>20.066593441536174</v>
      </c>
      <c r="O31" s="88"/>
      <c r="P31" s="88"/>
      <c r="Q31" s="88"/>
      <c r="R31" s="88"/>
      <c r="S31" s="88"/>
    </row>
    <row r="32" spans="1:20" s="93" customFormat="1" x14ac:dyDescent="0.25">
      <c r="A32" s="102">
        <f t="shared" si="0"/>
        <v>19.465020168948868</v>
      </c>
      <c r="B32" s="36">
        <f t="shared" si="1"/>
        <v>27</v>
      </c>
      <c r="C32" s="37" t="s">
        <v>197</v>
      </c>
      <c r="D32" s="37" t="s">
        <v>208</v>
      </c>
      <c r="E32" s="37" t="s">
        <v>149</v>
      </c>
      <c r="F32" s="37" t="s">
        <v>150</v>
      </c>
      <c r="G32" s="88"/>
      <c r="H32" s="103">
        <v>27</v>
      </c>
      <c r="I32" s="104">
        <f t="shared" si="2"/>
        <v>6.2208501407907235</v>
      </c>
      <c r="J32" s="103">
        <f t="shared" si="3"/>
        <v>1</v>
      </c>
      <c r="K32" s="103">
        <f t="shared" si="4"/>
        <v>10</v>
      </c>
      <c r="L32" s="103"/>
      <c r="M32" s="105">
        <f t="shared" si="5"/>
        <v>16.220850140790724</v>
      </c>
      <c r="N32" s="105">
        <f t="shared" si="6"/>
        <v>19.465020168948868</v>
      </c>
      <c r="O32" s="88"/>
      <c r="P32" s="88"/>
      <c r="Q32" s="88"/>
      <c r="R32" s="88"/>
      <c r="S32" s="117"/>
      <c r="T32" s="118"/>
    </row>
    <row r="33" spans="1:20" s="93" customFormat="1" x14ac:dyDescent="0.25">
      <c r="A33" s="106">
        <f t="shared" si="0"/>
        <v>18.885327201518706</v>
      </c>
      <c r="B33" s="42">
        <f t="shared" si="1"/>
        <v>28</v>
      </c>
      <c r="C33" s="43" t="s">
        <v>19</v>
      </c>
      <c r="D33" s="43" t="s">
        <v>209</v>
      </c>
      <c r="E33" s="43" t="s">
        <v>177</v>
      </c>
      <c r="F33" s="43" t="s">
        <v>150</v>
      </c>
      <c r="G33" s="88"/>
      <c r="H33" s="107">
        <v>28</v>
      </c>
      <c r="I33" s="108">
        <f t="shared" si="2"/>
        <v>5.7377726679322549</v>
      </c>
      <c r="J33" s="107">
        <f t="shared" si="3"/>
        <v>1</v>
      </c>
      <c r="K33" s="107">
        <f t="shared" si="4"/>
        <v>10</v>
      </c>
      <c r="L33" s="107"/>
      <c r="M33" s="109">
        <f t="shared" si="5"/>
        <v>15.737772667932255</v>
      </c>
      <c r="N33" s="109">
        <f t="shared" si="6"/>
        <v>18.885327201518706</v>
      </c>
      <c r="O33" s="88"/>
      <c r="P33" s="88"/>
      <c r="Q33" s="88"/>
      <c r="R33" s="88"/>
      <c r="S33" s="88"/>
    </row>
    <row r="34" spans="1:20" s="93" customFormat="1" x14ac:dyDescent="0.25">
      <c r="A34" s="102">
        <f t="shared" si="0"/>
        <v>18.325978588865734</v>
      </c>
      <c r="B34" s="36">
        <f t="shared" si="1"/>
        <v>29</v>
      </c>
      <c r="C34" s="37" t="s">
        <v>210</v>
      </c>
      <c r="D34" s="37" t="s">
        <v>211</v>
      </c>
      <c r="E34" s="37" t="s">
        <v>164</v>
      </c>
      <c r="F34" s="37" t="s">
        <v>150</v>
      </c>
      <c r="G34" s="88"/>
      <c r="H34" s="103">
        <v>29</v>
      </c>
      <c r="I34" s="104">
        <f t="shared" si="2"/>
        <v>5.271648824054779</v>
      </c>
      <c r="J34" s="103">
        <f t="shared" si="3"/>
        <v>1</v>
      </c>
      <c r="K34" s="103">
        <f t="shared" si="4"/>
        <v>10</v>
      </c>
      <c r="L34" s="103"/>
      <c r="M34" s="105">
        <f t="shared" si="5"/>
        <v>15.271648824054779</v>
      </c>
      <c r="N34" s="105">
        <f t="shared" si="6"/>
        <v>18.325978588865734</v>
      </c>
      <c r="O34" s="88"/>
      <c r="P34" s="88"/>
      <c r="Q34" s="88"/>
      <c r="R34" s="88"/>
      <c r="S34" s="88"/>
    </row>
    <row r="35" spans="1:20" s="93" customFormat="1" ht="38.75" x14ac:dyDescent="0.25">
      <c r="A35" s="106">
        <f t="shared" si="0"/>
        <v>17.785594642107338</v>
      </c>
      <c r="B35" s="42">
        <f t="shared" si="1"/>
        <v>30</v>
      </c>
      <c r="C35" s="43" t="s">
        <v>212</v>
      </c>
      <c r="D35" s="43" t="s">
        <v>213</v>
      </c>
      <c r="E35" s="43" t="s">
        <v>214</v>
      </c>
      <c r="F35" s="43" t="s">
        <v>150</v>
      </c>
      <c r="G35" s="88"/>
      <c r="H35" s="107">
        <v>30</v>
      </c>
      <c r="I35" s="108">
        <f t="shared" si="2"/>
        <v>4.821328868422782</v>
      </c>
      <c r="J35" s="107">
        <f t="shared" si="3"/>
        <v>1</v>
      </c>
      <c r="K35" s="107">
        <f t="shared" si="4"/>
        <v>10</v>
      </c>
      <c r="L35" s="107"/>
      <c r="M35" s="109">
        <f t="shared" si="5"/>
        <v>14.821328868422782</v>
      </c>
      <c r="N35" s="109">
        <f t="shared" si="6"/>
        <v>17.785594642107338</v>
      </c>
      <c r="O35" s="88"/>
      <c r="P35" s="88"/>
      <c r="Q35" s="88"/>
      <c r="R35" s="88"/>
      <c r="S35" s="88"/>
    </row>
    <row r="36" spans="1:20" s="93" customFormat="1" x14ac:dyDescent="0.25">
      <c r="A36" s="102">
        <f t="shared" si="0"/>
        <v>17.262931430697254</v>
      </c>
      <c r="B36" s="36">
        <f t="shared" si="1"/>
        <v>31</v>
      </c>
      <c r="C36" s="37" t="s">
        <v>215</v>
      </c>
      <c r="D36" s="37" t="s">
        <v>216</v>
      </c>
      <c r="E36" s="37" t="s">
        <v>167</v>
      </c>
      <c r="F36" s="37" t="s">
        <v>150</v>
      </c>
      <c r="G36" s="88"/>
      <c r="H36" s="103">
        <v>31</v>
      </c>
      <c r="I36" s="104">
        <f t="shared" si="2"/>
        <v>4.385776192247711</v>
      </c>
      <c r="J36" s="103">
        <f t="shared" si="3"/>
        <v>1</v>
      </c>
      <c r="K36" s="103">
        <f t="shared" si="4"/>
        <v>10</v>
      </c>
      <c r="L36" s="103"/>
      <c r="M36" s="105">
        <f t="shared" si="5"/>
        <v>14.385776192247711</v>
      </c>
      <c r="N36" s="105">
        <f t="shared" si="6"/>
        <v>17.262931430697254</v>
      </c>
      <c r="O36" s="88"/>
      <c r="P36" s="88"/>
      <c r="Q36" s="88"/>
      <c r="R36" s="88"/>
      <c r="S36" s="117"/>
      <c r="T36" s="118"/>
    </row>
    <row r="37" spans="1:20" s="93" customFormat="1" x14ac:dyDescent="0.25">
      <c r="A37" s="106">
        <f t="shared" si="0"/>
        <v>16.756863535522363</v>
      </c>
      <c r="B37" s="42">
        <f t="shared" si="1"/>
        <v>32</v>
      </c>
      <c r="C37" s="43" t="s">
        <v>217</v>
      </c>
      <c r="D37" s="43" t="s">
        <v>200</v>
      </c>
      <c r="E37" s="43" t="s">
        <v>149</v>
      </c>
      <c r="F37" s="43" t="s">
        <v>150</v>
      </c>
      <c r="G37" s="88"/>
      <c r="H37" s="107">
        <v>32</v>
      </c>
      <c r="I37" s="108">
        <f t="shared" si="2"/>
        <v>3.9640529462686374</v>
      </c>
      <c r="J37" s="107">
        <f t="shared" si="3"/>
        <v>1</v>
      </c>
      <c r="K37" s="107">
        <f t="shared" si="4"/>
        <v>10</v>
      </c>
      <c r="L37" s="107"/>
      <c r="M37" s="109">
        <f t="shared" si="5"/>
        <v>13.964052946268637</v>
      </c>
      <c r="N37" s="109">
        <f t="shared" si="6"/>
        <v>16.756863535522363</v>
      </c>
      <c r="O37" s="88"/>
      <c r="P37" s="88"/>
      <c r="Q37" s="88"/>
      <c r="R37" s="88"/>
      <c r="S37" s="88"/>
    </row>
    <row r="38" spans="1:20" s="93" customFormat="1" x14ac:dyDescent="0.25">
      <c r="A38" s="102">
        <f t="shared" si="0"/>
        <v>4.2663694567344921</v>
      </c>
      <c r="B38" s="36">
        <f t="shared" si="1"/>
        <v>33</v>
      </c>
      <c r="C38" s="37" t="s">
        <v>218</v>
      </c>
      <c r="D38" s="37" t="s">
        <v>219</v>
      </c>
      <c r="E38" s="37" t="s">
        <v>164</v>
      </c>
      <c r="F38" s="37" t="s">
        <v>150</v>
      </c>
      <c r="G38" s="88"/>
      <c r="H38" s="103">
        <v>33</v>
      </c>
      <c r="I38" s="104">
        <f t="shared" si="2"/>
        <v>3.5553078806120766</v>
      </c>
      <c r="J38" s="103">
        <f t="shared" si="3"/>
        <v>0</v>
      </c>
      <c r="K38" s="103">
        <f t="shared" si="4"/>
        <v>0</v>
      </c>
      <c r="L38" s="103"/>
      <c r="M38" s="105">
        <f t="shared" si="5"/>
        <v>3.5553078806120766</v>
      </c>
      <c r="N38" s="105">
        <f t="shared" si="6"/>
        <v>4.2663694567344921</v>
      </c>
      <c r="O38" s="88"/>
      <c r="P38" s="88"/>
      <c r="Q38" s="88"/>
      <c r="R38" s="88"/>
      <c r="S38" s="117"/>
      <c r="T38" s="118"/>
    </row>
    <row r="39" spans="1:20" s="93" customFormat="1" x14ac:dyDescent="0.25">
      <c r="A39" s="106">
        <f t="shared" si="0"/>
        <v>3.7905192005696815</v>
      </c>
      <c r="B39" s="42">
        <f t="shared" si="1"/>
        <v>34</v>
      </c>
      <c r="C39" s="43" t="s">
        <v>220</v>
      </c>
      <c r="D39" s="43" t="s">
        <v>221</v>
      </c>
      <c r="E39" s="43" t="s">
        <v>196</v>
      </c>
      <c r="F39" s="43" t="s">
        <v>150</v>
      </c>
      <c r="G39" s="88"/>
      <c r="H39" s="107">
        <v>34</v>
      </c>
      <c r="I39" s="108">
        <f t="shared" si="2"/>
        <v>3.1587660004747349</v>
      </c>
      <c r="J39" s="107">
        <f t="shared" si="3"/>
        <v>0</v>
      </c>
      <c r="K39" s="107">
        <f t="shared" si="4"/>
        <v>0</v>
      </c>
      <c r="L39" s="107"/>
      <c r="M39" s="109">
        <f t="shared" si="5"/>
        <v>3.1587660004747349</v>
      </c>
      <c r="N39" s="109">
        <f t="shared" si="6"/>
        <v>3.7905192005696815</v>
      </c>
      <c r="O39" s="88"/>
      <c r="P39" s="88"/>
      <c r="Q39" s="88"/>
      <c r="R39" s="88"/>
      <c r="S39" s="88"/>
    </row>
    <row r="40" spans="1:20" s="93" customFormat="1" x14ac:dyDescent="0.25">
      <c r="A40" s="102">
        <f t="shared" si="0"/>
        <v>3.3284636659963409</v>
      </c>
      <c r="B40" s="36">
        <f t="shared" si="1"/>
        <v>35</v>
      </c>
      <c r="C40" s="37" t="s">
        <v>222</v>
      </c>
      <c r="D40" s="37" t="s">
        <v>223</v>
      </c>
      <c r="E40" s="37" t="s">
        <v>191</v>
      </c>
      <c r="F40" s="37" t="s">
        <v>150</v>
      </c>
      <c r="G40" s="88"/>
      <c r="H40" s="103">
        <v>35</v>
      </c>
      <c r="I40" s="104">
        <f t="shared" si="2"/>
        <v>2.7737197216636176</v>
      </c>
      <c r="J40" s="103">
        <f t="shared" si="3"/>
        <v>0</v>
      </c>
      <c r="K40" s="103">
        <f t="shared" si="4"/>
        <v>0</v>
      </c>
      <c r="L40" s="103"/>
      <c r="M40" s="105">
        <f t="shared" si="5"/>
        <v>2.7737197216636176</v>
      </c>
      <c r="N40" s="105">
        <f t="shared" si="6"/>
        <v>3.3284636659963409</v>
      </c>
      <c r="O40" s="88"/>
      <c r="P40" s="88"/>
      <c r="Q40" s="88"/>
      <c r="R40" s="88"/>
      <c r="S40" s="117"/>
      <c r="T40" s="118"/>
    </row>
    <row r="41" spans="1:20" s="93" customFormat="1" x14ac:dyDescent="0.25">
      <c r="A41" s="106">
        <f t="shared" si="0"/>
        <v>2.8794255268415214</v>
      </c>
      <c r="B41" s="42">
        <f t="shared" si="1"/>
        <v>36</v>
      </c>
      <c r="C41" s="43" t="s">
        <v>224</v>
      </c>
      <c r="D41" s="43" t="s">
        <v>225</v>
      </c>
      <c r="E41" s="43" t="s">
        <v>214</v>
      </c>
      <c r="F41" s="43" t="s">
        <v>150</v>
      </c>
      <c r="G41" s="88"/>
      <c r="H41" s="107">
        <v>36</v>
      </c>
      <c r="I41" s="108">
        <f t="shared" si="2"/>
        <v>2.3995212723679344</v>
      </c>
      <c r="J41" s="107">
        <f t="shared" si="3"/>
        <v>0</v>
      </c>
      <c r="K41" s="107">
        <f t="shared" si="4"/>
        <v>0</v>
      </c>
      <c r="L41" s="107"/>
      <c r="M41" s="109">
        <f t="shared" si="5"/>
        <v>2.3995212723679344</v>
      </c>
      <c r="N41" s="109">
        <f t="shared" si="6"/>
        <v>2.8794255268415214</v>
      </c>
      <c r="O41" s="88"/>
      <c r="P41" s="88"/>
      <c r="Q41" s="88"/>
      <c r="R41" s="88"/>
      <c r="S41" s="88"/>
    </row>
    <row r="42" spans="1:20" s="93" customFormat="1" ht="38.75" x14ac:dyDescent="0.25">
      <c r="A42" s="102">
        <f t="shared" si="0"/>
        <v>2.4426913634455247</v>
      </c>
      <c r="B42" s="36">
        <f t="shared" si="1"/>
        <v>37</v>
      </c>
      <c r="C42" s="37" t="s">
        <v>226</v>
      </c>
      <c r="D42" s="37" t="s">
        <v>227</v>
      </c>
      <c r="E42" s="37" t="s">
        <v>149</v>
      </c>
      <c r="F42" s="37" t="s">
        <v>150</v>
      </c>
      <c r="G42" s="88"/>
      <c r="H42" s="103">
        <v>37</v>
      </c>
      <c r="I42" s="104">
        <f t="shared" si="2"/>
        <v>2.0355761362046039</v>
      </c>
      <c r="J42" s="103">
        <f t="shared" si="3"/>
        <v>0</v>
      </c>
      <c r="K42" s="103">
        <f t="shared" si="4"/>
        <v>0</v>
      </c>
      <c r="L42" s="103"/>
      <c r="M42" s="105">
        <f t="shared" si="5"/>
        <v>2.0355761362046039</v>
      </c>
      <c r="N42" s="105">
        <f t="shared" si="6"/>
        <v>2.4426913634455247</v>
      </c>
      <c r="O42" s="88"/>
      <c r="P42" s="88"/>
      <c r="Q42" s="88"/>
      <c r="R42" s="88"/>
      <c r="S42" s="117"/>
      <c r="T42" s="118"/>
    </row>
    <row r="43" spans="1:20" s="93" customFormat="1" ht="38.75" x14ac:dyDescent="0.25">
      <c r="A43" s="106">
        <f t="shared" si="0"/>
        <v>2.0176048438298464</v>
      </c>
      <c r="B43" s="42">
        <f t="shared" si="1"/>
        <v>38</v>
      </c>
      <c r="C43" s="43" t="s">
        <v>228</v>
      </c>
      <c r="D43" s="43" t="s">
        <v>171</v>
      </c>
      <c r="E43" s="43" t="s">
        <v>156</v>
      </c>
      <c r="F43" s="43" t="s">
        <v>150</v>
      </c>
      <c r="G43" s="88"/>
      <c r="H43" s="107">
        <v>38</v>
      </c>
      <c r="I43" s="108">
        <f t="shared" si="2"/>
        <v>1.6813373698582055</v>
      </c>
      <c r="J43" s="107">
        <f t="shared" si="3"/>
        <v>0</v>
      </c>
      <c r="K43" s="107">
        <f t="shared" si="4"/>
        <v>0</v>
      </c>
      <c r="L43" s="107"/>
      <c r="M43" s="109">
        <f t="shared" si="5"/>
        <v>1.6813373698582055</v>
      </c>
      <c r="N43" s="109">
        <f t="shared" si="6"/>
        <v>2.0176048438298464</v>
      </c>
      <c r="O43" s="88"/>
      <c r="P43" s="88"/>
      <c r="Q43" s="88"/>
      <c r="R43" s="88"/>
      <c r="S43" s="88"/>
    </row>
    <row r="44" spans="1:20" s="93" customFormat="1" ht="25.85" x14ac:dyDescent="0.25">
      <c r="A44" s="102">
        <f t="shared" si="0"/>
        <v>1.6035607907479914</v>
      </c>
      <c r="B44" s="36">
        <f t="shared" si="1"/>
        <v>39</v>
      </c>
      <c r="C44" s="37" t="s">
        <v>229</v>
      </c>
      <c r="D44" s="37" t="s">
        <v>230</v>
      </c>
      <c r="E44" s="37" t="s">
        <v>153</v>
      </c>
      <c r="F44" s="37" t="s">
        <v>150</v>
      </c>
      <c r="G44" s="88"/>
      <c r="H44" s="103">
        <v>39</v>
      </c>
      <c r="I44" s="104">
        <f t="shared" si="2"/>
        <v>1.3363006589566595</v>
      </c>
      <c r="J44" s="103">
        <f t="shared" si="3"/>
        <v>0</v>
      </c>
      <c r="K44" s="103">
        <f t="shared" si="4"/>
        <v>0</v>
      </c>
      <c r="L44" s="103"/>
      <c r="M44" s="105">
        <f t="shared" si="5"/>
        <v>1.3363006589566595</v>
      </c>
      <c r="N44" s="105">
        <f t="shared" si="6"/>
        <v>1.6035607907479914</v>
      </c>
      <c r="O44" s="88"/>
      <c r="P44" s="88"/>
      <c r="Q44" s="88"/>
      <c r="R44" s="88"/>
      <c r="S44" s="117"/>
      <c r="T44" s="118"/>
    </row>
    <row r="45" spans="1:20" s="93" customFormat="1" ht="38.75" x14ac:dyDescent="0.25">
      <c r="A45" s="106">
        <f t="shared" si="0"/>
        <v>1.2</v>
      </c>
      <c r="B45" s="42">
        <f t="shared" si="1"/>
        <v>40</v>
      </c>
      <c r="C45" s="43" t="s">
        <v>231</v>
      </c>
      <c r="D45" s="43" t="s">
        <v>232</v>
      </c>
      <c r="E45" s="43" t="s">
        <v>233</v>
      </c>
      <c r="F45" s="43"/>
      <c r="G45" s="88"/>
      <c r="H45" s="107">
        <v>40</v>
      </c>
      <c r="I45" s="108">
        <f t="shared" si="2"/>
        <v>1</v>
      </c>
      <c r="J45" s="107">
        <f t="shared" si="3"/>
        <v>0</v>
      </c>
      <c r="K45" s="107">
        <f t="shared" si="4"/>
        <v>0</v>
      </c>
      <c r="L45" s="107"/>
      <c r="M45" s="109">
        <f t="shared" si="5"/>
        <v>1</v>
      </c>
      <c r="N45" s="109">
        <f t="shared" si="6"/>
        <v>1.2</v>
      </c>
      <c r="O45" s="88"/>
      <c r="P45" s="88"/>
      <c r="Q45" s="88"/>
      <c r="R45" s="88"/>
      <c r="S45" s="88"/>
    </row>
    <row r="46" spans="1:20" s="93" customFormat="1" x14ac:dyDescent="0.25">
      <c r="A46" s="102">
        <f t="shared" si="0"/>
        <v>0</v>
      </c>
      <c r="B46" s="36" t="str">
        <f t="shared" si="1"/>
        <v/>
      </c>
      <c r="C46" s="37" t="s">
        <v>53</v>
      </c>
      <c r="D46" s="37"/>
      <c r="E46" s="37"/>
      <c r="F46" s="37"/>
      <c r="G46" s="88"/>
      <c r="H46" s="103">
        <v>41</v>
      </c>
      <c r="I46" s="104" t="str">
        <f t="shared" si="2"/>
        <v/>
      </c>
      <c r="J46" s="103">
        <f t="shared" si="3"/>
        <v>0</v>
      </c>
      <c r="K46" s="103">
        <f t="shared" si="4"/>
        <v>0</v>
      </c>
      <c r="L46" s="103"/>
      <c r="M46" s="105">
        <f t="shared" si="5"/>
        <v>0</v>
      </c>
      <c r="N46" s="105">
        <f t="shared" si="6"/>
        <v>0</v>
      </c>
      <c r="O46" s="88"/>
      <c r="P46" s="88"/>
      <c r="Q46" s="88"/>
      <c r="R46" s="88"/>
      <c r="S46" s="117"/>
      <c r="T46" s="118"/>
    </row>
    <row r="47" spans="1:20" s="93" customFormat="1" x14ac:dyDescent="0.25">
      <c r="A47" s="106">
        <f t="shared" si="0"/>
        <v>0</v>
      </c>
      <c r="B47" s="42" t="str">
        <f t="shared" ref="B47:B73" si="7">IF(H47&gt;$H$2,"",(ROW()-5))</f>
        <v/>
      </c>
      <c r="C47" s="43" t="s">
        <v>53</v>
      </c>
      <c r="D47" s="43"/>
      <c r="E47" s="43"/>
      <c r="F47" s="43"/>
      <c r="G47" s="88"/>
      <c r="H47" s="107">
        <v>42</v>
      </c>
      <c r="I47" s="108" t="str">
        <f t="shared" si="2"/>
        <v/>
      </c>
      <c r="J47" s="107">
        <f t="shared" si="3"/>
        <v>0</v>
      </c>
      <c r="K47" s="107">
        <f t="shared" si="4"/>
        <v>0</v>
      </c>
      <c r="L47" s="107"/>
      <c r="M47" s="109">
        <f t="shared" si="5"/>
        <v>0</v>
      </c>
      <c r="N47" s="109">
        <f t="shared" si="6"/>
        <v>0</v>
      </c>
      <c r="O47" s="88"/>
      <c r="P47" s="88"/>
      <c r="Q47" s="88"/>
      <c r="R47" s="88"/>
      <c r="S47" s="88"/>
    </row>
    <row r="48" spans="1:20" s="93" customFormat="1" x14ac:dyDescent="0.25">
      <c r="A48" s="102">
        <f t="shared" si="0"/>
        <v>0</v>
      </c>
      <c r="B48" s="36" t="str">
        <f t="shared" si="7"/>
        <v/>
      </c>
      <c r="C48" s="37" t="s">
        <v>53</v>
      </c>
      <c r="D48" s="37"/>
      <c r="E48" s="37"/>
      <c r="F48" s="37"/>
      <c r="G48" s="88"/>
      <c r="H48" s="103">
        <v>43</v>
      </c>
      <c r="I48" s="104" t="str">
        <f t="shared" si="2"/>
        <v/>
      </c>
      <c r="J48" s="103">
        <f t="shared" si="3"/>
        <v>0</v>
      </c>
      <c r="K48" s="103">
        <f t="shared" si="4"/>
        <v>0</v>
      </c>
      <c r="L48" s="103"/>
      <c r="M48" s="105">
        <f t="shared" si="5"/>
        <v>0</v>
      </c>
      <c r="N48" s="105">
        <f t="shared" si="6"/>
        <v>0</v>
      </c>
      <c r="O48" s="88"/>
      <c r="P48" s="88"/>
      <c r="Q48" s="88"/>
      <c r="R48" s="88"/>
      <c r="S48" s="117"/>
      <c r="T48" s="118"/>
    </row>
    <row r="49" spans="1:20" s="93" customFormat="1" x14ac:dyDescent="0.25">
      <c r="A49" s="106">
        <f t="shared" si="0"/>
        <v>0</v>
      </c>
      <c r="B49" s="42" t="str">
        <f t="shared" si="7"/>
        <v/>
      </c>
      <c r="C49" s="43" t="s">
        <v>53</v>
      </c>
      <c r="D49" s="43"/>
      <c r="E49" s="43"/>
      <c r="F49" s="43"/>
      <c r="G49" s="88"/>
      <c r="H49" s="107">
        <v>44</v>
      </c>
      <c r="I49" s="108" t="str">
        <f t="shared" si="2"/>
        <v/>
      </c>
      <c r="J49" s="107">
        <f t="shared" si="3"/>
        <v>0</v>
      </c>
      <c r="K49" s="107">
        <f t="shared" si="4"/>
        <v>0</v>
      </c>
      <c r="L49" s="107"/>
      <c r="M49" s="109">
        <f t="shared" si="5"/>
        <v>0</v>
      </c>
      <c r="N49" s="109">
        <f t="shared" si="6"/>
        <v>0</v>
      </c>
      <c r="O49" s="88"/>
      <c r="P49" s="88"/>
      <c r="Q49" s="88"/>
      <c r="R49" s="88"/>
      <c r="S49" s="88"/>
    </row>
    <row r="50" spans="1:20" s="93" customFormat="1" x14ac:dyDescent="0.25">
      <c r="A50" s="102">
        <f t="shared" si="0"/>
        <v>0</v>
      </c>
      <c r="B50" s="36" t="str">
        <f t="shared" si="7"/>
        <v/>
      </c>
      <c r="C50" s="37" t="s">
        <v>53</v>
      </c>
      <c r="D50" s="37"/>
      <c r="E50" s="37"/>
      <c r="F50" s="37"/>
      <c r="G50" s="88"/>
      <c r="H50" s="103">
        <v>45</v>
      </c>
      <c r="I50" s="104" t="str">
        <f t="shared" si="2"/>
        <v/>
      </c>
      <c r="J50" s="103">
        <f t="shared" si="3"/>
        <v>0</v>
      </c>
      <c r="K50" s="103">
        <f t="shared" si="4"/>
        <v>0</v>
      </c>
      <c r="L50" s="103"/>
      <c r="M50" s="105">
        <f t="shared" si="5"/>
        <v>0</v>
      </c>
      <c r="N50" s="105">
        <f t="shared" si="6"/>
        <v>0</v>
      </c>
      <c r="O50" s="88"/>
      <c r="P50" s="88"/>
      <c r="Q50" s="88"/>
      <c r="R50" s="88"/>
      <c r="S50" s="117"/>
      <c r="T50" s="118"/>
    </row>
    <row r="51" spans="1:20" s="93" customFormat="1" x14ac:dyDescent="0.25">
      <c r="A51" s="106">
        <f t="shared" si="0"/>
        <v>0</v>
      </c>
      <c r="B51" s="42" t="str">
        <f t="shared" si="7"/>
        <v/>
      </c>
      <c r="C51" s="43" t="s">
        <v>53</v>
      </c>
      <c r="D51" s="43"/>
      <c r="E51" s="43"/>
      <c r="F51" s="43"/>
      <c r="G51" s="88"/>
      <c r="H51" s="107">
        <v>46</v>
      </c>
      <c r="I51" s="108" t="str">
        <f t="shared" si="2"/>
        <v/>
      </c>
      <c r="J51" s="107">
        <f t="shared" si="3"/>
        <v>0</v>
      </c>
      <c r="K51" s="107">
        <f t="shared" si="4"/>
        <v>0</v>
      </c>
      <c r="L51" s="107"/>
      <c r="M51" s="109">
        <f t="shared" si="5"/>
        <v>0</v>
      </c>
      <c r="N51" s="109">
        <f t="shared" si="6"/>
        <v>0</v>
      </c>
      <c r="O51" s="88"/>
      <c r="P51" s="88"/>
      <c r="Q51" s="88"/>
      <c r="R51" s="88"/>
      <c r="S51" s="88"/>
    </row>
    <row r="52" spans="1:20" s="93" customFormat="1" x14ac:dyDescent="0.25">
      <c r="A52" s="102">
        <f t="shared" si="0"/>
        <v>0</v>
      </c>
      <c r="B52" s="36" t="str">
        <f t="shared" si="7"/>
        <v/>
      </c>
      <c r="C52" s="37" t="s">
        <v>53</v>
      </c>
      <c r="D52" s="37"/>
      <c r="E52" s="37"/>
      <c r="F52" s="37"/>
      <c r="G52" s="88"/>
      <c r="H52" s="103">
        <v>47</v>
      </c>
      <c r="I52" s="104" t="str">
        <f t="shared" si="2"/>
        <v/>
      </c>
      <c r="J52" s="103">
        <f t="shared" si="3"/>
        <v>0</v>
      </c>
      <c r="K52" s="103">
        <f t="shared" si="4"/>
        <v>0</v>
      </c>
      <c r="L52" s="103"/>
      <c r="M52" s="105">
        <f t="shared" si="5"/>
        <v>0</v>
      </c>
      <c r="N52" s="105">
        <f t="shared" si="6"/>
        <v>0</v>
      </c>
      <c r="O52" s="88"/>
      <c r="P52" s="88"/>
      <c r="Q52" s="88"/>
      <c r="R52" s="88"/>
      <c r="S52" s="117"/>
      <c r="T52" s="118"/>
    </row>
    <row r="53" spans="1:20" s="93" customFormat="1" x14ac:dyDescent="0.25">
      <c r="A53" s="106">
        <f t="shared" si="0"/>
        <v>0</v>
      </c>
      <c r="B53" s="42" t="str">
        <f t="shared" si="7"/>
        <v/>
      </c>
      <c r="C53" s="43" t="s">
        <v>53</v>
      </c>
      <c r="D53" s="43"/>
      <c r="E53" s="43"/>
      <c r="F53" s="43"/>
      <c r="G53" s="88"/>
      <c r="H53" s="107">
        <v>48</v>
      </c>
      <c r="I53" s="108" t="str">
        <f t="shared" si="2"/>
        <v/>
      </c>
      <c r="J53" s="107">
        <f t="shared" si="3"/>
        <v>0</v>
      </c>
      <c r="K53" s="107">
        <f t="shared" si="4"/>
        <v>0</v>
      </c>
      <c r="L53" s="107"/>
      <c r="M53" s="109">
        <f t="shared" si="5"/>
        <v>0</v>
      </c>
      <c r="N53" s="109">
        <f t="shared" si="6"/>
        <v>0</v>
      </c>
      <c r="O53" s="88"/>
      <c r="P53" s="88"/>
      <c r="Q53" s="88"/>
      <c r="R53" s="88"/>
      <c r="S53" s="88"/>
    </row>
    <row r="54" spans="1:20" s="93" customFormat="1" x14ac:dyDescent="0.25">
      <c r="A54" s="102">
        <f t="shared" si="0"/>
        <v>0</v>
      </c>
      <c r="B54" s="36" t="str">
        <f t="shared" si="7"/>
        <v/>
      </c>
      <c r="C54" s="37" t="s">
        <v>53</v>
      </c>
      <c r="D54" s="37"/>
      <c r="E54" s="37"/>
      <c r="F54" s="37"/>
      <c r="G54" s="88"/>
      <c r="H54" s="103">
        <v>49</v>
      </c>
      <c r="I54" s="104" t="str">
        <f t="shared" si="2"/>
        <v/>
      </c>
      <c r="J54" s="103">
        <f t="shared" si="3"/>
        <v>0</v>
      </c>
      <c r="K54" s="103">
        <f t="shared" si="4"/>
        <v>0</v>
      </c>
      <c r="L54" s="103"/>
      <c r="M54" s="105">
        <f t="shared" si="5"/>
        <v>0</v>
      </c>
      <c r="N54" s="105">
        <f t="shared" si="6"/>
        <v>0</v>
      </c>
      <c r="O54" s="88"/>
      <c r="P54" s="88"/>
      <c r="Q54" s="88"/>
      <c r="R54" s="88"/>
      <c r="S54" s="117"/>
      <c r="T54" s="118"/>
    </row>
    <row r="55" spans="1:20" s="93" customFormat="1" x14ac:dyDescent="0.25">
      <c r="A55" s="106">
        <f t="shared" si="0"/>
        <v>0</v>
      </c>
      <c r="B55" s="42" t="str">
        <f t="shared" si="7"/>
        <v/>
      </c>
      <c r="C55" s="43" t="s">
        <v>53</v>
      </c>
      <c r="D55" s="43"/>
      <c r="E55" s="43"/>
      <c r="F55" s="43"/>
      <c r="G55" s="88"/>
      <c r="H55" s="107">
        <v>50</v>
      </c>
      <c r="I55" s="108" t="str">
        <f t="shared" si="2"/>
        <v/>
      </c>
      <c r="J55" s="107">
        <f t="shared" si="3"/>
        <v>0</v>
      </c>
      <c r="K55" s="107">
        <f t="shared" si="4"/>
        <v>0</v>
      </c>
      <c r="L55" s="107"/>
      <c r="M55" s="109">
        <f t="shared" si="5"/>
        <v>0</v>
      </c>
      <c r="N55" s="109">
        <f t="shared" si="6"/>
        <v>0</v>
      </c>
      <c r="O55" s="88"/>
      <c r="P55" s="88"/>
      <c r="Q55" s="88"/>
      <c r="R55" s="88"/>
      <c r="S55" s="88"/>
    </row>
    <row r="56" spans="1:20" s="93" customFormat="1" x14ac:dyDescent="0.25">
      <c r="A56" s="102">
        <f t="shared" si="0"/>
        <v>0</v>
      </c>
      <c r="B56" s="36" t="str">
        <f t="shared" si="7"/>
        <v/>
      </c>
      <c r="C56" s="37" t="s">
        <v>53</v>
      </c>
      <c r="D56" s="37"/>
      <c r="E56" s="37"/>
      <c r="F56" s="37"/>
      <c r="G56" s="88"/>
      <c r="H56" s="103">
        <v>51</v>
      </c>
      <c r="I56" s="104" t="str">
        <f t="shared" si="2"/>
        <v/>
      </c>
      <c r="J56" s="103">
        <f t="shared" si="3"/>
        <v>0</v>
      </c>
      <c r="K56" s="103">
        <f t="shared" si="4"/>
        <v>0</v>
      </c>
      <c r="L56" s="103"/>
      <c r="M56" s="105">
        <f t="shared" si="5"/>
        <v>0</v>
      </c>
      <c r="N56" s="105">
        <f t="shared" si="6"/>
        <v>0</v>
      </c>
      <c r="O56" s="88"/>
      <c r="P56" s="88"/>
      <c r="Q56" s="88"/>
      <c r="R56" s="88"/>
      <c r="S56" s="117"/>
      <c r="T56" s="118"/>
    </row>
    <row r="57" spans="1:20" s="93" customFormat="1" x14ac:dyDescent="0.25">
      <c r="A57" s="106">
        <f t="shared" si="0"/>
        <v>0</v>
      </c>
      <c r="B57" s="42" t="str">
        <f t="shared" si="7"/>
        <v/>
      </c>
      <c r="C57" s="43" t="s">
        <v>53</v>
      </c>
      <c r="D57" s="43"/>
      <c r="E57" s="43"/>
      <c r="F57" s="43"/>
      <c r="G57" s="88"/>
      <c r="H57" s="107">
        <v>52</v>
      </c>
      <c r="I57" s="108" t="str">
        <f t="shared" si="2"/>
        <v/>
      </c>
      <c r="J57" s="107">
        <f t="shared" si="3"/>
        <v>0</v>
      </c>
      <c r="K57" s="107">
        <f t="shared" si="4"/>
        <v>0</v>
      </c>
      <c r="L57" s="107"/>
      <c r="M57" s="109">
        <f t="shared" si="5"/>
        <v>0</v>
      </c>
      <c r="N57" s="109">
        <f t="shared" si="6"/>
        <v>0</v>
      </c>
      <c r="O57" s="88"/>
      <c r="P57" s="88"/>
      <c r="Q57" s="88"/>
      <c r="R57" s="88"/>
      <c r="S57" s="88"/>
    </row>
    <row r="58" spans="1:20" s="93" customFormat="1" x14ac:dyDescent="0.25">
      <c r="A58" s="102">
        <f t="shared" si="0"/>
        <v>0</v>
      </c>
      <c r="B58" s="36" t="str">
        <f t="shared" si="7"/>
        <v/>
      </c>
      <c r="C58" s="37" t="s">
        <v>53</v>
      </c>
      <c r="D58" s="37"/>
      <c r="E58" s="37"/>
      <c r="F58" s="37"/>
      <c r="G58" s="88"/>
      <c r="H58" s="103">
        <v>53</v>
      </c>
      <c r="I58" s="104" t="str">
        <f t="shared" si="2"/>
        <v/>
      </c>
      <c r="J58" s="103">
        <f t="shared" si="3"/>
        <v>0</v>
      </c>
      <c r="K58" s="103">
        <f t="shared" si="4"/>
        <v>0</v>
      </c>
      <c r="L58" s="103"/>
      <c r="M58" s="105">
        <f t="shared" si="5"/>
        <v>0</v>
      </c>
      <c r="N58" s="105">
        <f t="shared" si="6"/>
        <v>0</v>
      </c>
      <c r="O58" s="88"/>
      <c r="P58" s="88"/>
      <c r="Q58" s="88"/>
      <c r="R58" s="88"/>
      <c r="S58" s="117"/>
      <c r="T58" s="118"/>
    </row>
    <row r="59" spans="1:20" s="93" customFormat="1" x14ac:dyDescent="0.25">
      <c r="A59" s="106">
        <f t="shared" si="0"/>
        <v>0</v>
      </c>
      <c r="B59" s="42" t="str">
        <f t="shared" si="7"/>
        <v/>
      </c>
      <c r="C59" s="43" t="s">
        <v>53</v>
      </c>
      <c r="D59" s="43"/>
      <c r="E59" s="43"/>
      <c r="F59" s="43"/>
      <c r="G59" s="88"/>
      <c r="H59" s="107">
        <v>54</v>
      </c>
      <c r="I59" s="108" t="str">
        <f t="shared" si="2"/>
        <v/>
      </c>
      <c r="J59" s="107">
        <f t="shared" si="3"/>
        <v>0</v>
      </c>
      <c r="K59" s="107">
        <f t="shared" si="4"/>
        <v>0</v>
      </c>
      <c r="L59" s="107"/>
      <c r="M59" s="109">
        <f t="shared" si="5"/>
        <v>0</v>
      </c>
      <c r="N59" s="109">
        <f t="shared" si="6"/>
        <v>0</v>
      </c>
      <c r="O59" s="88"/>
      <c r="P59" s="88"/>
      <c r="Q59" s="88"/>
      <c r="R59" s="88"/>
      <c r="S59" s="88"/>
    </row>
    <row r="60" spans="1:20" s="93" customFormat="1" x14ac:dyDescent="0.25">
      <c r="A60" s="102">
        <f t="shared" si="0"/>
        <v>0</v>
      </c>
      <c r="B60" s="36" t="str">
        <f t="shared" si="7"/>
        <v/>
      </c>
      <c r="C60" s="37" t="s">
        <v>53</v>
      </c>
      <c r="D60" s="37"/>
      <c r="E60" s="37"/>
      <c r="F60" s="37"/>
      <c r="G60" s="88"/>
      <c r="H60" s="103">
        <v>55</v>
      </c>
      <c r="I60" s="104" t="str">
        <f t="shared" si="2"/>
        <v/>
      </c>
      <c r="J60" s="103">
        <f t="shared" si="3"/>
        <v>0</v>
      </c>
      <c r="K60" s="103">
        <f t="shared" si="4"/>
        <v>0</v>
      </c>
      <c r="L60" s="103"/>
      <c r="M60" s="105">
        <f t="shared" si="5"/>
        <v>0</v>
      </c>
      <c r="N60" s="105">
        <f t="shared" si="6"/>
        <v>0</v>
      </c>
      <c r="O60" s="88"/>
      <c r="P60" s="88"/>
      <c r="Q60" s="88"/>
      <c r="R60" s="88"/>
      <c r="S60" s="117"/>
      <c r="T60" s="118"/>
    </row>
    <row r="61" spans="1:20" s="93" customFormat="1" x14ac:dyDescent="0.25">
      <c r="A61" s="106">
        <f t="shared" si="0"/>
        <v>0</v>
      </c>
      <c r="B61" s="42" t="str">
        <f t="shared" si="7"/>
        <v/>
      </c>
      <c r="C61" s="43" t="s">
        <v>53</v>
      </c>
      <c r="D61" s="43"/>
      <c r="E61" s="43"/>
      <c r="F61" s="43"/>
      <c r="G61" s="88"/>
      <c r="H61" s="107">
        <v>56</v>
      </c>
      <c r="I61" s="108" t="str">
        <f t="shared" si="2"/>
        <v/>
      </c>
      <c r="J61" s="107">
        <f t="shared" si="3"/>
        <v>0</v>
      </c>
      <c r="K61" s="107">
        <f t="shared" si="4"/>
        <v>0</v>
      </c>
      <c r="L61" s="107"/>
      <c r="M61" s="109">
        <f t="shared" si="5"/>
        <v>0</v>
      </c>
      <c r="N61" s="109">
        <f t="shared" si="6"/>
        <v>0</v>
      </c>
      <c r="O61" s="88"/>
      <c r="P61" s="88"/>
      <c r="Q61" s="88"/>
      <c r="R61" s="88"/>
      <c r="S61" s="88"/>
    </row>
    <row r="62" spans="1:20" s="93" customFormat="1" x14ac:dyDescent="0.25">
      <c r="A62" s="102">
        <f t="shared" si="0"/>
        <v>0</v>
      </c>
      <c r="B62" s="36" t="str">
        <f t="shared" si="7"/>
        <v/>
      </c>
      <c r="C62" s="37" t="s">
        <v>53</v>
      </c>
      <c r="D62" s="37"/>
      <c r="E62" s="37"/>
      <c r="F62" s="37"/>
      <c r="G62" s="88"/>
      <c r="H62" s="103">
        <v>57</v>
      </c>
      <c r="I62" s="104" t="str">
        <f t="shared" si="2"/>
        <v/>
      </c>
      <c r="J62" s="103">
        <f t="shared" si="3"/>
        <v>0</v>
      </c>
      <c r="K62" s="103">
        <f t="shared" si="4"/>
        <v>0</v>
      </c>
      <c r="L62" s="103"/>
      <c r="M62" s="105">
        <f t="shared" si="5"/>
        <v>0</v>
      </c>
      <c r="N62" s="105">
        <f t="shared" si="6"/>
        <v>0</v>
      </c>
      <c r="O62" s="88"/>
      <c r="P62" s="88"/>
      <c r="Q62" s="88"/>
      <c r="R62" s="88"/>
      <c r="S62" s="117"/>
      <c r="T62" s="118"/>
    </row>
    <row r="63" spans="1:20" s="93" customFormat="1" x14ac:dyDescent="0.25">
      <c r="A63" s="106">
        <f t="shared" si="0"/>
        <v>0</v>
      </c>
      <c r="B63" s="42" t="str">
        <f t="shared" si="7"/>
        <v/>
      </c>
      <c r="C63" s="43" t="s">
        <v>53</v>
      </c>
      <c r="D63" s="43"/>
      <c r="E63" s="43"/>
      <c r="F63" s="43"/>
      <c r="G63" s="88"/>
      <c r="H63" s="107">
        <v>58</v>
      </c>
      <c r="I63" s="108" t="str">
        <f t="shared" si="2"/>
        <v/>
      </c>
      <c r="J63" s="107">
        <f t="shared" si="3"/>
        <v>0</v>
      </c>
      <c r="K63" s="107">
        <f t="shared" si="4"/>
        <v>0</v>
      </c>
      <c r="L63" s="107"/>
      <c r="M63" s="109">
        <f t="shared" si="5"/>
        <v>0</v>
      </c>
      <c r="N63" s="109">
        <f t="shared" si="6"/>
        <v>0</v>
      </c>
      <c r="O63" s="88"/>
      <c r="P63" s="88"/>
      <c r="Q63" s="88"/>
      <c r="R63" s="88"/>
      <c r="S63" s="88"/>
    </row>
    <row r="64" spans="1:20" s="93" customFormat="1" x14ac:dyDescent="0.25">
      <c r="A64" s="102">
        <f t="shared" si="0"/>
        <v>0</v>
      </c>
      <c r="B64" s="36" t="str">
        <f t="shared" si="7"/>
        <v/>
      </c>
      <c r="C64" s="37" t="s">
        <v>53</v>
      </c>
      <c r="D64" s="37"/>
      <c r="E64" s="37"/>
      <c r="F64" s="37"/>
      <c r="G64" s="88"/>
      <c r="H64" s="103">
        <v>59</v>
      </c>
      <c r="I64" s="104" t="str">
        <f t="shared" si="2"/>
        <v/>
      </c>
      <c r="J64" s="103">
        <f t="shared" si="3"/>
        <v>0</v>
      </c>
      <c r="K64" s="103">
        <f t="shared" si="4"/>
        <v>0</v>
      </c>
      <c r="L64" s="103"/>
      <c r="M64" s="105">
        <f t="shared" si="5"/>
        <v>0</v>
      </c>
      <c r="N64" s="105">
        <f t="shared" si="6"/>
        <v>0</v>
      </c>
      <c r="O64" s="88"/>
      <c r="P64" s="88"/>
      <c r="Q64" s="88"/>
      <c r="R64" s="88"/>
      <c r="S64" s="117"/>
      <c r="T64" s="118"/>
    </row>
    <row r="65" spans="1:20" s="93" customFormat="1" x14ac:dyDescent="0.25">
      <c r="A65" s="106">
        <f t="shared" si="0"/>
        <v>0</v>
      </c>
      <c r="B65" s="42" t="str">
        <f t="shared" si="7"/>
        <v/>
      </c>
      <c r="C65" s="43" t="s">
        <v>53</v>
      </c>
      <c r="D65" s="43"/>
      <c r="E65" s="43"/>
      <c r="F65" s="43"/>
      <c r="G65" s="88"/>
      <c r="H65" s="107">
        <v>60</v>
      </c>
      <c r="I65" s="108" t="str">
        <f t="shared" si="2"/>
        <v/>
      </c>
      <c r="J65" s="107">
        <f t="shared" si="3"/>
        <v>0</v>
      </c>
      <c r="K65" s="107">
        <f t="shared" si="4"/>
        <v>0</v>
      </c>
      <c r="L65" s="107"/>
      <c r="M65" s="109">
        <f t="shared" si="5"/>
        <v>0</v>
      </c>
      <c r="N65" s="109">
        <f t="shared" si="6"/>
        <v>0</v>
      </c>
      <c r="O65" s="88"/>
      <c r="P65" s="88"/>
      <c r="Q65" s="88"/>
      <c r="R65" s="88"/>
      <c r="S65" s="88"/>
    </row>
    <row r="66" spans="1:20" s="93" customFormat="1" x14ac:dyDescent="0.25">
      <c r="A66" s="102">
        <f t="shared" si="0"/>
        <v>0</v>
      </c>
      <c r="B66" s="36" t="str">
        <f t="shared" si="7"/>
        <v/>
      </c>
      <c r="C66" s="37" t="s">
        <v>53</v>
      </c>
      <c r="D66" s="37"/>
      <c r="E66" s="37"/>
      <c r="F66" s="37"/>
      <c r="G66" s="88"/>
      <c r="H66" s="103">
        <v>61</v>
      </c>
      <c r="I66" s="104" t="str">
        <f t="shared" si="2"/>
        <v/>
      </c>
      <c r="J66" s="103">
        <f t="shared" si="3"/>
        <v>0</v>
      </c>
      <c r="K66" s="103">
        <f t="shared" si="4"/>
        <v>0</v>
      </c>
      <c r="L66" s="103"/>
      <c r="M66" s="105">
        <f t="shared" si="5"/>
        <v>0</v>
      </c>
      <c r="N66" s="105">
        <f t="shared" si="6"/>
        <v>0</v>
      </c>
      <c r="O66" s="88"/>
      <c r="P66" s="88"/>
      <c r="Q66" s="88"/>
      <c r="R66" s="88"/>
      <c r="S66" s="117"/>
      <c r="T66" s="118"/>
    </row>
    <row r="67" spans="1:20" s="93" customFormat="1" x14ac:dyDescent="0.25">
      <c r="A67" s="106">
        <f t="shared" si="0"/>
        <v>0</v>
      </c>
      <c r="B67" s="42" t="str">
        <f t="shared" si="7"/>
        <v/>
      </c>
      <c r="C67" s="43" t="s">
        <v>53</v>
      </c>
      <c r="D67" s="43"/>
      <c r="E67" s="43"/>
      <c r="F67" s="43"/>
      <c r="G67" s="88"/>
      <c r="H67" s="107">
        <v>62</v>
      </c>
      <c r="I67" s="108" t="str">
        <f t="shared" si="2"/>
        <v/>
      </c>
      <c r="J67" s="107">
        <f t="shared" si="3"/>
        <v>0</v>
      </c>
      <c r="K67" s="107">
        <f t="shared" si="4"/>
        <v>0</v>
      </c>
      <c r="L67" s="107"/>
      <c r="M67" s="109">
        <f t="shared" si="5"/>
        <v>0</v>
      </c>
      <c r="N67" s="109">
        <f t="shared" si="6"/>
        <v>0</v>
      </c>
      <c r="O67" s="88"/>
      <c r="P67" s="88"/>
      <c r="Q67" s="88"/>
      <c r="R67" s="88"/>
      <c r="S67" s="88"/>
    </row>
    <row r="68" spans="1:20" s="93" customFormat="1" x14ac:dyDescent="0.25">
      <c r="A68" s="102">
        <f t="shared" si="0"/>
        <v>0</v>
      </c>
      <c r="B68" s="36" t="str">
        <f t="shared" si="7"/>
        <v/>
      </c>
      <c r="C68" s="37" t="s">
        <v>53</v>
      </c>
      <c r="D68" s="37"/>
      <c r="E68" s="37"/>
      <c r="F68" s="37"/>
      <c r="G68" s="88"/>
      <c r="H68" s="103">
        <v>63</v>
      </c>
      <c r="I68" s="104" t="str">
        <f t="shared" si="2"/>
        <v/>
      </c>
      <c r="J68" s="103">
        <f t="shared" si="3"/>
        <v>0</v>
      </c>
      <c r="K68" s="103">
        <f t="shared" si="4"/>
        <v>0</v>
      </c>
      <c r="L68" s="103"/>
      <c r="M68" s="105">
        <f t="shared" si="5"/>
        <v>0</v>
      </c>
      <c r="N68" s="105">
        <f t="shared" si="6"/>
        <v>0</v>
      </c>
      <c r="O68" s="88"/>
      <c r="P68" s="88"/>
      <c r="Q68" s="88"/>
      <c r="R68" s="88"/>
      <c r="S68" s="117"/>
      <c r="T68" s="118"/>
    </row>
    <row r="69" spans="1:20" s="93" customFormat="1" x14ac:dyDescent="0.25">
      <c r="A69" s="106">
        <f t="shared" si="0"/>
        <v>0</v>
      </c>
      <c r="B69" s="42" t="str">
        <f t="shared" si="7"/>
        <v/>
      </c>
      <c r="C69" s="43" t="s">
        <v>53</v>
      </c>
      <c r="D69" s="43"/>
      <c r="E69" s="43"/>
      <c r="F69" s="43"/>
      <c r="G69" s="88"/>
      <c r="H69" s="107">
        <v>64</v>
      </c>
      <c r="I69" s="108" t="str">
        <f t="shared" si="2"/>
        <v/>
      </c>
      <c r="J69" s="107">
        <f t="shared" si="3"/>
        <v>0</v>
      </c>
      <c r="K69" s="107">
        <f t="shared" si="4"/>
        <v>0</v>
      </c>
      <c r="L69" s="107"/>
      <c r="M69" s="109">
        <f t="shared" si="5"/>
        <v>0</v>
      </c>
      <c r="N69" s="109">
        <f t="shared" si="6"/>
        <v>0</v>
      </c>
      <c r="O69" s="88"/>
      <c r="P69" s="88"/>
      <c r="Q69" s="88"/>
      <c r="R69" s="88"/>
      <c r="S69" s="88"/>
    </row>
    <row r="70" spans="1:20" s="93" customFormat="1" x14ac:dyDescent="0.25">
      <c r="A70" s="102">
        <f t="shared" ref="A70:A133" si="8">N70</f>
        <v>0</v>
      </c>
      <c r="B70" s="36" t="str">
        <f t="shared" si="7"/>
        <v/>
      </c>
      <c r="C70" s="37" t="s">
        <v>53</v>
      </c>
      <c r="D70" s="37"/>
      <c r="E70" s="37"/>
      <c r="F70" s="37"/>
      <c r="G70" s="88"/>
      <c r="H70" s="103">
        <v>65</v>
      </c>
      <c r="I70" s="104" t="str">
        <f t="shared" ref="I70:I133" si="9">IF(H70&lt;$H$2+1,($I$2-($I$2-1)*(LOG(H70)/LOG($H$2))),"")</f>
        <v/>
      </c>
      <c r="J70" s="103">
        <f t="shared" ref="J70:J133" si="10">INT(LOG($H$2,2))-ROUNDUP(LOG(H70,2),0)+IF(OR($H$2=1,$H$2=2,$H$2=4,$H$2=8,$H$2=16,$H$2=32,$H$2=64,$H$2=128,$H$2=256),0,1)</f>
        <v>-1</v>
      </c>
      <c r="K70" s="103">
        <f t="shared" ref="K70:K133" si="11">J70*$J$2</f>
        <v>-10</v>
      </c>
      <c r="L70" s="103"/>
      <c r="M70" s="105">
        <f t="shared" ref="M70:M133" si="12">IF(I70&lt;&gt;"",K70+I70+L70,0)</f>
        <v>0</v>
      </c>
      <c r="N70" s="105">
        <f t="shared" ref="N70:N133" si="13">IF(I70&lt;&gt;"",M70*L$2,0)</f>
        <v>0</v>
      </c>
      <c r="O70" s="88"/>
      <c r="P70" s="88"/>
      <c r="Q70" s="88"/>
      <c r="R70" s="88"/>
      <c r="S70" s="117"/>
      <c r="T70" s="118"/>
    </row>
    <row r="71" spans="1:20" s="93" customFormat="1" x14ac:dyDescent="0.25">
      <c r="A71" s="106">
        <f t="shared" si="8"/>
        <v>0</v>
      </c>
      <c r="B71" s="42" t="str">
        <f t="shared" si="7"/>
        <v/>
      </c>
      <c r="C71" s="43" t="s">
        <v>53</v>
      </c>
      <c r="D71" s="43"/>
      <c r="E71" s="43"/>
      <c r="F71" s="43"/>
      <c r="G71" s="88"/>
      <c r="H71" s="107">
        <v>66</v>
      </c>
      <c r="I71" s="108" t="str">
        <f t="shared" si="9"/>
        <v/>
      </c>
      <c r="J71" s="107">
        <f t="shared" si="10"/>
        <v>-1</v>
      </c>
      <c r="K71" s="107">
        <f t="shared" si="11"/>
        <v>-10</v>
      </c>
      <c r="L71" s="107"/>
      <c r="M71" s="109">
        <f t="shared" si="12"/>
        <v>0</v>
      </c>
      <c r="N71" s="109">
        <f t="shared" si="13"/>
        <v>0</v>
      </c>
      <c r="O71" s="88"/>
      <c r="P71" s="88"/>
      <c r="Q71" s="88"/>
      <c r="R71" s="88"/>
      <c r="S71" s="88"/>
    </row>
    <row r="72" spans="1:20" s="93" customFormat="1" x14ac:dyDescent="0.25">
      <c r="A72" s="102">
        <f t="shared" si="8"/>
        <v>0</v>
      </c>
      <c r="B72" s="36" t="str">
        <f t="shared" si="7"/>
        <v/>
      </c>
      <c r="C72" s="37" t="s">
        <v>53</v>
      </c>
      <c r="D72" s="37"/>
      <c r="E72" s="37"/>
      <c r="F72" s="37"/>
      <c r="G72" s="88"/>
      <c r="H72" s="103">
        <v>67</v>
      </c>
      <c r="I72" s="104" t="str">
        <f t="shared" si="9"/>
        <v/>
      </c>
      <c r="J72" s="103">
        <f t="shared" si="10"/>
        <v>-1</v>
      </c>
      <c r="K72" s="103">
        <f t="shared" si="11"/>
        <v>-10</v>
      </c>
      <c r="L72" s="103"/>
      <c r="M72" s="105">
        <f t="shared" si="12"/>
        <v>0</v>
      </c>
      <c r="N72" s="105">
        <f t="shared" si="13"/>
        <v>0</v>
      </c>
      <c r="O72" s="88"/>
      <c r="P72" s="88"/>
      <c r="Q72" s="88"/>
      <c r="R72" s="88"/>
      <c r="S72" s="117"/>
      <c r="T72" s="118"/>
    </row>
    <row r="73" spans="1:20" s="93" customFormat="1" x14ac:dyDescent="0.25">
      <c r="A73" s="106">
        <f t="shared" si="8"/>
        <v>0</v>
      </c>
      <c r="B73" s="42" t="str">
        <f t="shared" si="7"/>
        <v/>
      </c>
      <c r="C73" s="43" t="s">
        <v>53</v>
      </c>
      <c r="D73" s="43"/>
      <c r="E73" s="43"/>
      <c r="F73" s="43"/>
      <c r="G73" s="88"/>
      <c r="H73" s="107">
        <v>68</v>
      </c>
      <c r="I73" s="108" t="str">
        <f t="shared" si="9"/>
        <v/>
      </c>
      <c r="J73" s="107">
        <f t="shared" si="10"/>
        <v>-1</v>
      </c>
      <c r="K73" s="107">
        <f t="shared" si="11"/>
        <v>-10</v>
      </c>
      <c r="L73" s="107"/>
      <c r="M73" s="109">
        <f t="shared" si="12"/>
        <v>0</v>
      </c>
      <c r="N73" s="109">
        <f t="shared" si="13"/>
        <v>0</v>
      </c>
      <c r="O73" s="88"/>
      <c r="P73" s="88"/>
      <c r="Q73" s="88"/>
      <c r="R73" s="88"/>
      <c r="S73" s="88"/>
    </row>
    <row r="74" spans="1:20" s="93" customFormat="1" x14ac:dyDescent="0.25">
      <c r="A74" s="102">
        <f t="shared" si="8"/>
        <v>0</v>
      </c>
      <c r="B74" s="36" t="str">
        <f t="shared" ref="B74:B137" si="14">IF(H74&gt;$H$2,"",(ROW()-5))</f>
        <v/>
      </c>
      <c r="C74" s="37" t="s">
        <v>53</v>
      </c>
      <c r="D74" s="37"/>
      <c r="E74" s="37"/>
      <c r="F74" s="37"/>
      <c r="G74" s="88"/>
      <c r="H74" s="103">
        <v>69</v>
      </c>
      <c r="I74" s="104" t="str">
        <f t="shared" si="9"/>
        <v/>
      </c>
      <c r="J74" s="103">
        <f t="shared" si="10"/>
        <v>-1</v>
      </c>
      <c r="K74" s="103">
        <f t="shared" si="11"/>
        <v>-10</v>
      </c>
      <c r="L74" s="103"/>
      <c r="M74" s="105">
        <f t="shared" si="12"/>
        <v>0</v>
      </c>
      <c r="N74" s="105">
        <f t="shared" si="13"/>
        <v>0</v>
      </c>
      <c r="O74" s="88"/>
      <c r="P74" s="88"/>
      <c r="Q74" s="88"/>
      <c r="R74" s="88"/>
      <c r="S74" s="117"/>
      <c r="T74" s="118"/>
    </row>
    <row r="75" spans="1:20" s="93" customFormat="1" x14ac:dyDescent="0.25">
      <c r="A75" s="106">
        <f t="shared" si="8"/>
        <v>0</v>
      </c>
      <c r="B75" s="42" t="str">
        <f t="shared" si="14"/>
        <v/>
      </c>
      <c r="C75" s="43" t="s">
        <v>53</v>
      </c>
      <c r="D75" s="43"/>
      <c r="E75" s="43"/>
      <c r="F75" s="43"/>
      <c r="G75" s="88"/>
      <c r="H75" s="107">
        <v>70</v>
      </c>
      <c r="I75" s="108" t="str">
        <f t="shared" si="9"/>
        <v/>
      </c>
      <c r="J75" s="107">
        <f t="shared" si="10"/>
        <v>-1</v>
      </c>
      <c r="K75" s="107">
        <f t="shared" si="11"/>
        <v>-10</v>
      </c>
      <c r="L75" s="107"/>
      <c r="M75" s="109">
        <f t="shared" si="12"/>
        <v>0</v>
      </c>
      <c r="N75" s="109">
        <f t="shared" si="13"/>
        <v>0</v>
      </c>
      <c r="O75" s="88"/>
      <c r="P75" s="88"/>
      <c r="Q75" s="88"/>
      <c r="R75" s="88"/>
      <c r="S75" s="88"/>
    </row>
    <row r="76" spans="1:20" s="93" customFormat="1" x14ac:dyDescent="0.25">
      <c r="A76" s="102">
        <f t="shared" si="8"/>
        <v>0</v>
      </c>
      <c r="B76" s="36" t="str">
        <f t="shared" si="14"/>
        <v/>
      </c>
      <c r="C76" s="37" t="s">
        <v>53</v>
      </c>
      <c r="D76" s="37"/>
      <c r="E76" s="37"/>
      <c r="F76" s="37"/>
      <c r="G76" s="88"/>
      <c r="H76" s="103">
        <v>71</v>
      </c>
      <c r="I76" s="104" t="str">
        <f t="shared" si="9"/>
        <v/>
      </c>
      <c r="J76" s="103">
        <f t="shared" si="10"/>
        <v>-1</v>
      </c>
      <c r="K76" s="103">
        <f t="shared" si="11"/>
        <v>-10</v>
      </c>
      <c r="L76" s="103"/>
      <c r="M76" s="105">
        <f t="shared" si="12"/>
        <v>0</v>
      </c>
      <c r="N76" s="105">
        <f t="shared" si="13"/>
        <v>0</v>
      </c>
      <c r="O76" s="88"/>
      <c r="P76" s="88"/>
      <c r="Q76" s="88"/>
      <c r="R76" s="88"/>
      <c r="S76" s="117"/>
      <c r="T76" s="118"/>
    </row>
    <row r="77" spans="1:20" s="93" customFormat="1" x14ac:dyDescent="0.25">
      <c r="A77" s="106">
        <f t="shared" si="8"/>
        <v>0</v>
      </c>
      <c r="B77" s="42" t="str">
        <f t="shared" si="14"/>
        <v/>
      </c>
      <c r="C77" s="43"/>
      <c r="D77" s="43"/>
      <c r="E77" s="43"/>
      <c r="F77" s="43"/>
      <c r="G77" s="88"/>
      <c r="H77" s="107">
        <v>72</v>
      </c>
      <c r="I77" s="108" t="str">
        <f t="shared" si="9"/>
        <v/>
      </c>
      <c r="J77" s="107">
        <f t="shared" si="10"/>
        <v>-1</v>
      </c>
      <c r="K77" s="107">
        <f t="shared" si="11"/>
        <v>-10</v>
      </c>
      <c r="L77" s="107"/>
      <c r="M77" s="109">
        <f t="shared" si="12"/>
        <v>0</v>
      </c>
      <c r="N77" s="109">
        <f t="shared" si="13"/>
        <v>0</v>
      </c>
      <c r="O77" s="88"/>
      <c r="P77" s="88"/>
      <c r="Q77" s="88"/>
      <c r="R77" s="88"/>
      <c r="S77" s="88"/>
    </row>
    <row r="78" spans="1:20" s="93" customFormat="1" x14ac:dyDescent="0.25">
      <c r="A78" s="102">
        <f t="shared" si="8"/>
        <v>0</v>
      </c>
      <c r="B78" s="36" t="str">
        <f t="shared" si="14"/>
        <v/>
      </c>
      <c r="C78" s="37"/>
      <c r="D78" s="37"/>
      <c r="E78" s="37"/>
      <c r="F78" s="37"/>
      <c r="G78" s="88"/>
      <c r="H78" s="103">
        <v>73</v>
      </c>
      <c r="I78" s="104" t="str">
        <f t="shared" si="9"/>
        <v/>
      </c>
      <c r="J78" s="103">
        <f t="shared" si="10"/>
        <v>-1</v>
      </c>
      <c r="K78" s="103">
        <f t="shared" si="11"/>
        <v>-10</v>
      </c>
      <c r="L78" s="103"/>
      <c r="M78" s="105">
        <f t="shared" si="12"/>
        <v>0</v>
      </c>
      <c r="N78" s="105">
        <f t="shared" si="13"/>
        <v>0</v>
      </c>
      <c r="O78" s="88"/>
      <c r="P78" s="88"/>
      <c r="Q78" s="88"/>
      <c r="R78" s="88"/>
      <c r="S78" s="117"/>
      <c r="T78" s="118"/>
    </row>
    <row r="79" spans="1:20" s="93" customFormat="1" x14ac:dyDescent="0.25">
      <c r="A79" s="106">
        <f t="shared" si="8"/>
        <v>0</v>
      </c>
      <c r="B79" s="42" t="str">
        <f t="shared" si="14"/>
        <v/>
      </c>
      <c r="C79" s="43"/>
      <c r="D79" s="43"/>
      <c r="E79" s="43"/>
      <c r="F79" s="43"/>
      <c r="G79" s="88"/>
      <c r="H79" s="107">
        <v>74</v>
      </c>
      <c r="I79" s="108" t="str">
        <f t="shared" si="9"/>
        <v/>
      </c>
      <c r="J79" s="107">
        <f t="shared" si="10"/>
        <v>-1</v>
      </c>
      <c r="K79" s="107">
        <f t="shared" si="11"/>
        <v>-10</v>
      </c>
      <c r="L79" s="107"/>
      <c r="M79" s="109">
        <f t="shared" si="12"/>
        <v>0</v>
      </c>
      <c r="N79" s="109">
        <f t="shared" si="13"/>
        <v>0</v>
      </c>
      <c r="O79" s="88"/>
      <c r="P79" s="88"/>
      <c r="Q79" s="88"/>
      <c r="R79" s="88"/>
      <c r="S79" s="88"/>
    </row>
    <row r="80" spans="1:20" s="93" customFormat="1" x14ac:dyDescent="0.25">
      <c r="A80" s="102">
        <f t="shared" si="8"/>
        <v>0</v>
      </c>
      <c r="B80" s="36" t="str">
        <f t="shared" si="14"/>
        <v/>
      </c>
      <c r="C80" s="37"/>
      <c r="D80" s="37"/>
      <c r="E80" s="37"/>
      <c r="F80" s="37"/>
      <c r="G80" s="88"/>
      <c r="H80" s="103">
        <v>75</v>
      </c>
      <c r="I80" s="104" t="str">
        <f t="shared" si="9"/>
        <v/>
      </c>
      <c r="J80" s="103">
        <f t="shared" si="10"/>
        <v>-1</v>
      </c>
      <c r="K80" s="103">
        <f t="shared" si="11"/>
        <v>-10</v>
      </c>
      <c r="L80" s="103"/>
      <c r="M80" s="105">
        <f t="shared" si="12"/>
        <v>0</v>
      </c>
      <c r="N80" s="105">
        <f t="shared" si="13"/>
        <v>0</v>
      </c>
      <c r="O80" s="88"/>
      <c r="P80" s="88"/>
      <c r="Q80" s="88"/>
      <c r="R80" s="88"/>
      <c r="S80" s="117"/>
      <c r="T80" s="118"/>
    </row>
    <row r="81" spans="1:20" s="93" customFormat="1" x14ac:dyDescent="0.25">
      <c r="A81" s="106">
        <f t="shared" si="8"/>
        <v>0</v>
      </c>
      <c r="B81" s="42" t="str">
        <f t="shared" si="14"/>
        <v/>
      </c>
      <c r="C81" s="43"/>
      <c r="D81" s="43"/>
      <c r="E81" s="43"/>
      <c r="F81" s="43"/>
      <c r="G81" s="88"/>
      <c r="H81" s="107">
        <v>76</v>
      </c>
      <c r="I81" s="108" t="str">
        <f t="shared" si="9"/>
        <v/>
      </c>
      <c r="J81" s="107">
        <f t="shared" si="10"/>
        <v>-1</v>
      </c>
      <c r="K81" s="107">
        <f t="shared" si="11"/>
        <v>-10</v>
      </c>
      <c r="L81" s="107"/>
      <c r="M81" s="109">
        <f t="shared" si="12"/>
        <v>0</v>
      </c>
      <c r="N81" s="109">
        <f t="shared" si="13"/>
        <v>0</v>
      </c>
      <c r="O81" s="88"/>
      <c r="P81" s="88"/>
      <c r="Q81" s="88"/>
      <c r="R81" s="88"/>
      <c r="S81" s="88"/>
    </row>
    <row r="82" spans="1:20" s="93" customFormat="1" x14ac:dyDescent="0.25">
      <c r="A82" s="102">
        <f t="shared" si="8"/>
        <v>0</v>
      </c>
      <c r="B82" s="36" t="str">
        <f t="shared" si="14"/>
        <v/>
      </c>
      <c r="C82" s="37"/>
      <c r="D82" s="37"/>
      <c r="E82" s="37"/>
      <c r="F82" s="37"/>
      <c r="G82" s="88"/>
      <c r="H82" s="103">
        <v>77</v>
      </c>
      <c r="I82" s="104" t="str">
        <f t="shared" si="9"/>
        <v/>
      </c>
      <c r="J82" s="103">
        <f t="shared" si="10"/>
        <v>-1</v>
      </c>
      <c r="K82" s="103">
        <f t="shared" si="11"/>
        <v>-10</v>
      </c>
      <c r="L82" s="103"/>
      <c r="M82" s="105">
        <f t="shared" si="12"/>
        <v>0</v>
      </c>
      <c r="N82" s="105">
        <f t="shared" si="13"/>
        <v>0</v>
      </c>
      <c r="O82" s="88"/>
      <c r="P82" s="88"/>
      <c r="Q82" s="88"/>
      <c r="R82" s="88"/>
      <c r="S82" s="117"/>
      <c r="T82" s="118"/>
    </row>
    <row r="83" spans="1:20" s="93" customFormat="1" x14ac:dyDescent="0.25">
      <c r="A83" s="106">
        <f t="shared" si="8"/>
        <v>0</v>
      </c>
      <c r="B83" s="42" t="str">
        <f t="shared" si="14"/>
        <v/>
      </c>
      <c r="C83" s="43"/>
      <c r="D83" s="43"/>
      <c r="E83" s="43"/>
      <c r="F83" s="43"/>
      <c r="G83" s="88"/>
      <c r="H83" s="107">
        <v>78</v>
      </c>
      <c r="I83" s="108" t="str">
        <f t="shared" si="9"/>
        <v/>
      </c>
      <c r="J83" s="107">
        <f t="shared" si="10"/>
        <v>-1</v>
      </c>
      <c r="K83" s="107">
        <f t="shared" si="11"/>
        <v>-10</v>
      </c>
      <c r="L83" s="107"/>
      <c r="M83" s="109">
        <f t="shared" si="12"/>
        <v>0</v>
      </c>
      <c r="N83" s="109">
        <f t="shared" si="13"/>
        <v>0</v>
      </c>
      <c r="O83" s="88"/>
      <c r="P83" s="88"/>
      <c r="Q83" s="88"/>
      <c r="R83" s="88"/>
      <c r="S83" s="88"/>
    </row>
    <row r="84" spans="1:20" s="93" customFormat="1" x14ac:dyDescent="0.25">
      <c r="A84" s="102">
        <f t="shared" si="8"/>
        <v>0</v>
      </c>
      <c r="B84" s="36" t="str">
        <f t="shared" si="14"/>
        <v/>
      </c>
      <c r="C84" s="37"/>
      <c r="D84" s="37"/>
      <c r="E84" s="37"/>
      <c r="F84" s="37"/>
      <c r="G84" s="88"/>
      <c r="H84" s="103">
        <v>79</v>
      </c>
      <c r="I84" s="104" t="str">
        <f t="shared" si="9"/>
        <v/>
      </c>
      <c r="J84" s="103">
        <f t="shared" si="10"/>
        <v>-1</v>
      </c>
      <c r="K84" s="103">
        <f t="shared" si="11"/>
        <v>-10</v>
      </c>
      <c r="L84" s="103"/>
      <c r="M84" s="105">
        <f t="shared" si="12"/>
        <v>0</v>
      </c>
      <c r="N84" s="105">
        <f t="shared" si="13"/>
        <v>0</v>
      </c>
      <c r="O84" s="88"/>
      <c r="P84" s="88"/>
      <c r="Q84" s="88"/>
      <c r="R84" s="88"/>
      <c r="S84" s="117"/>
      <c r="T84" s="118"/>
    </row>
    <row r="85" spans="1:20" s="93" customFormat="1" x14ac:dyDescent="0.25">
      <c r="A85" s="106">
        <f t="shared" si="8"/>
        <v>0</v>
      </c>
      <c r="B85" s="42" t="str">
        <f t="shared" si="14"/>
        <v/>
      </c>
      <c r="C85" s="43"/>
      <c r="D85" s="43"/>
      <c r="E85" s="43"/>
      <c r="F85" s="43"/>
      <c r="G85" s="88"/>
      <c r="H85" s="107">
        <v>80</v>
      </c>
      <c r="I85" s="108" t="str">
        <f t="shared" si="9"/>
        <v/>
      </c>
      <c r="J85" s="107">
        <f t="shared" si="10"/>
        <v>-1</v>
      </c>
      <c r="K85" s="107">
        <f t="shared" si="11"/>
        <v>-10</v>
      </c>
      <c r="L85" s="107"/>
      <c r="M85" s="109">
        <f t="shared" si="12"/>
        <v>0</v>
      </c>
      <c r="N85" s="109">
        <f t="shared" si="13"/>
        <v>0</v>
      </c>
      <c r="O85" s="88"/>
      <c r="P85" s="88"/>
      <c r="Q85" s="88"/>
      <c r="R85" s="88"/>
      <c r="S85" s="88"/>
    </row>
    <row r="86" spans="1:20" s="93" customFormat="1" x14ac:dyDescent="0.25">
      <c r="A86" s="102">
        <f t="shared" si="8"/>
        <v>0</v>
      </c>
      <c r="B86" s="36" t="str">
        <f t="shared" si="14"/>
        <v/>
      </c>
      <c r="C86" s="37"/>
      <c r="D86" s="37"/>
      <c r="E86" s="37"/>
      <c r="F86" s="37"/>
      <c r="G86" s="88"/>
      <c r="H86" s="103">
        <v>81</v>
      </c>
      <c r="I86" s="104" t="str">
        <f t="shared" si="9"/>
        <v/>
      </c>
      <c r="J86" s="103">
        <f t="shared" si="10"/>
        <v>-1</v>
      </c>
      <c r="K86" s="103">
        <f t="shared" si="11"/>
        <v>-10</v>
      </c>
      <c r="L86" s="103"/>
      <c r="M86" s="105">
        <f t="shared" si="12"/>
        <v>0</v>
      </c>
      <c r="N86" s="105">
        <f t="shared" si="13"/>
        <v>0</v>
      </c>
      <c r="O86" s="88"/>
      <c r="P86" s="88"/>
      <c r="Q86" s="88"/>
      <c r="R86" s="88"/>
      <c r="S86" s="117"/>
      <c r="T86" s="118"/>
    </row>
    <row r="87" spans="1:20" s="93" customFormat="1" x14ac:dyDescent="0.25">
      <c r="A87" s="106">
        <f t="shared" si="8"/>
        <v>0</v>
      </c>
      <c r="B87" s="42" t="str">
        <f t="shared" si="14"/>
        <v/>
      </c>
      <c r="C87" s="43"/>
      <c r="D87" s="43"/>
      <c r="E87" s="43"/>
      <c r="F87" s="43"/>
      <c r="G87" s="88"/>
      <c r="H87" s="107">
        <v>82</v>
      </c>
      <c r="I87" s="108" t="str">
        <f t="shared" si="9"/>
        <v/>
      </c>
      <c r="J87" s="107">
        <f t="shared" si="10"/>
        <v>-1</v>
      </c>
      <c r="K87" s="107">
        <f t="shared" si="11"/>
        <v>-10</v>
      </c>
      <c r="L87" s="107"/>
      <c r="M87" s="109">
        <f t="shared" si="12"/>
        <v>0</v>
      </c>
      <c r="N87" s="109">
        <f t="shared" si="13"/>
        <v>0</v>
      </c>
      <c r="O87" s="88"/>
      <c r="P87" s="88"/>
      <c r="Q87" s="88"/>
      <c r="R87" s="88"/>
      <c r="S87" s="88"/>
    </row>
    <row r="88" spans="1:20" s="93" customFormat="1" x14ac:dyDescent="0.25">
      <c r="A88" s="102">
        <f t="shared" si="8"/>
        <v>0</v>
      </c>
      <c r="B88" s="36" t="str">
        <f t="shared" si="14"/>
        <v/>
      </c>
      <c r="C88" s="37"/>
      <c r="D88" s="37"/>
      <c r="E88" s="37"/>
      <c r="F88" s="37"/>
      <c r="G88" s="88"/>
      <c r="H88" s="103">
        <v>83</v>
      </c>
      <c r="I88" s="104" t="str">
        <f t="shared" si="9"/>
        <v/>
      </c>
      <c r="J88" s="103">
        <f t="shared" si="10"/>
        <v>-1</v>
      </c>
      <c r="K88" s="103">
        <f t="shared" si="11"/>
        <v>-10</v>
      </c>
      <c r="L88" s="103"/>
      <c r="M88" s="105">
        <f t="shared" si="12"/>
        <v>0</v>
      </c>
      <c r="N88" s="105">
        <f t="shared" si="13"/>
        <v>0</v>
      </c>
      <c r="O88" s="88"/>
      <c r="P88" s="88"/>
      <c r="Q88" s="88"/>
      <c r="R88" s="88"/>
      <c r="S88" s="117"/>
      <c r="T88" s="118"/>
    </row>
    <row r="89" spans="1:20" s="93" customFormat="1" x14ac:dyDescent="0.25">
      <c r="A89" s="106">
        <f t="shared" si="8"/>
        <v>0</v>
      </c>
      <c r="B89" s="42" t="str">
        <f t="shared" si="14"/>
        <v/>
      </c>
      <c r="C89" s="43"/>
      <c r="D89" s="43"/>
      <c r="E89" s="43"/>
      <c r="F89" s="43"/>
      <c r="G89" s="88"/>
      <c r="H89" s="107">
        <v>84</v>
      </c>
      <c r="I89" s="108" t="str">
        <f t="shared" si="9"/>
        <v/>
      </c>
      <c r="J89" s="107">
        <f t="shared" si="10"/>
        <v>-1</v>
      </c>
      <c r="K89" s="107">
        <f t="shared" si="11"/>
        <v>-10</v>
      </c>
      <c r="L89" s="107"/>
      <c r="M89" s="109">
        <f t="shared" si="12"/>
        <v>0</v>
      </c>
      <c r="N89" s="109">
        <f t="shared" si="13"/>
        <v>0</v>
      </c>
      <c r="O89" s="88"/>
      <c r="P89" s="88"/>
      <c r="Q89" s="88"/>
      <c r="R89" s="88"/>
      <c r="S89" s="88"/>
    </row>
    <row r="90" spans="1:20" s="93" customFormat="1" x14ac:dyDescent="0.25">
      <c r="A90" s="102">
        <f t="shared" si="8"/>
        <v>0</v>
      </c>
      <c r="B90" s="36" t="str">
        <f t="shared" si="14"/>
        <v/>
      </c>
      <c r="C90" s="37"/>
      <c r="D90" s="37"/>
      <c r="E90" s="37"/>
      <c r="F90" s="37"/>
      <c r="G90" s="88"/>
      <c r="H90" s="103">
        <v>85</v>
      </c>
      <c r="I90" s="104" t="str">
        <f t="shared" si="9"/>
        <v/>
      </c>
      <c r="J90" s="103">
        <f t="shared" si="10"/>
        <v>-1</v>
      </c>
      <c r="K90" s="103">
        <f t="shared" si="11"/>
        <v>-10</v>
      </c>
      <c r="L90" s="103"/>
      <c r="M90" s="105">
        <f t="shared" si="12"/>
        <v>0</v>
      </c>
      <c r="N90" s="105">
        <f t="shared" si="13"/>
        <v>0</v>
      </c>
      <c r="O90" s="88"/>
      <c r="P90" s="88"/>
      <c r="Q90" s="88"/>
      <c r="R90" s="88"/>
      <c r="S90" s="117"/>
      <c r="T90" s="118"/>
    </row>
    <row r="91" spans="1:20" s="93" customFormat="1" x14ac:dyDescent="0.25">
      <c r="A91" s="106">
        <f t="shared" si="8"/>
        <v>0</v>
      </c>
      <c r="B91" s="42" t="str">
        <f t="shared" si="14"/>
        <v/>
      </c>
      <c r="C91" s="43"/>
      <c r="D91" s="43"/>
      <c r="E91" s="43"/>
      <c r="F91" s="43"/>
      <c r="G91" s="88"/>
      <c r="H91" s="107">
        <v>86</v>
      </c>
      <c r="I91" s="108" t="str">
        <f t="shared" si="9"/>
        <v/>
      </c>
      <c r="J91" s="107">
        <f t="shared" si="10"/>
        <v>-1</v>
      </c>
      <c r="K91" s="107">
        <f t="shared" si="11"/>
        <v>-10</v>
      </c>
      <c r="L91" s="107"/>
      <c r="M91" s="109">
        <f t="shared" si="12"/>
        <v>0</v>
      </c>
      <c r="N91" s="109">
        <f t="shared" si="13"/>
        <v>0</v>
      </c>
      <c r="O91" s="88"/>
      <c r="P91" s="88"/>
      <c r="Q91" s="88"/>
      <c r="R91" s="88"/>
      <c r="S91" s="88"/>
    </row>
    <row r="92" spans="1:20" s="93" customFormat="1" x14ac:dyDescent="0.25">
      <c r="A92" s="102">
        <f t="shared" si="8"/>
        <v>0</v>
      </c>
      <c r="B92" s="36" t="str">
        <f t="shared" si="14"/>
        <v/>
      </c>
      <c r="C92" s="37"/>
      <c r="D92" s="37"/>
      <c r="E92" s="37"/>
      <c r="F92" s="37"/>
      <c r="G92" s="88"/>
      <c r="H92" s="103">
        <v>87</v>
      </c>
      <c r="I92" s="104" t="str">
        <f t="shared" si="9"/>
        <v/>
      </c>
      <c r="J92" s="103">
        <f t="shared" si="10"/>
        <v>-1</v>
      </c>
      <c r="K92" s="103">
        <f t="shared" si="11"/>
        <v>-10</v>
      </c>
      <c r="L92" s="103"/>
      <c r="M92" s="105">
        <f t="shared" si="12"/>
        <v>0</v>
      </c>
      <c r="N92" s="105">
        <f t="shared" si="13"/>
        <v>0</v>
      </c>
      <c r="O92" s="88"/>
      <c r="P92" s="88"/>
      <c r="Q92" s="88"/>
      <c r="R92" s="88"/>
      <c r="S92" s="117"/>
      <c r="T92" s="118"/>
    </row>
    <row r="93" spans="1:20" s="93" customFormat="1" x14ac:dyDescent="0.25">
      <c r="A93" s="106">
        <f t="shared" si="8"/>
        <v>0</v>
      </c>
      <c r="B93" s="42" t="str">
        <f t="shared" si="14"/>
        <v/>
      </c>
      <c r="C93" s="43"/>
      <c r="D93" s="43"/>
      <c r="E93" s="43"/>
      <c r="F93" s="43"/>
      <c r="G93" s="88"/>
      <c r="H93" s="107">
        <v>88</v>
      </c>
      <c r="I93" s="108" t="str">
        <f t="shared" si="9"/>
        <v/>
      </c>
      <c r="J93" s="107">
        <f t="shared" si="10"/>
        <v>-1</v>
      </c>
      <c r="K93" s="107">
        <f t="shared" si="11"/>
        <v>-10</v>
      </c>
      <c r="L93" s="107"/>
      <c r="M93" s="109">
        <f t="shared" si="12"/>
        <v>0</v>
      </c>
      <c r="N93" s="109">
        <f t="shared" si="13"/>
        <v>0</v>
      </c>
      <c r="O93" s="88"/>
      <c r="P93" s="88"/>
      <c r="Q93" s="88"/>
      <c r="R93" s="88"/>
      <c r="S93" s="88"/>
    </row>
    <row r="94" spans="1:20" s="93" customFormat="1" x14ac:dyDescent="0.25">
      <c r="A94" s="102">
        <f t="shared" si="8"/>
        <v>0</v>
      </c>
      <c r="B94" s="36" t="str">
        <f t="shared" si="14"/>
        <v/>
      </c>
      <c r="C94" s="37"/>
      <c r="D94" s="37"/>
      <c r="E94" s="37"/>
      <c r="F94" s="37"/>
      <c r="G94" s="88"/>
      <c r="H94" s="103">
        <v>89</v>
      </c>
      <c r="I94" s="104" t="str">
        <f t="shared" si="9"/>
        <v/>
      </c>
      <c r="J94" s="103">
        <f t="shared" si="10"/>
        <v>-1</v>
      </c>
      <c r="K94" s="103">
        <f t="shared" si="11"/>
        <v>-10</v>
      </c>
      <c r="L94" s="103"/>
      <c r="M94" s="105">
        <f t="shared" si="12"/>
        <v>0</v>
      </c>
      <c r="N94" s="105">
        <f t="shared" si="13"/>
        <v>0</v>
      </c>
      <c r="O94" s="88"/>
      <c r="P94" s="88"/>
      <c r="Q94" s="88"/>
      <c r="R94" s="88"/>
      <c r="S94" s="117"/>
      <c r="T94" s="118"/>
    </row>
    <row r="95" spans="1:20" s="93" customFormat="1" x14ac:dyDescent="0.25">
      <c r="A95" s="106">
        <f t="shared" si="8"/>
        <v>0</v>
      </c>
      <c r="B95" s="42" t="str">
        <f t="shared" si="14"/>
        <v/>
      </c>
      <c r="C95" s="43"/>
      <c r="D95" s="43"/>
      <c r="E95" s="43"/>
      <c r="F95" s="43"/>
      <c r="G95" s="88"/>
      <c r="H95" s="107">
        <v>90</v>
      </c>
      <c r="I95" s="108" t="str">
        <f t="shared" si="9"/>
        <v/>
      </c>
      <c r="J95" s="107">
        <f t="shared" si="10"/>
        <v>-1</v>
      </c>
      <c r="K95" s="107">
        <f t="shared" si="11"/>
        <v>-10</v>
      </c>
      <c r="L95" s="107"/>
      <c r="M95" s="109">
        <f t="shared" si="12"/>
        <v>0</v>
      </c>
      <c r="N95" s="109">
        <f t="shared" si="13"/>
        <v>0</v>
      </c>
      <c r="O95" s="88"/>
      <c r="P95" s="88"/>
      <c r="Q95" s="88"/>
      <c r="R95" s="88"/>
      <c r="S95" s="88"/>
    </row>
    <row r="96" spans="1:20" s="93" customFormat="1" x14ac:dyDescent="0.25">
      <c r="A96" s="102">
        <f t="shared" si="8"/>
        <v>0</v>
      </c>
      <c r="B96" s="36" t="str">
        <f t="shared" si="14"/>
        <v/>
      </c>
      <c r="C96" s="37"/>
      <c r="D96" s="37"/>
      <c r="E96" s="37"/>
      <c r="F96" s="37"/>
      <c r="G96" s="88"/>
      <c r="H96" s="103">
        <v>91</v>
      </c>
      <c r="I96" s="104" t="str">
        <f t="shared" si="9"/>
        <v/>
      </c>
      <c r="J96" s="103">
        <f t="shared" si="10"/>
        <v>-1</v>
      </c>
      <c r="K96" s="103">
        <f t="shared" si="11"/>
        <v>-10</v>
      </c>
      <c r="L96" s="103"/>
      <c r="M96" s="105">
        <f t="shared" si="12"/>
        <v>0</v>
      </c>
      <c r="N96" s="105">
        <f t="shared" si="13"/>
        <v>0</v>
      </c>
      <c r="O96" s="88"/>
      <c r="P96" s="88"/>
      <c r="Q96" s="88"/>
      <c r="R96" s="88"/>
      <c r="S96" s="117"/>
      <c r="T96" s="118"/>
    </row>
    <row r="97" spans="1:20" s="93" customFormat="1" x14ac:dyDescent="0.25">
      <c r="A97" s="106">
        <f t="shared" si="8"/>
        <v>0</v>
      </c>
      <c r="B97" s="42" t="str">
        <f t="shared" si="14"/>
        <v/>
      </c>
      <c r="C97" s="43"/>
      <c r="D97" s="43"/>
      <c r="E97" s="43"/>
      <c r="F97" s="43"/>
      <c r="G97" s="88"/>
      <c r="H97" s="107">
        <v>92</v>
      </c>
      <c r="I97" s="108" t="str">
        <f t="shared" si="9"/>
        <v/>
      </c>
      <c r="J97" s="107">
        <f t="shared" si="10"/>
        <v>-1</v>
      </c>
      <c r="K97" s="107">
        <f t="shared" si="11"/>
        <v>-10</v>
      </c>
      <c r="L97" s="107"/>
      <c r="M97" s="109">
        <f t="shared" si="12"/>
        <v>0</v>
      </c>
      <c r="N97" s="109">
        <f t="shared" si="13"/>
        <v>0</v>
      </c>
      <c r="O97" s="88"/>
      <c r="P97" s="88"/>
      <c r="Q97" s="88"/>
      <c r="R97" s="88"/>
      <c r="S97" s="88"/>
    </row>
    <row r="98" spans="1:20" s="93" customFormat="1" x14ac:dyDescent="0.25">
      <c r="A98" s="102">
        <f t="shared" si="8"/>
        <v>0</v>
      </c>
      <c r="B98" s="36" t="str">
        <f t="shared" si="14"/>
        <v/>
      </c>
      <c r="C98" s="37"/>
      <c r="D98" s="37"/>
      <c r="E98" s="37"/>
      <c r="F98" s="37"/>
      <c r="G98" s="88"/>
      <c r="H98" s="103">
        <v>93</v>
      </c>
      <c r="I98" s="104" t="str">
        <f t="shared" si="9"/>
        <v/>
      </c>
      <c r="J98" s="103">
        <f t="shared" si="10"/>
        <v>-1</v>
      </c>
      <c r="K98" s="103">
        <f t="shared" si="11"/>
        <v>-10</v>
      </c>
      <c r="L98" s="103"/>
      <c r="M98" s="105">
        <f t="shared" si="12"/>
        <v>0</v>
      </c>
      <c r="N98" s="105">
        <f t="shared" si="13"/>
        <v>0</v>
      </c>
      <c r="O98" s="88"/>
      <c r="P98" s="88"/>
      <c r="Q98" s="88"/>
      <c r="R98" s="88"/>
      <c r="S98" s="117"/>
      <c r="T98" s="118"/>
    </row>
    <row r="99" spans="1:20" s="93" customFormat="1" x14ac:dyDescent="0.25">
      <c r="A99" s="106">
        <f t="shared" si="8"/>
        <v>0</v>
      </c>
      <c r="B99" s="42" t="str">
        <f t="shared" si="14"/>
        <v/>
      </c>
      <c r="C99" s="43"/>
      <c r="D99" s="43"/>
      <c r="E99" s="43"/>
      <c r="F99" s="43"/>
      <c r="G99" s="88"/>
      <c r="H99" s="107">
        <v>94</v>
      </c>
      <c r="I99" s="108" t="str">
        <f t="shared" si="9"/>
        <v/>
      </c>
      <c r="J99" s="107">
        <f t="shared" si="10"/>
        <v>-1</v>
      </c>
      <c r="K99" s="107">
        <f t="shared" si="11"/>
        <v>-10</v>
      </c>
      <c r="L99" s="107"/>
      <c r="M99" s="109">
        <f t="shared" si="12"/>
        <v>0</v>
      </c>
      <c r="N99" s="109">
        <f t="shared" si="13"/>
        <v>0</v>
      </c>
      <c r="O99" s="88"/>
      <c r="P99" s="88"/>
      <c r="Q99" s="88"/>
      <c r="R99" s="88"/>
      <c r="S99" s="88"/>
    </row>
    <row r="100" spans="1:20" s="93" customFormat="1" x14ac:dyDescent="0.25">
      <c r="A100" s="102">
        <f t="shared" si="8"/>
        <v>0</v>
      </c>
      <c r="B100" s="36" t="str">
        <f t="shared" si="14"/>
        <v/>
      </c>
      <c r="C100" s="37"/>
      <c r="D100" s="37"/>
      <c r="E100" s="37"/>
      <c r="F100" s="37"/>
      <c r="G100" s="88"/>
      <c r="H100" s="103">
        <v>95</v>
      </c>
      <c r="I100" s="104" t="str">
        <f t="shared" si="9"/>
        <v/>
      </c>
      <c r="J100" s="103">
        <f t="shared" si="10"/>
        <v>-1</v>
      </c>
      <c r="K100" s="103">
        <f t="shared" si="11"/>
        <v>-10</v>
      </c>
      <c r="L100" s="103"/>
      <c r="M100" s="105">
        <f t="shared" si="12"/>
        <v>0</v>
      </c>
      <c r="N100" s="105">
        <f t="shared" si="13"/>
        <v>0</v>
      </c>
      <c r="O100" s="88"/>
      <c r="P100" s="88"/>
      <c r="Q100" s="88"/>
      <c r="R100" s="88"/>
      <c r="S100" s="117"/>
      <c r="T100" s="118"/>
    </row>
    <row r="101" spans="1:20" s="93" customFormat="1" x14ac:dyDescent="0.25">
      <c r="A101" s="106">
        <f t="shared" si="8"/>
        <v>0</v>
      </c>
      <c r="B101" s="42" t="str">
        <f t="shared" si="14"/>
        <v/>
      </c>
      <c r="C101" s="43"/>
      <c r="D101" s="43"/>
      <c r="E101" s="43"/>
      <c r="F101" s="43"/>
      <c r="G101" s="88"/>
      <c r="H101" s="107">
        <v>96</v>
      </c>
      <c r="I101" s="108" t="str">
        <f t="shared" si="9"/>
        <v/>
      </c>
      <c r="J101" s="107">
        <f t="shared" si="10"/>
        <v>-1</v>
      </c>
      <c r="K101" s="107">
        <f t="shared" si="11"/>
        <v>-10</v>
      </c>
      <c r="L101" s="107"/>
      <c r="M101" s="109">
        <f t="shared" si="12"/>
        <v>0</v>
      </c>
      <c r="N101" s="109">
        <f t="shared" si="13"/>
        <v>0</v>
      </c>
      <c r="O101" s="88"/>
      <c r="P101" s="88"/>
      <c r="Q101" s="88"/>
      <c r="R101" s="88"/>
      <c r="S101" s="88"/>
    </row>
    <row r="102" spans="1:20" s="93" customFormat="1" x14ac:dyDescent="0.25">
      <c r="A102" s="102">
        <f t="shared" si="8"/>
        <v>0</v>
      </c>
      <c r="B102" s="36" t="str">
        <f t="shared" si="14"/>
        <v/>
      </c>
      <c r="C102" s="37"/>
      <c r="D102" s="37"/>
      <c r="E102" s="37"/>
      <c r="F102" s="37"/>
      <c r="G102" s="88"/>
      <c r="H102" s="103">
        <v>97</v>
      </c>
      <c r="I102" s="104" t="str">
        <f t="shared" si="9"/>
        <v/>
      </c>
      <c r="J102" s="103">
        <f t="shared" si="10"/>
        <v>-1</v>
      </c>
      <c r="K102" s="103">
        <f t="shared" si="11"/>
        <v>-10</v>
      </c>
      <c r="L102" s="103"/>
      <c r="M102" s="105">
        <f t="shared" si="12"/>
        <v>0</v>
      </c>
      <c r="N102" s="105">
        <f t="shared" si="13"/>
        <v>0</v>
      </c>
      <c r="O102" s="88"/>
      <c r="P102" s="88"/>
      <c r="Q102" s="88"/>
      <c r="R102" s="88"/>
      <c r="S102" s="117"/>
      <c r="T102" s="118"/>
    </row>
    <row r="103" spans="1:20" s="93" customFormat="1" x14ac:dyDescent="0.25">
      <c r="A103" s="106">
        <f t="shared" si="8"/>
        <v>0</v>
      </c>
      <c r="B103" s="42" t="str">
        <f t="shared" si="14"/>
        <v/>
      </c>
      <c r="C103" s="43"/>
      <c r="D103" s="43"/>
      <c r="E103" s="43"/>
      <c r="F103" s="43"/>
      <c r="G103" s="88"/>
      <c r="H103" s="107">
        <v>98</v>
      </c>
      <c r="I103" s="108" t="str">
        <f t="shared" si="9"/>
        <v/>
      </c>
      <c r="J103" s="107">
        <f t="shared" si="10"/>
        <v>-1</v>
      </c>
      <c r="K103" s="107">
        <f t="shared" si="11"/>
        <v>-10</v>
      </c>
      <c r="L103" s="107"/>
      <c r="M103" s="109">
        <f t="shared" si="12"/>
        <v>0</v>
      </c>
      <c r="N103" s="109">
        <f t="shared" si="13"/>
        <v>0</v>
      </c>
      <c r="O103" s="88"/>
      <c r="P103" s="88"/>
      <c r="Q103" s="88"/>
      <c r="R103" s="88"/>
      <c r="S103" s="88"/>
    </row>
    <row r="104" spans="1:20" s="93" customFormat="1" x14ac:dyDescent="0.25">
      <c r="A104" s="102">
        <f t="shared" si="8"/>
        <v>0</v>
      </c>
      <c r="B104" s="36" t="str">
        <f t="shared" si="14"/>
        <v/>
      </c>
      <c r="C104" s="37"/>
      <c r="D104" s="37"/>
      <c r="E104" s="37"/>
      <c r="F104" s="37"/>
      <c r="G104" s="88"/>
      <c r="H104" s="103">
        <v>99</v>
      </c>
      <c r="I104" s="104" t="str">
        <f t="shared" si="9"/>
        <v/>
      </c>
      <c r="J104" s="103">
        <f t="shared" si="10"/>
        <v>-1</v>
      </c>
      <c r="K104" s="103">
        <f t="shared" si="11"/>
        <v>-10</v>
      </c>
      <c r="L104" s="103"/>
      <c r="M104" s="105">
        <f t="shared" si="12"/>
        <v>0</v>
      </c>
      <c r="N104" s="105">
        <f t="shared" si="13"/>
        <v>0</v>
      </c>
      <c r="O104" s="88"/>
      <c r="P104" s="88"/>
      <c r="Q104" s="88"/>
      <c r="R104" s="88"/>
      <c r="S104" s="117"/>
      <c r="T104" s="118"/>
    </row>
    <row r="105" spans="1:20" s="93" customFormat="1" x14ac:dyDescent="0.25">
      <c r="A105" s="106">
        <f t="shared" si="8"/>
        <v>0</v>
      </c>
      <c r="B105" s="42" t="str">
        <f t="shared" si="14"/>
        <v/>
      </c>
      <c r="C105" s="43"/>
      <c r="D105" s="43"/>
      <c r="E105" s="43"/>
      <c r="F105" s="43"/>
      <c r="G105" s="88"/>
      <c r="H105" s="107">
        <v>100</v>
      </c>
      <c r="I105" s="108" t="str">
        <f t="shared" si="9"/>
        <v/>
      </c>
      <c r="J105" s="107">
        <f t="shared" si="10"/>
        <v>-1</v>
      </c>
      <c r="K105" s="107">
        <f t="shared" si="11"/>
        <v>-10</v>
      </c>
      <c r="L105" s="107"/>
      <c r="M105" s="109">
        <f t="shared" si="12"/>
        <v>0</v>
      </c>
      <c r="N105" s="109">
        <f t="shared" si="13"/>
        <v>0</v>
      </c>
      <c r="O105" s="88"/>
      <c r="P105" s="88"/>
      <c r="Q105" s="88"/>
      <c r="R105" s="88"/>
      <c r="S105" s="88"/>
    </row>
    <row r="106" spans="1:20" s="93" customFormat="1" x14ac:dyDescent="0.25">
      <c r="A106" s="102">
        <f t="shared" si="8"/>
        <v>0</v>
      </c>
      <c r="B106" s="36" t="str">
        <f t="shared" si="14"/>
        <v/>
      </c>
      <c r="C106" s="37"/>
      <c r="D106" s="37"/>
      <c r="E106" s="37"/>
      <c r="F106" s="37"/>
      <c r="G106" s="88"/>
      <c r="H106" s="103">
        <v>101</v>
      </c>
      <c r="I106" s="104" t="str">
        <f t="shared" si="9"/>
        <v/>
      </c>
      <c r="J106" s="103">
        <f t="shared" si="10"/>
        <v>-1</v>
      </c>
      <c r="K106" s="103">
        <f t="shared" si="11"/>
        <v>-10</v>
      </c>
      <c r="L106" s="103"/>
      <c r="M106" s="105">
        <f t="shared" si="12"/>
        <v>0</v>
      </c>
      <c r="N106" s="105">
        <f t="shared" si="13"/>
        <v>0</v>
      </c>
      <c r="O106" s="88"/>
      <c r="P106" s="88"/>
      <c r="Q106" s="88"/>
      <c r="R106" s="88"/>
      <c r="S106" s="117"/>
      <c r="T106" s="118"/>
    </row>
    <row r="107" spans="1:20" s="93" customFormat="1" x14ac:dyDescent="0.25">
      <c r="A107" s="106">
        <f t="shared" si="8"/>
        <v>0</v>
      </c>
      <c r="B107" s="42" t="str">
        <f t="shared" si="14"/>
        <v/>
      </c>
      <c r="C107" s="43"/>
      <c r="D107" s="43"/>
      <c r="E107" s="43"/>
      <c r="F107" s="43"/>
      <c r="G107" s="88"/>
      <c r="H107" s="107">
        <v>102</v>
      </c>
      <c r="I107" s="108" t="str">
        <f t="shared" si="9"/>
        <v/>
      </c>
      <c r="J107" s="107">
        <f t="shared" si="10"/>
        <v>-1</v>
      </c>
      <c r="K107" s="107">
        <f t="shared" si="11"/>
        <v>-10</v>
      </c>
      <c r="L107" s="107"/>
      <c r="M107" s="109">
        <f t="shared" si="12"/>
        <v>0</v>
      </c>
      <c r="N107" s="109">
        <f t="shared" si="13"/>
        <v>0</v>
      </c>
      <c r="O107" s="88"/>
      <c r="P107" s="88"/>
      <c r="Q107" s="88"/>
      <c r="R107" s="88"/>
      <c r="S107" s="88"/>
    </row>
    <row r="108" spans="1:20" s="93" customFormat="1" x14ac:dyDescent="0.25">
      <c r="A108" s="102">
        <f t="shared" si="8"/>
        <v>0</v>
      </c>
      <c r="B108" s="36" t="str">
        <f t="shared" si="14"/>
        <v/>
      </c>
      <c r="C108" s="37"/>
      <c r="D108" s="37"/>
      <c r="E108" s="37"/>
      <c r="F108" s="37"/>
      <c r="G108" s="88"/>
      <c r="H108" s="103">
        <v>103</v>
      </c>
      <c r="I108" s="104" t="str">
        <f t="shared" si="9"/>
        <v/>
      </c>
      <c r="J108" s="103">
        <f t="shared" si="10"/>
        <v>-1</v>
      </c>
      <c r="K108" s="103">
        <f t="shared" si="11"/>
        <v>-10</v>
      </c>
      <c r="L108" s="103"/>
      <c r="M108" s="105">
        <f t="shared" si="12"/>
        <v>0</v>
      </c>
      <c r="N108" s="105">
        <f t="shared" si="13"/>
        <v>0</v>
      </c>
      <c r="O108" s="88"/>
      <c r="P108" s="88"/>
      <c r="Q108" s="88"/>
      <c r="R108" s="88"/>
      <c r="S108" s="117"/>
      <c r="T108" s="118"/>
    </row>
    <row r="109" spans="1:20" s="93" customFormat="1" x14ac:dyDescent="0.25">
      <c r="A109" s="106">
        <f t="shared" si="8"/>
        <v>0</v>
      </c>
      <c r="B109" s="42" t="str">
        <f t="shared" si="14"/>
        <v/>
      </c>
      <c r="C109" s="43"/>
      <c r="D109" s="43"/>
      <c r="E109" s="43"/>
      <c r="F109" s="43"/>
      <c r="G109" s="88"/>
      <c r="H109" s="107">
        <v>104</v>
      </c>
      <c r="I109" s="108" t="str">
        <f t="shared" si="9"/>
        <v/>
      </c>
      <c r="J109" s="107">
        <f t="shared" si="10"/>
        <v>-1</v>
      </c>
      <c r="K109" s="107">
        <f t="shared" si="11"/>
        <v>-10</v>
      </c>
      <c r="L109" s="107"/>
      <c r="M109" s="109">
        <f t="shared" si="12"/>
        <v>0</v>
      </c>
      <c r="N109" s="109">
        <f t="shared" si="13"/>
        <v>0</v>
      </c>
      <c r="O109" s="88"/>
      <c r="P109" s="88"/>
      <c r="Q109" s="88"/>
      <c r="R109" s="88"/>
      <c r="S109" s="88"/>
    </row>
    <row r="110" spans="1:20" s="93" customFormat="1" x14ac:dyDescent="0.25">
      <c r="A110" s="102">
        <f t="shared" si="8"/>
        <v>0</v>
      </c>
      <c r="B110" s="36" t="str">
        <f t="shared" si="14"/>
        <v/>
      </c>
      <c r="C110" s="37"/>
      <c r="D110" s="37"/>
      <c r="E110" s="37"/>
      <c r="F110" s="37"/>
      <c r="G110" s="88"/>
      <c r="H110" s="103">
        <v>105</v>
      </c>
      <c r="I110" s="104" t="str">
        <f t="shared" si="9"/>
        <v/>
      </c>
      <c r="J110" s="103">
        <f t="shared" si="10"/>
        <v>-1</v>
      </c>
      <c r="K110" s="103">
        <f t="shared" si="11"/>
        <v>-10</v>
      </c>
      <c r="L110" s="103"/>
      <c r="M110" s="105">
        <f t="shared" si="12"/>
        <v>0</v>
      </c>
      <c r="N110" s="105">
        <f t="shared" si="13"/>
        <v>0</v>
      </c>
      <c r="O110" s="88"/>
      <c r="P110" s="88"/>
      <c r="Q110" s="88"/>
      <c r="R110" s="88"/>
      <c r="S110" s="117"/>
      <c r="T110" s="118"/>
    </row>
    <row r="111" spans="1:20" s="93" customFormat="1" x14ac:dyDescent="0.25">
      <c r="A111" s="106">
        <f t="shared" si="8"/>
        <v>0</v>
      </c>
      <c r="B111" s="42" t="str">
        <f t="shared" si="14"/>
        <v/>
      </c>
      <c r="C111" s="43"/>
      <c r="D111" s="43"/>
      <c r="E111" s="43"/>
      <c r="F111" s="43"/>
      <c r="G111" s="88"/>
      <c r="H111" s="107">
        <v>106</v>
      </c>
      <c r="I111" s="108" t="str">
        <f t="shared" si="9"/>
        <v/>
      </c>
      <c r="J111" s="107">
        <f t="shared" si="10"/>
        <v>-1</v>
      </c>
      <c r="K111" s="107">
        <f t="shared" si="11"/>
        <v>-10</v>
      </c>
      <c r="L111" s="107"/>
      <c r="M111" s="109">
        <f t="shared" si="12"/>
        <v>0</v>
      </c>
      <c r="N111" s="109">
        <f t="shared" si="13"/>
        <v>0</v>
      </c>
      <c r="O111" s="88"/>
      <c r="P111" s="88"/>
      <c r="Q111" s="88"/>
      <c r="R111" s="88"/>
      <c r="S111" s="88"/>
    </row>
    <row r="112" spans="1:20" s="93" customFormat="1" x14ac:dyDescent="0.25">
      <c r="A112" s="102">
        <f t="shared" si="8"/>
        <v>0</v>
      </c>
      <c r="B112" s="36" t="str">
        <f t="shared" si="14"/>
        <v/>
      </c>
      <c r="C112" s="37"/>
      <c r="D112" s="37"/>
      <c r="E112" s="37"/>
      <c r="F112" s="37"/>
      <c r="G112" s="88"/>
      <c r="H112" s="103">
        <v>107</v>
      </c>
      <c r="I112" s="104" t="str">
        <f t="shared" si="9"/>
        <v/>
      </c>
      <c r="J112" s="103">
        <f t="shared" si="10"/>
        <v>-1</v>
      </c>
      <c r="K112" s="103">
        <f t="shared" si="11"/>
        <v>-10</v>
      </c>
      <c r="L112" s="103"/>
      <c r="M112" s="105">
        <f t="shared" si="12"/>
        <v>0</v>
      </c>
      <c r="N112" s="105">
        <f t="shared" si="13"/>
        <v>0</v>
      </c>
      <c r="O112" s="88"/>
      <c r="P112" s="88"/>
      <c r="Q112" s="88"/>
      <c r="R112" s="88"/>
      <c r="S112" s="117"/>
      <c r="T112" s="118"/>
    </row>
    <row r="113" spans="1:20" s="93" customFormat="1" x14ac:dyDescent="0.25">
      <c r="A113" s="106">
        <f t="shared" si="8"/>
        <v>0</v>
      </c>
      <c r="B113" s="42" t="str">
        <f t="shared" si="14"/>
        <v/>
      </c>
      <c r="C113" s="43"/>
      <c r="D113" s="43"/>
      <c r="E113" s="43"/>
      <c r="F113" s="43"/>
      <c r="G113" s="88"/>
      <c r="H113" s="107">
        <v>108</v>
      </c>
      <c r="I113" s="108" t="str">
        <f t="shared" si="9"/>
        <v/>
      </c>
      <c r="J113" s="107">
        <f t="shared" si="10"/>
        <v>-1</v>
      </c>
      <c r="K113" s="107">
        <f t="shared" si="11"/>
        <v>-10</v>
      </c>
      <c r="L113" s="107"/>
      <c r="M113" s="109">
        <f t="shared" si="12"/>
        <v>0</v>
      </c>
      <c r="N113" s="109">
        <f t="shared" si="13"/>
        <v>0</v>
      </c>
      <c r="O113" s="88"/>
      <c r="P113" s="88"/>
      <c r="Q113" s="88"/>
      <c r="R113" s="88"/>
      <c r="S113" s="88"/>
    </row>
    <row r="114" spans="1:20" s="93" customFormat="1" x14ac:dyDescent="0.25">
      <c r="A114" s="102">
        <f t="shared" si="8"/>
        <v>0</v>
      </c>
      <c r="B114" s="36" t="str">
        <f t="shared" si="14"/>
        <v/>
      </c>
      <c r="C114" s="37"/>
      <c r="D114" s="37"/>
      <c r="E114" s="37"/>
      <c r="F114" s="37"/>
      <c r="G114" s="88"/>
      <c r="H114" s="103">
        <v>109</v>
      </c>
      <c r="I114" s="104" t="str">
        <f t="shared" si="9"/>
        <v/>
      </c>
      <c r="J114" s="103">
        <f t="shared" si="10"/>
        <v>-1</v>
      </c>
      <c r="K114" s="103">
        <f t="shared" si="11"/>
        <v>-10</v>
      </c>
      <c r="L114" s="103"/>
      <c r="M114" s="105">
        <f t="shared" si="12"/>
        <v>0</v>
      </c>
      <c r="N114" s="105">
        <f t="shared" si="13"/>
        <v>0</v>
      </c>
      <c r="O114" s="88"/>
      <c r="P114" s="88"/>
      <c r="Q114" s="88"/>
      <c r="R114" s="88"/>
      <c r="S114" s="117"/>
      <c r="T114" s="118"/>
    </row>
    <row r="115" spans="1:20" s="93" customFormat="1" x14ac:dyDescent="0.25">
      <c r="A115" s="106">
        <f t="shared" si="8"/>
        <v>0</v>
      </c>
      <c r="B115" s="42" t="str">
        <f t="shared" si="14"/>
        <v/>
      </c>
      <c r="C115" s="43"/>
      <c r="D115" s="43"/>
      <c r="E115" s="43"/>
      <c r="F115" s="43"/>
      <c r="G115" s="88"/>
      <c r="H115" s="107">
        <v>110</v>
      </c>
      <c r="I115" s="108" t="str">
        <f t="shared" si="9"/>
        <v/>
      </c>
      <c r="J115" s="107">
        <f t="shared" si="10"/>
        <v>-1</v>
      </c>
      <c r="K115" s="107">
        <f t="shared" si="11"/>
        <v>-10</v>
      </c>
      <c r="L115" s="107"/>
      <c r="M115" s="109">
        <f t="shared" si="12"/>
        <v>0</v>
      </c>
      <c r="N115" s="109">
        <f t="shared" si="13"/>
        <v>0</v>
      </c>
      <c r="O115" s="88"/>
      <c r="P115" s="88"/>
      <c r="Q115" s="88"/>
      <c r="R115" s="88"/>
      <c r="S115" s="88"/>
    </row>
    <row r="116" spans="1:20" s="93" customFormat="1" x14ac:dyDescent="0.25">
      <c r="A116" s="102">
        <f t="shared" si="8"/>
        <v>0</v>
      </c>
      <c r="B116" s="36" t="str">
        <f t="shared" si="14"/>
        <v/>
      </c>
      <c r="C116" s="37"/>
      <c r="D116" s="37"/>
      <c r="E116" s="37"/>
      <c r="F116" s="37"/>
      <c r="G116" s="88"/>
      <c r="H116" s="103">
        <v>111</v>
      </c>
      <c r="I116" s="104" t="str">
        <f t="shared" si="9"/>
        <v/>
      </c>
      <c r="J116" s="103">
        <f t="shared" si="10"/>
        <v>-1</v>
      </c>
      <c r="K116" s="103">
        <f t="shared" si="11"/>
        <v>-10</v>
      </c>
      <c r="L116" s="103"/>
      <c r="M116" s="105">
        <f t="shared" si="12"/>
        <v>0</v>
      </c>
      <c r="N116" s="105">
        <f t="shared" si="13"/>
        <v>0</v>
      </c>
      <c r="O116" s="88"/>
      <c r="P116" s="88"/>
      <c r="Q116" s="88"/>
      <c r="R116" s="88"/>
      <c r="S116" s="117"/>
      <c r="T116" s="118"/>
    </row>
    <row r="117" spans="1:20" s="93" customFormat="1" x14ac:dyDescent="0.25">
      <c r="A117" s="106">
        <f t="shared" si="8"/>
        <v>0</v>
      </c>
      <c r="B117" s="42" t="str">
        <f t="shared" si="14"/>
        <v/>
      </c>
      <c r="C117" s="43"/>
      <c r="D117" s="43"/>
      <c r="E117" s="43"/>
      <c r="F117" s="43"/>
      <c r="G117" s="88"/>
      <c r="H117" s="107">
        <v>112</v>
      </c>
      <c r="I117" s="108" t="str">
        <f t="shared" si="9"/>
        <v/>
      </c>
      <c r="J117" s="107">
        <f t="shared" si="10"/>
        <v>-1</v>
      </c>
      <c r="K117" s="107">
        <f t="shared" si="11"/>
        <v>-10</v>
      </c>
      <c r="L117" s="107"/>
      <c r="M117" s="109">
        <f t="shared" si="12"/>
        <v>0</v>
      </c>
      <c r="N117" s="109">
        <f t="shared" si="13"/>
        <v>0</v>
      </c>
      <c r="O117" s="88"/>
      <c r="P117" s="88"/>
      <c r="Q117" s="88"/>
      <c r="R117" s="88"/>
      <c r="S117" s="88"/>
    </row>
    <row r="118" spans="1:20" s="93" customFormat="1" x14ac:dyDescent="0.25">
      <c r="A118" s="102">
        <f t="shared" si="8"/>
        <v>0</v>
      </c>
      <c r="B118" s="36" t="str">
        <f t="shared" si="14"/>
        <v/>
      </c>
      <c r="C118" s="37"/>
      <c r="D118" s="37"/>
      <c r="E118" s="37"/>
      <c r="F118" s="37"/>
      <c r="G118" s="88"/>
      <c r="H118" s="103">
        <v>113</v>
      </c>
      <c r="I118" s="104" t="str">
        <f t="shared" si="9"/>
        <v/>
      </c>
      <c r="J118" s="103">
        <f t="shared" si="10"/>
        <v>-1</v>
      </c>
      <c r="K118" s="103">
        <f t="shared" si="11"/>
        <v>-10</v>
      </c>
      <c r="L118" s="103"/>
      <c r="M118" s="105">
        <f t="shared" si="12"/>
        <v>0</v>
      </c>
      <c r="N118" s="105">
        <f t="shared" si="13"/>
        <v>0</v>
      </c>
      <c r="O118" s="88"/>
      <c r="P118" s="88"/>
      <c r="Q118" s="88"/>
      <c r="R118" s="88"/>
      <c r="S118" s="117"/>
      <c r="T118" s="118"/>
    </row>
    <row r="119" spans="1:20" s="93" customFormat="1" x14ac:dyDescent="0.25">
      <c r="A119" s="106">
        <f t="shared" si="8"/>
        <v>0</v>
      </c>
      <c r="B119" s="42" t="str">
        <f t="shared" si="14"/>
        <v/>
      </c>
      <c r="C119" s="43"/>
      <c r="D119" s="43"/>
      <c r="E119" s="43"/>
      <c r="F119" s="43"/>
      <c r="G119" s="88"/>
      <c r="H119" s="107">
        <v>114</v>
      </c>
      <c r="I119" s="108" t="str">
        <f t="shared" si="9"/>
        <v/>
      </c>
      <c r="J119" s="107">
        <f t="shared" si="10"/>
        <v>-1</v>
      </c>
      <c r="K119" s="107">
        <f t="shared" si="11"/>
        <v>-10</v>
      </c>
      <c r="L119" s="107"/>
      <c r="M119" s="109">
        <f t="shared" si="12"/>
        <v>0</v>
      </c>
      <c r="N119" s="109">
        <f t="shared" si="13"/>
        <v>0</v>
      </c>
      <c r="O119" s="88"/>
      <c r="P119" s="88"/>
      <c r="Q119" s="88"/>
      <c r="R119" s="88"/>
      <c r="S119" s="88"/>
    </row>
    <row r="120" spans="1:20" s="93" customFormat="1" x14ac:dyDescent="0.25">
      <c r="A120" s="102">
        <f t="shared" si="8"/>
        <v>0</v>
      </c>
      <c r="B120" s="36" t="str">
        <f t="shared" si="14"/>
        <v/>
      </c>
      <c r="C120" s="37"/>
      <c r="D120" s="37"/>
      <c r="E120" s="37"/>
      <c r="F120" s="37"/>
      <c r="G120" s="88"/>
      <c r="H120" s="103">
        <v>115</v>
      </c>
      <c r="I120" s="104" t="str">
        <f t="shared" si="9"/>
        <v/>
      </c>
      <c r="J120" s="103">
        <f t="shared" si="10"/>
        <v>-1</v>
      </c>
      <c r="K120" s="103">
        <f t="shared" si="11"/>
        <v>-10</v>
      </c>
      <c r="L120" s="103"/>
      <c r="M120" s="105">
        <f t="shared" si="12"/>
        <v>0</v>
      </c>
      <c r="N120" s="105">
        <f t="shared" si="13"/>
        <v>0</v>
      </c>
      <c r="O120" s="88"/>
      <c r="P120" s="88"/>
      <c r="Q120" s="88"/>
      <c r="R120" s="88"/>
      <c r="S120" s="117"/>
      <c r="T120" s="118"/>
    </row>
    <row r="121" spans="1:20" s="93" customFormat="1" x14ac:dyDescent="0.25">
      <c r="A121" s="106">
        <f t="shared" si="8"/>
        <v>0</v>
      </c>
      <c r="B121" s="42" t="str">
        <f t="shared" si="14"/>
        <v/>
      </c>
      <c r="C121" s="43"/>
      <c r="D121" s="43"/>
      <c r="E121" s="43"/>
      <c r="F121" s="43"/>
      <c r="G121" s="88"/>
      <c r="H121" s="107">
        <v>116</v>
      </c>
      <c r="I121" s="108" t="str">
        <f t="shared" si="9"/>
        <v/>
      </c>
      <c r="J121" s="107">
        <f t="shared" si="10"/>
        <v>-1</v>
      </c>
      <c r="K121" s="107">
        <f t="shared" si="11"/>
        <v>-10</v>
      </c>
      <c r="L121" s="107"/>
      <c r="M121" s="109">
        <f t="shared" si="12"/>
        <v>0</v>
      </c>
      <c r="N121" s="109">
        <f t="shared" si="13"/>
        <v>0</v>
      </c>
      <c r="O121" s="88"/>
      <c r="P121" s="88"/>
      <c r="Q121" s="88"/>
      <c r="R121" s="88"/>
      <c r="S121" s="88"/>
    </row>
    <row r="122" spans="1:20" s="93" customFormat="1" x14ac:dyDescent="0.25">
      <c r="A122" s="102">
        <f t="shared" si="8"/>
        <v>0</v>
      </c>
      <c r="B122" s="36" t="str">
        <f t="shared" si="14"/>
        <v/>
      </c>
      <c r="C122" s="37"/>
      <c r="D122" s="37"/>
      <c r="E122" s="37"/>
      <c r="F122" s="37"/>
      <c r="G122" s="88"/>
      <c r="H122" s="103">
        <v>117</v>
      </c>
      <c r="I122" s="104" t="str">
        <f t="shared" si="9"/>
        <v/>
      </c>
      <c r="J122" s="103">
        <f t="shared" si="10"/>
        <v>-1</v>
      </c>
      <c r="K122" s="103">
        <f t="shared" si="11"/>
        <v>-10</v>
      </c>
      <c r="L122" s="103"/>
      <c r="M122" s="105">
        <f t="shared" si="12"/>
        <v>0</v>
      </c>
      <c r="N122" s="105">
        <f t="shared" si="13"/>
        <v>0</v>
      </c>
      <c r="O122" s="88"/>
      <c r="P122" s="88"/>
      <c r="Q122" s="88"/>
      <c r="R122" s="88"/>
      <c r="S122" s="117"/>
      <c r="T122" s="118"/>
    </row>
    <row r="123" spans="1:20" s="93" customFormat="1" x14ac:dyDescent="0.25">
      <c r="A123" s="106">
        <f t="shared" si="8"/>
        <v>0</v>
      </c>
      <c r="B123" s="42" t="str">
        <f t="shared" si="14"/>
        <v/>
      </c>
      <c r="C123" s="43"/>
      <c r="D123" s="43"/>
      <c r="E123" s="43"/>
      <c r="F123" s="43"/>
      <c r="G123" s="88"/>
      <c r="H123" s="107">
        <v>118</v>
      </c>
      <c r="I123" s="108" t="str">
        <f t="shared" si="9"/>
        <v/>
      </c>
      <c r="J123" s="107">
        <f t="shared" si="10"/>
        <v>-1</v>
      </c>
      <c r="K123" s="107">
        <f t="shared" si="11"/>
        <v>-10</v>
      </c>
      <c r="L123" s="107"/>
      <c r="M123" s="109">
        <f t="shared" si="12"/>
        <v>0</v>
      </c>
      <c r="N123" s="109">
        <f t="shared" si="13"/>
        <v>0</v>
      </c>
      <c r="O123" s="88"/>
      <c r="P123" s="88"/>
      <c r="Q123" s="88"/>
      <c r="R123" s="88"/>
      <c r="S123" s="88"/>
    </row>
    <row r="124" spans="1:20" s="93" customFormat="1" x14ac:dyDescent="0.25">
      <c r="A124" s="102">
        <f t="shared" si="8"/>
        <v>0</v>
      </c>
      <c r="B124" s="36" t="str">
        <f t="shared" si="14"/>
        <v/>
      </c>
      <c r="C124" s="37"/>
      <c r="D124" s="37"/>
      <c r="E124" s="37"/>
      <c r="F124" s="37"/>
      <c r="G124" s="88"/>
      <c r="H124" s="103">
        <v>119</v>
      </c>
      <c r="I124" s="104" t="str">
        <f t="shared" si="9"/>
        <v/>
      </c>
      <c r="J124" s="103">
        <f t="shared" si="10"/>
        <v>-1</v>
      </c>
      <c r="K124" s="103">
        <f t="shared" si="11"/>
        <v>-10</v>
      </c>
      <c r="L124" s="103"/>
      <c r="M124" s="105">
        <f t="shared" si="12"/>
        <v>0</v>
      </c>
      <c r="N124" s="105">
        <f t="shared" si="13"/>
        <v>0</v>
      </c>
      <c r="O124" s="88"/>
      <c r="P124" s="88"/>
      <c r="Q124" s="88"/>
      <c r="R124" s="88"/>
      <c r="S124" s="117"/>
      <c r="T124" s="118"/>
    </row>
    <row r="125" spans="1:20" s="93" customFormat="1" x14ac:dyDescent="0.25">
      <c r="A125" s="106">
        <f t="shared" si="8"/>
        <v>0</v>
      </c>
      <c r="B125" s="42" t="str">
        <f t="shared" si="14"/>
        <v/>
      </c>
      <c r="C125" s="43"/>
      <c r="D125" s="43"/>
      <c r="E125" s="43"/>
      <c r="F125" s="43"/>
      <c r="G125" s="88"/>
      <c r="H125" s="107">
        <v>120</v>
      </c>
      <c r="I125" s="108" t="str">
        <f t="shared" si="9"/>
        <v/>
      </c>
      <c r="J125" s="107">
        <f t="shared" si="10"/>
        <v>-1</v>
      </c>
      <c r="K125" s="107">
        <f t="shared" si="11"/>
        <v>-10</v>
      </c>
      <c r="L125" s="107"/>
      <c r="M125" s="109">
        <f t="shared" si="12"/>
        <v>0</v>
      </c>
      <c r="N125" s="109">
        <f t="shared" si="13"/>
        <v>0</v>
      </c>
      <c r="O125" s="88"/>
      <c r="P125" s="88"/>
      <c r="Q125" s="88"/>
      <c r="R125" s="88"/>
      <c r="S125" s="88"/>
    </row>
    <row r="126" spans="1:20" s="93" customFormat="1" x14ac:dyDescent="0.25">
      <c r="A126" s="102">
        <f t="shared" si="8"/>
        <v>0</v>
      </c>
      <c r="B126" s="36" t="str">
        <f t="shared" si="14"/>
        <v/>
      </c>
      <c r="C126" s="37"/>
      <c r="D126" s="37"/>
      <c r="E126" s="37"/>
      <c r="F126" s="37"/>
      <c r="G126" s="88"/>
      <c r="H126" s="103">
        <v>121</v>
      </c>
      <c r="I126" s="104" t="str">
        <f t="shared" si="9"/>
        <v/>
      </c>
      <c r="J126" s="103">
        <f t="shared" si="10"/>
        <v>-1</v>
      </c>
      <c r="K126" s="103">
        <f t="shared" si="11"/>
        <v>-10</v>
      </c>
      <c r="L126" s="103"/>
      <c r="M126" s="105">
        <f t="shared" si="12"/>
        <v>0</v>
      </c>
      <c r="N126" s="105">
        <f t="shared" si="13"/>
        <v>0</v>
      </c>
      <c r="O126" s="88"/>
      <c r="P126" s="88"/>
      <c r="Q126" s="88"/>
      <c r="R126" s="88"/>
      <c r="S126" s="117"/>
      <c r="T126" s="118"/>
    </row>
    <row r="127" spans="1:20" s="93" customFormat="1" x14ac:dyDescent="0.25">
      <c r="A127" s="106">
        <f t="shared" si="8"/>
        <v>0</v>
      </c>
      <c r="B127" s="42" t="str">
        <f t="shared" si="14"/>
        <v/>
      </c>
      <c r="C127" s="43"/>
      <c r="D127" s="43"/>
      <c r="E127" s="43"/>
      <c r="F127" s="43"/>
      <c r="G127" s="88"/>
      <c r="H127" s="107">
        <v>122</v>
      </c>
      <c r="I127" s="108" t="str">
        <f t="shared" si="9"/>
        <v/>
      </c>
      <c r="J127" s="107">
        <f t="shared" si="10"/>
        <v>-1</v>
      </c>
      <c r="K127" s="107">
        <f t="shared" si="11"/>
        <v>-10</v>
      </c>
      <c r="L127" s="107"/>
      <c r="M127" s="109">
        <f t="shared" si="12"/>
        <v>0</v>
      </c>
      <c r="N127" s="109">
        <f t="shared" si="13"/>
        <v>0</v>
      </c>
      <c r="O127" s="88"/>
      <c r="P127" s="88"/>
      <c r="Q127" s="88"/>
      <c r="R127" s="88"/>
      <c r="S127" s="88"/>
    </row>
    <row r="128" spans="1:20" s="93" customFormat="1" x14ac:dyDescent="0.25">
      <c r="A128" s="102">
        <f t="shared" si="8"/>
        <v>0</v>
      </c>
      <c r="B128" s="36" t="str">
        <f t="shared" si="14"/>
        <v/>
      </c>
      <c r="C128" s="37"/>
      <c r="D128" s="37"/>
      <c r="E128" s="37"/>
      <c r="F128" s="37"/>
      <c r="G128" s="88"/>
      <c r="H128" s="103">
        <v>123</v>
      </c>
      <c r="I128" s="104" t="str">
        <f t="shared" si="9"/>
        <v/>
      </c>
      <c r="J128" s="103">
        <f t="shared" si="10"/>
        <v>-1</v>
      </c>
      <c r="K128" s="103">
        <f t="shared" si="11"/>
        <v>-10</v>
      </c>
      <c r="L128" s="103"/>
      <c r="M128" s="105">
        <f t="shared" si="12"/>
        <v>0</v>
      </c>
      <c r="N128" s="105">
        <f t="shared" si="13"/>
        <v>0</v>
      </c>
      <c r="O128" s="88"/>
      <c r="P128" s="88"/>
      <c r="Q128" s="88"/>
      <c r="R128" s="88"/>
      <c r="S128" s="117"/>
      <c r="T128" s="118"/>
    </row>
    <row r="129" spans="1:20" s="93" customFormat="1" x14ac:dyDescent="0.25">
      <c r="A129" s="106">
        <f t="shared" si="8"/>
        <v>0</v>
      </c>
      <c r="B129" s="42" t="str">
        <f t="shared" si="14"/>
        <v/>
      </c>
      <c r="C129" s="43"/>
      <c r="D129" s="43"/>
      <c r="E129" s="43"/>
      <c r="F129" s="43"/>
      <c r="G129" s="88"/>
      <c r="H129" s="107">
        <v>124</v>
      </c>
      <c r="I129" s="108" t="str">
        <f t="shared" si="9"/>
        <v/>
      </c>
      <c r="J129" s="107">
        <f t="shared" si="10"/>
        <v>-1</v>
      </c>
      <c r="K129" s="107">
        <f t="shared" si="11"/>
        <v>-10</v>
      </c>
      <c r="L129" s="107"/>
      <c r="M129" s="109">
        <f t="shared" si="12"/>
        <v>0</v>
      </c>
      <c r="N129" s="109">
        <f t="shared" si="13"/>
        <v>0</v>
      </c>
      <c r="O129" s="88"/>
      <c r="P129" s="88"/>
      <c r="Q129" s="88"/>
      <c r="R129" s="88"/>
      <c r="S129" s="88"/>
    </row>
    <row r="130" spans="1:20" s="93" customFormat="1" x14ac:dyDescent="0.25">
      <c r="A130" s="102">
        <f t="shared" si="8"/>
        <v>0</v>
      </c>
      <c r="B130" s="36" t="str">
        <f t="shared" si="14"/>
        <v/>
      </c>
      <c r="C130" s="37"/>
      <c r="D130" s="37"/>
      <c r="E130" s="37"/>
      <c r="F130" s="37"/>
      <c r="G130" s="88"/>
      <c r="H130" s="103">
        <v>125</v>
      </c>
      <c r="I130" s="104" t="str">
        <f t="shared" si="9"/>
        <v/>
      </c>
      <c r="J130" s="103">
        <f t="shared" si="10"/>
        <v>-1</v>
      </c>
      <c r="K130" s="103">
        <f t="shared" si="11"/>
        <v>-10</v>
      </c>
      <c r="L130" s="103"/>
      <c r="M130" s="105">
        <f t="shared" si="12"/>
        <v>0</v>
      </c>
      <c r="N130" s="105">
        <f t="shared" si="13"/>
        <v>0</v>
      </c>
      <c r="O130" s="88"/>
      <c r="P130" s="88"/>
      <c r="Q130" s="88"/>
      <c r="R130" s="88"/>
      <c r="S130" s="117"/>
      <c r="T130" s="118"/>
    </row>
    <row r="131" spans="1:20" s="93" customFormat="1" x14ac:dyDescent="0.25">
      <c r="A131" s="106">
        <f t="shared" si="8"/>
        <v>0</v>
      </c>
      <c r="B131" s="42" t="str">
        <f t="shared" si="14"/>
        <v/>
      </c>
      <c r="C131" s="43"/>
      <c r="D131" s="43"/>
      <c r="E131" s="43"/>
      <c r="F131" s="43"/>
      <c r="G131" s="88"/>
      <c r="H131" s="107">
        <v>126</v>
      </c>
      <c r="I131" s="108" t="str">
        <f t="shared" si="9"/>
        <v/>
      </c>
      <c r="J131" s="107">
        <f t="shared" si="10"/>
        <v>-1</v>
      </c>
      <c r="K131" s="107">
        <f t="shared" si="11"/>
        <v>-10</v>
      </c>
      <c r="L131" s="107"/>
      <c r="M131" s="109">
        <f t="shared" si="12"/>
        <v>0</v>
      </c>
      <c r="N131" s="109">
        <f t="shared" si="13"/>
        <v>0</v>
      </c>
      <c r="O131" s="88"/>
      <c r="P131" s="88"/>
      <c r="Q131" s="88"/>
      <c r="R131" s="88"/>
      <c r="S131" s="88"/>
    </row>
    <row r="132" spans="1:20" s="93" customFormat="1" x14ac:dyDescent="0.25">
      <c r="A132" s="102">
        <f t="shared" si="8"/>
        <v>0</v>
      </c>
      <c r="B132" s="36" t="str">
        <f t="shared" si="14"/>
        <v/>
      </c>
      <c r="C132" s="37"/>
      <c r="D132" s="37"/>
      <c r="E132" s="37"/>
      <c r="F132" s="37"/>
      <c r="G132" s="88"/>
      <c r="H132" s="103">
        <v>127</v>
      </c>
      <c r="I132" s="104" t="str">
        <f t="shared" si="9"/>
        <v/>
      </c>
      <c r="J132" s="103">
        <f t="shared" si="10"/>
        <v>-1</v>
      </c>
      <c r="K132" s="103">
        <f t="shared" si="11"/>
        <v>-10</v>
      </c>
      <c r="L132" s="103"/>
      <c r="M132" s="105">
        <f t="shared" si="12"/>
        <v>0</v>
      </c>
      <c r="N132" s="105">
        <f t="shared" si="13"/>
        <v>0</v>
      </c>
      <c r="O132" s="88"/>
      <c r="P132" s="88"/>
      <c r="Q132" s="88"/>
      <c r="R132" s="88"/>
      <c r="S132" s="117"/>
      <c r="T132" s="118"/>
    </row>
    <row r="133" spans="1:20" s="93" customFormat="1" x14ac:dyDescent="0.25">
      <c r="A133" s="106">
        <f t="shared" si="8"/>
        <v>0</v>
      </c>
      <c r="B133" s="42" t="str">
        <f t="shared" si="14"/>
        <v/>
      </c>
      <c r="C133" s="43"/>
      <c r="D133" s="43"/>
      <c r="E133" s="43"/>
      <c r="F133" s="43"/>
      <c r="G133" s="88"/>
      <c r="H133" s="107">
        <v>128</v>
      </c>
      <c r="I133" s="108" t="str">
        <f t="shared" si="9"/>
        <v/>
      </c>
      <c r="J133" s="107">
        <f t="shared" si="10"/>
        <v>-1</v>
      </c>
      <c r="K133" s="107">
        <f t="shared" si="11"/>
        <v>-10</v>
      </c>
      <c r="L133" s="107"/>
      <c r="M133" s="109">
        <f t="shared" si="12"/>
        <v>0</v>
      </c>
      <c r="N133" s="109">
        <f t="shared" si="13"/>
        <v>0</v>
      </c>
      <c r="O133" s="88"/>
      <c r="P133" s="88"/>
      <c r="Q133" s="88"/>
      <c r="R133" s="88"/>
      <c r="S133" s="88"/>
    </row>
    <row r="134" spans="1:20" s="93" customFormat="1" x14ac:dyDescent="0.25">
      <c r="A134" s="102">
        <f t="shared" ref="A134:A197" si="15">N134</f>
        <v>0</v>
      </c>
      <c r="B134" s="36" t="str">
        <f t="shared" si="14"/>
        <v/>
      </c>
      <c r="C134" s="37"/>
      <c r="D134" s="37"/>
      <c r="E134" s="37"/>
      <c r="F134" s="37"/>
      <c r="G134" s="88"/>
      <c r="H134" s="103">
        <v>129</v>
      </c>
      <c r="I134" s="104" t="str">
        <f t="shared" ref="I134:I197" si="16">IF(H134&lt;$H$2+1,($I$2-($I$2-1)*(LOG(H134)/LOG($H$2))),"")</f>
        <v/>
      </c>
      <c r="J134" s="103">
        <f t="shared" ref="J134:J197" si="17">INT(LOG($H$2,2))-ROUNDUP(LOG(H134,2),0)+IF(OR($H$2=1,$H$2=2,$H$2=4,$H$2=8,$H$2=16,$H$2=32,$H$2=64,$H$2=128,$H$2=256),0,1)</f>
        <v>-2</v>
      </c>
      <c r="K134" s="103">
        <f t="shared" ref="K134:K197" si="18">J134*$J$2</f>
        <v>-20</v>
      </c>
      <c r="L134" s="103"/>
      <c r="M134" s="105">
        <f t="shared" ref="M134:M197" si="19">IF(I134&lt;&gt;"",K134+I134+L134,0)</f>
        <v>0</v>
      </c>
      <c r="N134" s="105">
        <f t="shared" ref="N134:N197" si="20">IF(I134&lt;&gt;"",M134*L$2,0)</f>
        <v>0</v>
      </c>
      <c r="O134" s="88"/>
      <c r="P134" s="88"/>
      <c r="Q134" s="88"/>
      <c r="R134" s="88"/>
      <c r="S134" s="117"/>
      <c r="T134" s="118"/>
    </row>
    <row r="135" spans="1:20" s="93" customFormat="1" x14ac:dyDescent="0.25">
      <c r="A135" s="106">
        <f t="shared" si="15"/>
        <v>0</v>
      </c>
      <c r="B135" s="42" t="str">
        <f t="shared" si="14"/>
        <v/>
      </c>
      <c r="C135" s="43"/>
      <c r="D135" s="43"/>
      <c r="E135" s="43"/>
      <c r="F135" s="43"/>
      <c r="G135" s="88"/>
      <c r="H135" s="107">
        <v>130</v>
      </c>
      <c r="I135" s="108" t="str">
        <f t="shared" si="16"/>
        <v/>
      </c>
      <c r="J135" s="107">
        <f t="shared" si="17"/>
        <v>-2</v>
      </c>
      <c r="K135" s="107">
        <f t="shared" si="18"/>
        <v>-20</v>
      </c>
      <c r="L135" s="107"/>
      <c r="M135" s="109">
        <f t="shared" si="19"/>
        <v>0</v>
      </c>
      <c r="N135" s="109">
        <f t="shared" si="20"/>
        <v>0</v>
      </c>
      <c r="O135" s="88"/>
      <c r="P135" s="88"/>
      <c r="Q135" s="88"/>
      <c r="R135" s="88"/>
      <c r="S135" s="88"/>
    </row>
    <row r="136" spans="1:20" s="93" customFormat="1" x14ac:dyDescent="0.25">
      <c r="A136" s="102">
        <f t="shared" si="15"/>
        <v>0</v>
      </c>
      <c r="B136" s="36" t="str">
        <f t="shared" si="14"/>
        <v/>
      </c>
      <c r="C136" s="37"/>
      <c r="D136" s="37"/>
      <c r="E136" s="37"/>
      <c r="F136" s="37"/>
      <c r="G136" s="88"/>
      <c r="H136" s="103">
        <v>131</v>
      </c>
      <c r="I136" s="104" t="str">
        <f t="shared" si="16"/>
        <v/>
      </c>
      <c r="J136" s="103">
        <f t="shared" si="17"/>
        <v>-2</v>
      </c>
      <c r="K136" s="103">
        <f t="shared" si="18"/>
        <v>-20</v>
      </c>
      <c r="L136" s="103"/>
      <c r="M136" s="105">
        <f t="shared" si="19"/>
        <v>0</v>
      </c>
      <c r="N136" s="105">
        <f t="shared" si="20"/>
        <v>0</v>
      </c>
      <c r="O136" s="88"/>
      <c r="P136" s="88"/>
      <c r="Q136" s="88"/>
      <c r="R136" s="88"/>
      <c r="S136" s="117"/>
      <c r="T136" s="118"/>
    </row>
    <row r="137" spans="1:20" s="93" customFormat="1" x14ac:dyDescent="0.25">
      <c r="A137" s="106">
        <f t="shared" si="15"/>
        <v>0</v>
      </c>
      <c r="B137" s="42" t="str">
        <f t="shared" si="14"/>
        <v/>
      </c>
      <c r="C137" s="43"/>
      <c r="D137" s="43"/>
      <c r="E137" s="43"/>
      <c r="F137" s="43"/>
      <c r="G137" s="88"/>
      <c r="H137" s="107">
        <v>132</v>
      </c>
      <c r="I137" s="108" t="str">
        <f t="shared" si="16"/>
        <v/>
      </c>
      <c r="J137" s="107">
        <f t="shared" si="17"/>
        <v>-2</v>
      </c>
      <c r="K137" s="107">
        <f t="shared" si="18"/>
        <v>-20</v>
      </c>
      <c r="L137" s="107"/>
      <c r="M137" s="109">
        <f t="shared" si="19"/>
        <v>0</v>
      </c>
      <c r="N137" s="109">
        <f t="shared" si="20"/>
        <v>0</v>
      </c>
      <c r="O137" s="88"/>
      <c r="P137" s="88"/>
      <c r="Q137" s="88"/>
      <c r="R137" s="88"/>
      <c r="S137" s="88"/>
    </row>
    <row r="138" spans="1:20" s="93" customFormat="1" x14ac:dyDescent="0.25">
      <c r="A138" s="102">
        <f t="shared" si="15"/>
        <v>0</v>
      </c>
      <c r="B138" s="36" t="str">
        <f t="shared" ref="B138:B201" si="21">IF(H138&gt;$H$2,"",(ROW()-5))</f>
        <v/>
      </c>
      <c r="C138" s="37"/>
      <c r="D138" s="37"/>
      <c r="E138" s="37"/>
      <c r="F138" s="37"/>
      <c r="G138" s="88"/>
      <c r="H138" s="103">
        <v>133</v>
      </c>
      <c r="I138" s="104" t="str">
        <f t="shared" si="16"/>
        <v/>
      </c>
      <c r="J138" s="103">
        <f t="shared" si="17"/>
        <v>-2</v>
      </c>
      <c r="K138" s="103">
        <f t="shared" si="18"/>
        <v>-20</v>
      </c>
      <c r="L138" s="103"/>
      <c r="M138" s="105">
        <f t="shared" si="19"/>
        <v>0</v>
      </c>
      <c r="N138" s="105">
        <f t="shared" si="20"/>
        <v>0</v>
      </c>
      <c r="O138" s="88"/>
      <c r="P138" s="88"/>
      <c r="Q138" s="88"/>
      <c r="R138" s="88"/>
      <c r="S138" s="117"/>
      <c r="T138" s="118"/>
    </row>
    <row r="139" spans="1:20" s="93" customFormat="1" x14ac:dyDescent="0.25">
      <c r="A139" s="106">
        <f t="shared" si="15"/>
        <v>0</v>
      </c>
      <c r="B139" s="42" t="str">
        <f t="shared" si="21"/>
        <v/>
      </c>
      <c r="C139" s="43"/>
      <c r="D139" s="43"/>
      <c r="E139" s="43"/>
      <c r="F139" s="43"/>
      <c r="G139" s="88"/>
      <c r="H139" s="107">
        <v>134</v>
      </c>
      <c r="I139" s="108" t="str">
        <f t="shared" si="16"/>
        <v/>
      </c>
      <c r="J139" s="107">
        <f t="shared" si="17"/>
        <v>-2</v>
      </c>
      <c r="K139" s="107">
        <f t="shared" si="18"/>
        <v>-20</v>
      </c>
      <c r="L139" s="107"/>
      <c r="M139" s="109">
        <f t="shared" si="19"/>
        <v>0</v>
      </c>
      <c r="N139" s="109">
        <f t="shared" si="20"/>
        <v>0</v>
      </c>
      <c r="O139" s="88"/>
      <c r="P139" s="88"/>
      <c r="Q139" s="88"/>
      <c r="R139" s="88"/>
      <c r="S139" s="88"/>
    </row>
    <row r="140" spans="1:20" s="93" customFormat="1" x14ac:dyDescent="0.25">
      <c r="A140" s="102">
        <f t="shared" si="15"/>
        <v>0</v>
      </c>
      <c r="B140" s="36" t="str">
        <f t="shared" si="21"/>
        <v/>
      </c>
      <c r="C140" s="37"/>
      <c r="D140" s="37"/>
      <c r="E140" s="37"/>
      <c r="F140" s="37"/>
      <c r="G140" s="88"/>
      <c r="H140" s="103">
        <v>135</v>
      </c>
      <c r="I140" s="104" t="str">
        <f t="shared" si="16"/>
        <v/>
      </c>
      <c r="J140" s="103">
        <f t="shared" si="17"/>
        <v>-2</v>
      </c>
      <c r="K140" s="103">
        <f t="shared" si="18"/>
        <v>-20</v>
      </c>
      <c r="L140" s="103"/>
      <c r="M140" s="105">
        <f t="shared" si="19"/>
        <v>0</v>
      </c>
      <c r="N140" s="105">
        <f t="shared" si="20"/>
        <v>0</v>
      </c>
      <c r="O140" s="88"/>
      <c r="P140" s="88"/>
      <c r="Q140" s="88"/>
      <c r="R140" s="88"/>
      <c r="S140" s="117"/>
      <c r="T140" s="118"/>
    </row>
    <row r="141" spans="1:20" s="93" customFormat="1" x14ac:dyDescent="0.25">
      <c r="A141" s="106">
        <f t="shared" si="15"/>
        <v>0</v>
      </c>
      <c r="B141" s="42" t="str">
        <f t="shared" si="21"/>
        <v/>
      </c>
      <c r="C141" s="43"/>
      <c r="D141" s="43"/>
      <c r="E141" s="43"/>
      <c r="F141" s="43"/>
      <c r="G141" s="88"/>
      <c r="H141" s="107">
        <v>136</v>
      </c>
      <c r="I141" s="108" t="str">
        <f t="shared" si="16"/>
        <v/>
      </c>
      <c r="J141" s="107">
        <f t="shared" si="17"/>
        <v>-2</v>
      </c>
      <c r="K141" s="107">
        <f t="shared" si="18"/>
        <v>-20</v>
      </c>
      <c r="L141" s="107"/>
      <c r="M141" s="109">
        <f t="shared" si="19"/>
        <v>0</v>
      </c>
      <c r="N141" s="109">
        <f t="shared" si="20"/>
        <v>0</v>
      </c>
      <c r="O141" s="88"/>
      <c r="P141" s="88"/>
      <c r="Q141" s="88"/>
      <c r="R141" s="88"/>
      <c r="S141" s="88"/>
    </row>
    <row r="142" spans="1:20" s="93" customFormat="1" x14ac:dyDescent="0.25">
      <c r="A142" s="102">
        <f t="shared" si="15"/>
        <v>0</v>
      </c>
      <c r="B142" s="36" t="str">
        <f t="shared" si="21"/>
        <v/>
      </c>
      <c r="C142" s="37"/>
      <c r="D142" s="37"/>
      <c r="E142" s="37"/>
      <c r="F142" s="37"/>
      <c r="G142" s="88"/>
      <c r="H142" s="103">
        <v>137</v>
      </c>
      <c r="I142" s="104" t="str">
        <f t="shared" si="16"/>
        <v/>
      </c>
      <c r="J142" s="103">
        <f t="shared" si="17"/>
        <v>-2</v>
      </c>
      <c r="K142" s="103">
        <f t="shared" si="18"/>
        <v>-20</v>
      </c>
      <c r="L142" s="103"/>
      <c r="M142" s="105">
        <f t="shared" si="19"/>
        <v>0</v>
      </c>
      <c r="N142" s="105">
        <f t="shared" si="20"/>
        <v>0</v>
      </c>
      <c r="O142" s="88"/>
      <c r="P142" s="88"/>
      <c r="Q142" s="88"/>
      <c r="R142" s="88"/>
      <c r="S142" s="117"/>
      <c r="T142" s="118"/>
    </row>
    <row r="143" spans="1:20" s="93" customFormat="1" x14ac:dyDescent="0.25">
      <c r="A143" s="106">
        <f t="shared" si="15"/>
        <v>0</v>
      </c>
      <c r="B143" s="42" t="str">
        <f t="shared" si="21"/>
        <v/>
      </c>
      <c r="C143" s="43"/>
      <c r="D143" s="43"/>
      <c r="E143" s="43"/>
      <c r="F143" s="43"/>
      <c r="G143" s="88"/>
      <c r="H143" s="107">
        <v>138</v>
      </c>
      <c r="I143" s="108" t="str">
        <f t="shared" si="16"/>
        <v/>
      </c>
      <c r="J143" s="107">
        <f t="shared" si="17"/>
        <v>-2</v>
      </c>
      <c r="K143" s="107">
        <f t="shared" si="18"/>
        <v>-20</v>
      </c>
      <c r="L143" s="107"/>
      <c r="M143" s="109">
        <f t="shared" si="19"/>
        <v>0</v>
      </c>
      <c r="N143" s="109">
        <f t="shared" si="20"/>
        <v>0</v>
      </c>
      <c r="O143" s="88"/>
      <c r="P143" s="88"/>
      <c r="Q143" s="88"/>
      <c r="R143" s="88"/>
      <c r="S143" s="88"/>
    </row>
    <row r="144" spans="1:20" s="93" customFormat="1" x14ac:dyDescent="0.25">
      <c r="A144" s="102">
        <f t="shared" si="15"/>
        <v>0</v>
      </c>
      <c r="B144" s="36" t="str">
        <f t="shared" si="21"/>
        <v/>
      </c>
      <c r="C144" s="37"/>
      <c r="D144" s="37"/>
      <c r="E144" s="37"/>
      <c r="F144" s="37"/>
      <c r="G144" s="88"/>
      <c r="H144" s="103">
        <v>139</v>
      </c>
      <c r="I144" s="104" t="str">
        <f t="shared" si="16"/>
        <v/>
      </c>
      <c r="J144" s="103">
        <f t="shared" si="17"/>
        <v>-2</v>
      </c>
      <c r="K144" s="103">
        <f t="shared" si="18"/>
        <v>-20</v>
      </c>
      <c r="L144" s="103"/>
      <c r="M144" s="105">
        <f t="shared" si="19"/>
        <v>0</v>
      </c>
      <c r="N144" s="105">
        <f t="shared" si="20"/>
        <v>0</v>
      </c>
      <c r="O144" s="88"/>
      <c r="P144" s="88"/>
      <c r="Q144" s="88"/>
      <c r="R144" s="88"/>
      <c r="S144" s="117"/>
      <c r="T144" s="118"/>
    </row>
    <row r="145" spans="1:20" s="93" customFormat="1" x14ac:dyDescent="0.25">
      <c r="A145" s="106">
        <f t="shared" si="15"/>
        <v>0</v>
      </c>
      <c r="B145" s="42" t="str">
        <f t="shared" si="21"/>
        <v/>
      </c>
      <c r="C145" s="43"/>
      <c r="D145" s="43"/>
      <c r="E145" s="43"/>
      <c r="F145" s="43"/>
      <c r="G145" s="88"/>
      <c r="H145" s="107">
        <v>140</v>
      </c>
      <c r="I145" s="108" t="str">
        <f t="shared" si="16"/>
        <v/>
      </c>
      <c r="J145" s="107">
        <f t="shared" si="17"/>
        <v>-2</v>
      </c>
      <c r="K145" s="107">
        <f t="shared" si="18"/>
        <v>-20</v>
      </c>
      <c r="L145" s="107"/>
      <c r="M145" s="109">
        <f t="shared" si="19"/>
        <v>0</v>
      </c>
      <c r="N145" s="109">
        <f t="shared" si="20"/>
        <v>0</v>
      </c>
      <c r="O145" s="88"/>
      <c r="P145" s="88"/>
      <c r="Q145" s="88"/>
      <c r="R145" s="88"/>
      <c r="S145" s="88"/>
    </row>
    <row r="146" spans="1:20" s="93" customFormat="1" x14ac:dyDescent="0.25">
      <c r="A146" s="102">
        <f t="shared" si="15"/>
        <v>0</v>
      </c>
      <c r="B146" s="36" t="str">
        <f t="shared" si="21"/>
        <v/>
      </c>
      <c r="C146" s="37"/>
      <c r="D146" s="37"/>
      <c r="E146" s="37"/>
      <c r="F146" s="37"/>
      <c r="G146" s="88"/>
      <c r="H146" s="103">
        <v>141</v>
      </c>
      <c r="I146" s="104" t="str">
        <f t="shared" si="16"/>
        <v/>
      </c>
      <c r="J146" s="103">
        <f t="shared" si="17"/>
        <v>-2</v>
      </c>
      <c r="K146" s="103">
        <f t="shared" si="18"/>
        <v>-20</v>
      </c>
      <c r="L146" s="103"/>
      <c r="M146" s="105">
        <f t="shared" si="19"/>
        <v>0</v>
      </c>
      <c r="N146" s="105">
        <f t="shared" si="20"/>
        <v>0</v>
      </c>
      <c r="O146" s="88"/>
      <c r="P146" s="88"/>
      <c r="Q146" s="88"/>
      <c r="R146" s="88"/>
      <c r="S146" s="117"/>
      <c r="T146" s="118"/>
    </row>
    <row r="147" spans="1:20" s="93" customFormat="1" x14ac:dyDescent="0.25">
      <c r="A147" s="106">
        <f t="shared" si="15"/>
        <v>0</v>
      </c>
      <c r="B147" s="42" t="str">
        <f t="shared" si="21"/>
        <v/>
      </c>
      <c r="C147" s="43"/>
      <c r="D147" s="43"/>
      <c r="E147" s="43"/>
      <c r="F147" s="43"/>
      <c r="G147" s="88"/>
      <c r="H147" s="107">
        <v>142</v>
      </c>
      <c r="I147" s="108" t="str">
        <f t="shared" si="16"/>
        <v/>
      </c>
      <c r="J147" s="107">
        <f t="shared" si="17"/>
        <v>-2</v>
      </c>
      <c r="K147" s="107">
        <f t="shared" si="18"/>
        <v>-20</v>
      </c>
      <c r="L147" s="107"/>
      <c r="M147" s="109">
        <f t="shared" si="19"/>
        <v>0</v>
      </c>
      <c r="N147" s="109">
        <f t="shared" si="20"/>
        <v>0</v>
      </c>
      <c r="O147" s="88"/>
      <c r="P147" s="88"/>
      <c r="Q147" s="88"/>
      <c r="R147" s="88"/>
      <c r="S147" s="88"/>
    </row>
    <row r="148" spans="1:20" s="93" customFormat="1" x14ac:dyDescent="0.25">
      <c r="A148" s="102">
        <f t="shared" si="15"/>
        <v>0</v>
      </c>
      <c r="B148" s="36" t="str">
        <f t="shared" si="21"/>
        <v/>
      </c>
      <c r="C148" s="37"/>
      <c r="D148" s="37"/>
      <c r="E148" s="37"/>
      <c r="F148" s="37"/>
      <c r="G148" s="88"/>
      <c r="H148" s="103">
        <v>143</v>
      </c>
      <c r="I148" s="104" t="str">
        <f t="shared" si="16"/>
        <v/>
      </c>
      <c r="J148" s="103">
        <f t="shared" si="17"/>
        <v>-2</v>
      </c>
      <c r="K148" s="103">
        <f t="shared" si="18"/>
        <v>-20</v>
      </c>
      <c r="L148" s="103"/>
      <c r="M148" s="105">
        <f t="shared" si="19"/>
        <v>0</v>
      </c>
      <c r="N148" s="105">
        <f t="shared" si="20"/>
        <v>0</v>
      </c>
      <c r="O148" s="88"/>
      <c r="P148" s="88"/>
      <c r="Q148" s="88"/>
      <c r="R148" s="88"/>
      <c r="S148" s="117"/>
      <c r="T148" s="118"/>
    </row>
    <row r="149" spans="1:20" s="93" customFormat="1" x14ac:dyDescent="0.25">
      <c r="A149" s="106">
        <f t="shared" si="15"/>
        <v>0</v>
      </c>
      <c r="B149" s="42" t="str">
        <f t="shared" si="21"/>
        <v/>
      </c>
      <c r="C149" s="43"/>
      <c r="D149" s="43"/>
      <c r="E149" s="43"/>
      <c r="F149" s="43"/>
      <c r="G149" s="88"/>
      <c r="H149" s="107">
        <v>144</v>
      </c>
      <c r="I149" s="108" t="str">
        <f t="shared" si="16"/>
        <v/>
      </c>
      <c r="J149" s="107">
        <f t="shared" si="17"/>
        <v>-2</v>
      </c>
      <c r="K149" s="107">
        <f t="shared" si="18"/>
        <v>-20</v>
      </c>
      <c r="L149" s="107"/>
      <c r="M149" s="109">
        <f t="shared" si="19"/>
        <v>0</v>
      </c>
      <c r="N149" s="109">
        <f t="shared" si="20"/>
        <v>0</v>
      </c>
      <c r="O149" s="88"/>
      <c r="P149" s="88"/>
      <c r="Q149" s="88"/>
      <c r="R149" s="88"/>
      <c r="S149" s="88"/>
    </row>
    <row r="150" spans="1:20" s="93" customFormat="1" x14ac:dyDescent="0.25">
      <c r="A150" s="102">
        <f t="shared" si="15"/>
        <v>0</v>
      </c>
      <c r="B150" s="36" t="str">
        <f t="shared" si="21"/>
        <v/>
      </c>
      <c r="C150" s="37"/>
      <c r="D150" s="37"/>
      <c r="E150" s="37"/>
      <c r="F150" s="37"/>
      <c r="G150" s="88"/>
      <c r="H150" s="103">
        <v>145</v>
      </c>
      <c r="I150" s="104" t="str">
        <f t="shared" si="16"/>
        <v/>
      </c>
      <c r="J150" s="103">
        <f t="shared" si="17"/>
        <v>-2</v>
      </c>
      <c r="K150" s="103">
        <f t="shared" si="18"/>
        <v>-20</v>
      </c>
      <c r="L150" s="103"/>
      <c r="M150" s="105">
        <f t="shared" si="19"/>
        <v>0</v>
      </c>
      <c r="N150" s="105">
        <f t="shared" si="20"/>
        <v>0</v>
      </c>
      <c r="O150" s="88"/>
      <c r="P150" s="88"/>
      <c r="Q150" s="88"/>
      <c r="R150" s="88"/>
      <c r="S150" s="117"/>
      <c r="T150" s="118"/>
    </row>
    <row r="151" spans="1:20" s="93" customFormat="1" x14ac:dyDescent="0.25">
      <c r="A151" s="106">
        <f t="shared" si="15"/>
        <v>0</v>
      </c>
      <c r="B151" s="42" t="str">
        <f t="shared" si="21"/>
        <v/>
      </c>
      <c r="C151" s="43"/>
      <c r="D151" s="43"/>
      <c r="E151" s="43"/>
      <c r="F151" s="43"/>
      <c r="G151" s="88"/>
      <c r="H151" s="107">
        <v>146</v>
      </c>
      <c r="I151" s="108" t="str">
        <f t="shared" si="16"/>
        <v/>
      </c>
      <c r="J151" s="107">
        <f t="shared" si="17"/>
        <v>-2</v>
      </c>
      <c r="K151" s="107">
        <f t="shared" si="18"/>
        <v>-20</v>
      </c>
      <c r="L151" s="107"/>
      <c r="M151" s="109">
        <f t="shared" si="19"/>
        <v>0</v>
      </c>
      <c r="N151" s="109">
        <f t="shared" si="20"/>
        <v>0</v>
      </c>
      <c r="O151" s="88"/>
      <c r="P151" s="88"/>
      <c r="Q151" s="88"/>
      <c r="R151" s="88"/>
      <c r="S151" s="88"/>
    </row>
    <row r="152" spans="1:20" s="93" customFormat="1" x14ac:dyDescent="0.25">
      <c r="A152" s="102">
        <f t="shared" si="15"/>
        <v>0</v>
      </c>
      <c r="B152" s="36" t="str">
        <f t="shared" si="21"/>
        <v/>
      </c>
      <c r="C152" s="37"/>
      <c r="D152" s="37"/>
      <c r="E152" s="37"/>
      <c r="F152" s="37"/>
      <c r="G152" s="88"/>
      <c r="H152" s="103">
        <v>147</v>
      </c>
      <c r="I152" s="104" t="str">
        <f t="shared" si="16"/>
        <v/>
      </c>
      <c r="J152" s="103">
        <f t="shared" si="17"/>
        <v>-2</v>
      </c>
      <c r="K152" s="103">
        <f t="shared" si="18"/>
        <v>-20</v>
      </c>
      <c r="L152" s="103"/>
      <c r="M152" s="105">
        <f t="shared" si="19"/>
        <v>0</v>
      </c>
      <c r="N152" s="105">
        <f t="shared" si="20"/>
        <v>0</v>
      </c>
      <c r="O152" s="88"/>
      <c r="P152" s="88"/>
      <c r="Q152" s="88"/>
      <c r="R152" s="88"/>
      <c r="S152" s="117"/>
      <c r="T152" s="118"/>
    </row>
    <row r="153" spans="1:20" s="93" customFormat="1" x14ac:dyDescent="0.25">
      <c r="A153" s="106">
        <f t="shared" si="15"/>
        <v>0</v>
      </c>
      <c r="B153" s="42" t="str">
        <f t="shared" si="21"/>
        <v/>
      </c>
      <c r="C153" s="43"/>
      <c r="D153" s="43"/>
      <c r="E153" s="43"/>
      <c r="F153" s="43"/>
      <c r="G153" s="88"/>
      <c r="H153" s="107">
        <v>148</v>
      </c>
      <c r="I153" s="108" t="str">
        <f t="shared" si="16"/>
        <v/>
      </c>
      <c r="J153" s="107">
        <f t="shared" si="17"/>
        <v>-2</v>
      </c>
      <c r="K153" s="107">
        <f t="shared" si="18"/>
        <v>-20</v>
      </c>
      <c r="L153" s="107"/>
      <c r="M153" s="109">
        <f t="shared" si="19"/>
        <v>0</v>
      </c>
      <c r="N153" s="109">
        <f t="shared" si="20"/>
        <v>0</v>
      </c>
      <c r="O153" s="88"/>
      <c r="P153" s="88"/>
      <c r="Q153" s="88"/>
      <c r="R153" s="88"/>
      <c r="S153" s="88"/>
    </row>
    <row r="154" spans="1:20" s="93" customFormat="1" x14ac:dyDescent="0.25">
      <c r="A154" s="102">
        <f t="shared" si="15"/>
        <v>0</v>
      </c>
      <c r="B154" s="36" t="str">
        <f t="shared" si="21"/>
        <v/>
      </c>
      <c r="C154" s="37"/>
      <c r="D154" s="37"/>
      <c r="E154" s="37"/>
      <c r="F154" s="37"/>
      <c r="G154" s="88"/>
      <c r="H154" s="103">
        <v>149</v>
      </c>
      <c r="I154" s="104" t="str">
        <f t="shared" si="16"/>
        <v/>
      </c>
      <c r="J154" s="103">
        <f t="shared" si="17"/>
        <v>-2</v>
      </c>
      <c r="K154" s="103">
        <f t="shared" si="18"/>
        <v>-20</v>
      </c>
      <c r="L154" s="103"/>
      <c r="M154" s="105">
        <f t="shared" si="19"/>
        <v>0</v>
      </c>
      <c r="N154" s="105">
        <f t="shared" si="20"/>
        <v>0</v>
      </c>
      <c r="O154" s="88"/>
      <c r="P154" s="88"/>
      <c r="Q154" s="88"/>
      <c r="R154" s="88"/>
      <c r="S154" s="117"/>
      <c r="T154" s="118"/>
    </row>
    <row r="155" spans="1:20" s="93" customFormat="1" x14ac:dyDescent="0.25">
      <c r="A155" s="106">
        <f t="shared" si="15"/>
        <v>0</v>
      </c>
      <c r="B155" s="42" t="str">
        <f t="shared" si="21"/>
        <v/>
      </c>
      <c r="C155" s="43"/>
      <c r="D155" s="43"/>
      <c r="E155" s="43"/>
      <c r="F155" s="43"/>
      <c r="G155" s="88"/>
      <c r="H155" s="107">
        <v>150</v>
      </c>
      <c r="I155" s="108" t="str">
        <f t="shared" si="16"/>
        <v/>
      </c>
      <c r="J155" s="107">
        <f t="shared" si="17"/>
        <v>-2</v>
      </c>
      <c r="K155" s="107">
        <f t="shared" si="18"/>
        <v>-20</v>
      </c>
      <c r="L155" s="107"/>
      <c r="M155" s="109">
        <f t="shared" si="19"/>
        <v>0</v>
      </c>
      <c r="N155" s="109">
        <f t="shared" si="20"/>
        <v>0</v>
      </c>
      <c r="O155" s="88"/>
      <c r="P155" s="88"/>
      <c r="Q155" s="88"/>
      <c r="R155" s="88"/>
      <c r="S155" s="88"/>
    </row>
    <row r="156" spans="1:20" s="93" customFormat="1" x14ac:dyDescent="0.25">
      <c r="A156" s="102">
        <f t="shared" si="15"/>
        <v>0</v>
      </c>
      <c r="B156" s="36" t="str">
        <f t="shared" si="21"/>
        <v/>
      </c>
      <c r="C156" s="37"/>
      <c r="D156" s="37"/>
      <c r="E156" s="37"/>
      <c r="F156" s="37"/>
      <c r="G156" s="88"/>
      <c r="H156" s="103">
        <v>151</v>
      </c>
      <c r="I156" s="104" t="str">
        <f t="shared" si="16"/>
        <v/>
      </c>
      <c r="J156" s="103">
        <f t="shared" si="17"/>
        <v>-2</v>
      </c>
      <c r="K156" s="103">
        <f t="shared" si="18"/>
        <v>-20</v>
      </c>
      <c r="L156" s="103"/>
      <c r="M156" s="105">
        <f t="shared" si="19"/>
        <v>0</v>
      </c>
      <c r="N156" s="105">
        <f t="shared" si="20"/>
        <v>0</v>
      </c>
      <c r="O156" s="88"/>
      <c r="P156" s="88"/>
      <c r="Q156" s="88"/>
      <c r="R156" s="88"/>
      <c r="S156" s="117"/>
      <c r="T156" s="118"/>
    </row>
    <row r="157" spans="1:20" s="93" customFormat="1" x14ac:dyDescent="0.25">
      <c r="A157" s="106">
        <f t="shared" si="15"/>
        <v>0</v>
      </c>
      <c r="B157" s="42" t="str">
        <f t="shared" si="21"/>
        <v/>
      </c>
      <c r="C157" s="43"/>
      <c r="D157" s="43"/>
      <c r="E157" s="43"/>
      <c r="F157" s="43"/>
      <c r="G157" s="88"/>
      <c r="H157" s="107">
        <v>152</v>
      </c>
      <c r="I157" s="108" t="str">
        <f t="shared" si="16"/>
        <v/>
      </c>
      <c r="J157" s="107">
        <f t="shared" si="17"/>
        <v>-2</v>
      </c>
      <c r="K157" s="107">
        <f t="shared" si="18"/>
        <v>-20</v>
      </c>
      <c r="L157" s="107"/>
      <c r="M157" s="109">
        <f t="shared" si="19"/>
        <v>0</v>
      </c>
      <c r="N157" s="109">
        <f t="shared" si="20"/>
        <v>0</v>
      </c>
      <c r="O157" s="88"/>
      <c r="P157" s="88"/>
      <c r="Q157" s="88"/>
      <c r="R157" s="88"/>
      <c r="S157" s="88"/>
    </row>
    <row r="158" spans="1:20" s="93" customFormat="1" x14ac:dyDescent="0.25">
      <c r="A158" s="102">
        <f t="shared" si="15"/>
        <v>0</v>
      </c>
      <c r="B158" s="36" t="str">
        <f t="shared" si="21"/>
        <v/>
      </c>
      <c r="C158" s="37"/>
      <c r="D158" s="37"/>
      <c r="E158" s="37"/>
      <c r="F158" s="37"/>
      <c r="G158" s="88"/>
      <c r="H158" s="103">
        <v>153</v>
      </c>
      <c r="I158" s="104" t="str">
        <f t="shared" si="16"/>
        <v/>
      </c>
      <c r="J158" s="103">
        <f t="shared" si="17"/>
        <v>-2</v>
      </c>
      <c r="K158" s="103">
        <f t="shared" si="18"/>
        <v>-20</v>
      </c>
      <c r="L158" s="103"/>
      <c r="M158" s="105">
        <f t="shared" si="19"/>
        <v>0</v>
      </c>
      <c r="N158" s="105">
        <f t="shared" si="20"/>
        <v>0</v>
      </c>
      <c r="O158" s="88"/>
      <c r="P158" s="88"/>
      <c r="Q158" s="88"/>
      <c r="R158" s="88"/>
      <c r="S158" s="117"/>
      <c r="T158" s="118"/>
    </row>
    <row r="159" spans="1:20" s="93" customFormat="1" x14ac:dyDescent="0.25">
      <c r="A159" s="106">
        <f t="shared" si="15"/>
        <v>0</v>
      </c>
      <c r="B159" s="42" t="str">
        <f t="shared" si="21"/>
        <v/>
      </c>
      <c r="C159" s="43"/>
      <c r="D159" s="43"/>
      <c r="E159" s="43"/>
      <c r="F159" s="43"/>
      <c r="G159" s="88"/>
      <c r="H159" s="107">
        <v>154</v>
      </c>
      <c r="I159" s="108" t="str">
        <f t="shared" si="16"/>
        <v/>
      </c>
      <c r="J159" s="107">
        <f t="shared" si="17"/>
        <v>-2</v>
      </c>
      <c r="K159" s="107">
        <f t="shared" si="18"/>
        <v>-20</v>
      </c>
      <c r="L159" s="107"/>
      <c r="M159" s="109">
        <f t="shared" si="19"/>
        <v>0</v>
      </c>
      <c r="N159" s="109">
        <f t="shared" si="20"/>
        <v>0</v>
      </c>
      <c r="O159" s="88"/>
      <c r="P159" s="88"/>
      <c r="Q159" s="88"/>
      <c r="R159" s="88"/>
      <c r="S159" s="88"/>
    </row>
    <row r="160" spans="1:20" s="93" customFormat="1" x14ac:dyDescent="0.25">
      <c r="A160" s="102">
        <f t="shared" si="15"/>
        <v>0</v>
      </c>
      <c r="B160" s="36" t="str">
        <f t="shared" si="21"/>
        <v/>
      </c>
      <c r="C160" s="37"/>
      <c r="D160" s="37"/>
      <c r="E160" s="37"/>
      <c r="F160" s="37"/>
      <c r="G160" s="88"/>
      <c r="H160" s="103">
        <v>155</v>
      </c>
      <c r="I160" s="104" t="str">
        <f t="shared" si="16"/>
        <v/>
      </c>
      <c r="J160" s="103">
        <f t="shared" si="17"/>
        <v>-2</v>
      </c>
      <c r="K160" s="103">
        <f t="shared" si="18"/>
        <v>-20</v>
      </c>
      <c r="L160" s="103"/>
      <c r="M160" s="105">
        <f t="shared" si="19"/>
        <v>0</v>
      </c>
      <c r="N160" s="105">
        <f t="shared" si="20"/>
        <v>0</v>
      </c>
      <c r="O160" s="88"/>
      <c r="P160" s="88"/>
      <c r="Q160" s="88"/>
      <c r="R160" s="88"/>
      <c r="S160" s="117"/>
      <c r="T160" s="118"/>
    </row>
    <row r="161" spans="1:20" s="93" customFormat="1" x14ac:dyDescent="0.25">
      <c r="A161" s="106">
        <f t="shared" si="15"/>
        <v>0</v>
      </c>
      <c r="B161" s="42" t="str">
        <f t="shared" si="21"/>
        <v/>
      </c>
      <c r="C161" s="43"/>
      <c r="D161" s="43"/>
      <c r="E161" s="43"/>
      <c r="F161" s="43"/>
      <c r="G161" s="88"/>
      <c r="H161" s="107">
        <v>156</v>
      </c>
      <c r="I161" s="108" t="str">
        <f t="shared" si="16"/>
        <v/>
      </c>
      <c r="J161" s="107">
        <f t="shared" si="17"/>
        <v>-2</v>
      </c>
      <c r="K161" s="107">
        <f t="shared" si="18"/>
        <v>-20</v>
      </c>
      <c r="L161" s="107"/>
      <c r="M161" s="109">
        <f t="shared" si="19"/>
        <v>0</v>
      </c>
      <c r="N161" s="109">
        <f t="shared" si="20"/>
        <v>0</v>
      </c>
      <c r="O161" s="88"/>
      <c r="P161" s="88"/>
      <c r="Q161" s="88"/>
      <c r="R161" s="88"/>
      <c r="S161" s="88"/>
    </row>
    <row r="162" spans="1:20" s="93" customFormat="1" x14ac:dyDescent="0.25">
      <c r="A162" s="102">
        <f t="shared" si="15"/>
        <v>0</v>
      </c>
      <c r="B162" s="36" t="str">
        <f t="shared" si="21"/>
        <v/>
      </c>
      <c r="C162" s="37"/>
      <c r="D162" s="37"/>
      <c r="E162" s="37"/>
      <c r="F162" s="37"/>
      <c r="G162" s="88"/>
      <c r="H162" s="103">
        <v>157</v>
      </c>
      <c r="I162" s="104" t="str">
        <f t="shared" si="16"/>
        <v/>
      </c>
      <c r="J162" s="103">
        <f t="shared" si="17"/>
        <v>-2</v>
      </c>
      <c r="K162" s="103">
        <f t="shared" si="18"/>
        <v>-20</v>
      </c>
      <c r="L162" s="103"/>
      <c r="M162" s="105">
        <f t="shared" si="19"/>
        <v>0</v>
      </c>
      <c r="N162" s="105">
        <f t="shared" si="20"/>
        <v>0</v>
      </c>
      <c r="O162" s="88"/>
      <c r="P162" s="88"/>
      <c r="Q162" s="88"/>
      <c r="R162" s="88"/>
      <c r="S162" s="117"/>
      <c r="T162" s="118"/>
    </row>
    <row r="163" spans="1:20" s="93" customFormat="1" x14ac:dyDescent="0.25">
      <c r="A163" s="106">
        <f t="shared" si="15"/>
        <v>0</v>
      </c>
      <c r="B163" s="42" t="str">
        <f t="shared" si="21"/>
        <v/>
      </c>
      <c r="C163" s="43"/>
      <c r="D163" s="43"/>
      <c r="E163" s="43"/>
      <c r="F163" s="43"/>
      <c r="G163" s="88"/>
      <c r="H163" s="107">
        <v>158</v>
      </c>
      <c r="I163" s="108" t="str">
        <f t="shared" si="16"/>
        <v/>
      </c>
      <c r="J163" s="107">
        <f t="shared" si="17"/>
        <v>-2</v>
      </c>
      <c r="K163" s="107">
        <f t="shared" si="18"/>
        <v>-20</v>
      </c>
      <c r="L163" s="107"/>
      <c r="M163" s="109">
        <f t="shared" si="19"/>
        <v>0</v>
      </c>
      <c r="N163" s="109">
        <f t="shared" si="20"/>
        <v>0</v>
      </c>
      <c r="O163" s="88"/>
      <c r="P163" s="88"/>
      <c r="Q163" s="88"/>
      <c r="R163" s="88"/>
      <c r="S163" s="88"/>
    </row>
    <row r="164" spans="1:20" s="93" customFormat="1" x14ac:dyDescent="0.25">
      <c r="A164" s="102">
        <f t="shared" si="15"/>
        <v>0</v>
      </c>
      <c r="B164" s="36" t="str">
        <f t="shared" si="21"/>
        <v/>
      </c>
      <c r="C164" s="37"/>
      <c r="D164" s="37"/>
      <c r="E164" s="37"/>
      <c r="F164" s="37"/>
      <c r="G164" s="88"/>
      <c r="H164" s="103">
        <v>159</v>
      </c>
      <c r="I164" s="104" t="str">
        <f t="shared" si="16"/>
        <v/>
      </c>
      <c r="J164" s="103">
        <f t="shared" si="17"/>
        <v>-2</v>
      </c>
      <c r="K164" s="103">
        <f t="shared" si="18"/>
        <v>-20</v>
      </c>
      <c r="L164" s="103"/>
      <c r="M164" s="105">
        <f t="shared" si="19"/>
        <v>0</v>
      </c>
      <c r="N164" s="105">
        <f t="shared" si="20"/>
        <v>0</v>
      </c>
      <c r="O164" s="88"/>
      <c r="P164" s="88"/>
      <c r="Q164" s="88"/>
      <c r="R164" s="88"/>
      <c r="S164" s="117"/>
      <c r="T164" s="118"/>
    </row>
    <row r="165" spans="1:20" s="93" customFormat="1" x14ac:dyDescent="0.25">
      <c r="A165" s="106">
        <f t="shared" si="15"/>
        <v>0</v>
      </c>
      <c r="B165" s="42" t="str">
        <f t="shared" si="21"/>
        <v/>
      </c>
      <c r="C165" s="43"/>
      <c r="D165" s="43"/>
      <c r="E165" s="43"/>
      <c r="F165" s="43"/>
      <c r="G165" s="88"/>
      <c r="H165" s="107">
        <v>160</v>
      </c>
      <c r="I165" s="108" t="str">
        <f t="shared" si="16"/>
        <v/>
      </c>
      <c r="J165" s="107">
        <f t="shared" si="17"/>
        <v>-2</v>
      </c>
      <c r="K165" s="107">
        <f t="shared" si="18"/>
        <v>-20</v>
      </c>
      <c r="L165" s="107"/>
      <c r="M165" s="109">
        <f t="shared" si="19"/>
        <v>0</v>
      </c>
      <c r="N165" s="109">
        <f t="shared" si="20"/>
        <v>0</v>
      </c>
      <c r="O165" s="88"/>
      <c r="P165" s="88"/>
      <c r="Q165" s="88"/>
      <c r="R165" s="88"/>
      <c r="S165" s="88"/>
    </row>
    <row r="166" spans="1:20" s="93" customFormat="1" x14ac:dyDescent="0.25">
      <c r="A166" s="102">
        <f t="shared" si="15"/>
        <v>0</v>
      </c>
      <c r="B166" s="36" t="str">
        <f t="shared" si="21"/>
        <v/>
      </c>
      <c r="C166" s="37"/>
      <c r="D166" s="37"/>
      <c r="E166" s="37"/>
      <c r="F166" s="37"/>
      <c r="G166" s="88"/>
      <c r="H166" s="103">
        <v>161</v>
      </c>
      <c r="I166" s="104" t="str">
        <f t="shared" si="16"/>
        <v/>
      </c>
      <c r="J166" s="103">
        <f t="shared" si="17"/>
        <v>-2</v>
      </c>
      <c r="K166" s="103">
        <f t="shared" si="18"/>
        <v>-20</v>
      </c>
      <c r="L166" s="103"/>
      <c r="M166" s="105">
        <f t="shared" si="19"/>
        <v>0</v>
      </c>
      <c r="N166" s="105">
        <f t="shared" si="20"/>
        <v>0</v>
      </c>
      <c r="O166" s="88"/>
      <c r="P166" s="88"/>
      <c r="Q166" s="88"/>
      <c r="R166" s="88"/>
      <c r="S166" s="117"/>
      <c r="T166" s="118"/>
    </row>
    <row r="167" spans="1:20" s="93" customFormat="1" x14ac:dyDescent="0.25">
      <c r="A167" s="106">
        <f t="shared" si="15"/>
        <v>0</v>
      </c>
      <c r="B167" s="42" t="str">
        <f t="shared" si="21"/>
        <v/>
      </c>
      <c r="C167" s="43"/>
      <c r="D167" s="43"/>
      <c r="E167" s="43"/>
      <c r="F167" s="43"/>
      <c r="G167" s="88"/>
      <c r="H167" s="107">
        <v>162</v>
      </c>
      <c r="I167" s="108" t="str">
        <f t="shared" si="16"/>
        <v/>
      </c>
      <c r="J167" s="107">
        <f t="shared" si="17"/>
        <v>-2</v>
      </c>
      <c r="K167" s="107">
        <f t="shared" si="18"/>
        <v>-20</v>
      </c>
      <c r="L167" s="107"/>
      <c r="M167" s="109">
        <f t="shared" si="19"/>
        <v>0</v>
      </c>
      <c r="N167" s="109">
        <f t="shared" si="20"/>
        <v>0</v>
      </c>
      <c r="O167" s="88"/>
      <c r="P167" s="88"/>
      <c r="Q167" s="88"/>
      <c r="R167" s="88"/>
      <c r="S167" s="88"/>
    </row>
    <row r="168" spans="1:20" s="93" customFormat="1" x14ac:dyDescent="0.25">
      <c r="A168" s="102">
        <f t="shared" si="15"/>
        <v>0</v>
      </c>
      <c r="B168" s="36" t="str">
        <f t="shared" si="21"/>
        <v/>
      </c>
      <c r="C168" s="37"/>
      <c r="D168" s="37"/>
      <c r="E168" s="37"/>
      <c r="F168" s="37"/>
      <c r="G168" s="88"/>
      <c r="H168" s="103">
        <v>163</v>
      </c>
      <c r="I168" s="104" t="str">
        <f t="shared" si="16"/>
        <v/>
      </c>
      <c r="J168" s="103">
        <f t="shared" si="17"/>
        <v>-2</v>
      </c>
      <c r="K168" s="103">
        <f t="shared" si="18"/>
        <v>-20</v>
      </c>
      <c r="L168" s="103"/>
      <c r="M168" s="105">
        <f t="shared" si="19"/>
        <v>0</v>
      </c>
      <c r="N168" s="105">
        <f t="shared" si="20"/>
        <v>0</v>
      </c>
      <c r="O168" s="88"/>
      <c r="P168" s="88"/>
      <c r="Q168" s="88"/>
      <c r="R168" s="88"/>
      <c r="S168" s="117"/>
      <c r="T168" s="118"/>
    </row>
    <row r="169" spans="1:20" s="93" customFormat="1" x14ac:dyDescent="0.25">
      <c r="A169" s="106">
        <f t="shared" si="15"/>
        <v>0</v>
      </c>
      <c r="B169" s="42" t="str">
        <f t="shared" si="21"/>
        <v/>
      </c>
      <c r="C169" s="43"/>
      <c r="D169" s="43"/>
      <c r="E169" s="43"/>
      <c r="F169" s="43"/>
      <c r="G169" s="88"/>
      <c r="H169" s="107">
        <v>164</v>
      </c>
      <c r="I169" s="108" t="str">
        <f t="shared" si="16"/>
        <v/>
      </c>
      <c r="J169" s="107">
        <f t="shared" si="17"/>
        <v>-2</v>
      </c>
      <c r="K169" s="107">
        <f t="shared" si="18"/>
        <v>-20</v>
      </c>
      <c r="L169" s="107"/>
      <c r="M169" s="109">
        <f t="shared" si="19"/>
        <v>0</v>
      </c>
      <c r="N169" s="109">
        <f t="shared" si="20"/>
        <v>0</v>
      </c>
      <c r="O169" s="88"/>
      <c r="P169" s="88"/>
      <c r="Q169" s="88"/>
      <c r="R169" s="88"/>
      <c r="S169" s="88"/>
    </row>
    <row r="170" spans="1:20" s="93" customFormat="1" x14ac:dyDescent="0.25">
      <c r="A170" s="102">
        <f t="shared" si="15"/>
        <v>0</v>
      </c>
      <c r="B170" s="36" t="str">
        <f t="shared" si="21"/>
        <v/>
      </c>
      <c r="C170" s="37"/>
      <c r="D170" s="37"/>
      <c r="E170" s="37"/>
      <c r="F170" s="37"/>
      <c r="G170" s="88"/>
      <c r="H170" s="103">
        <v>165</v>
      </c>
      <c r="I170" s="104" t="str">
        <f t="shared" si="16"/>
        <v/>
      </c>
      <c r="J170" s="103">
        <f t="shared" si="17"/>
        <v>-2</v>
      </c>
      <c r="K170" s="103">
        <f t="shared" si="18"/>
        <v>-20</v>
      </c>
      <c r="L170" s="103"/>
      <c r="M170" s="105">
        <f t="shared" si="19"/>
        <v>0</v>
      </c>
      <c r="N170" s="105">
        <f t="shared" si="20"/>
        <v>0</v>
      </c>
      <c r="O170" s="88"/>
      <c r="P170" s="88"/>
      <c r="Q170" s="88"/>
      <c r="R170" s="88"/>
      <c r="S170" s="117"/>
      <c r="T170" s="118"/>
    </row>
    <row r="171" spans="1:20" s="93" customFormat="1" x14ac:dyDescent="0.25">
      <c r="A171" s="106">
        <f t="shared" si="15"/>
        <v>0</v>
      </c>
      <c r="B171" s="42" t="str">
        <f t="shared" si="21"/>
        <v/>
      </c>
      <c r="C171" s="43"/>
      <c r="D171" s="43"/>
      <c r="E171" s="43"/>
      <c r="F171" s="43"/>
      <c r="G171" s="88"/>
      <c r="H171" s="107">
        <v>166</v>
      </c>
      <c r="I171" s="108" t="str">
        <f t="shared" si="16"/>
        <v/>
      </c>
      <c r="J171" s="107">
        <f t="shared" si="17"/>
        <v>-2</v>
      </c>
      <c r="K171" s="107">
        <f t="shared" si="18"/>
        <v>-20</v>
      </c>
      <c r="L171" s="107"/>
      <c r="M171" s="109">
        <f t="shared" si="19"/>
        <v>0</v>
      </c>
      <c r="N171" s="109">
        <f t="shared" si="20"/>
        <v>0</v>
      </c>
      <c r="O171" s="88"/>
      <c r="P171" s="88"/>
      <c r="Q171" s="88"/>
      <c r="R171" s="88"/>
      <c r="S171" s="88"/>
    </row>
    <row r="172" spans="1:20" s="93" customFormat="1" x14ac:dyDescent="0.25">
      <c r="A172" s="102">
        <f t="shared" si="15"/>
        <v>0</v>
      </c>
      <c r="B172" s="36" t="str">
        <f t="shared" si="21"/>
        <v/>
      </c>
      <c r="C172" s="37"/>
      <c r="D172" s="37"/>
      <c r="E172" s="37"/>
      <c r="F172" s="37"/>
      <c r="G172" s="88"/>
      <c r="H172" s="103">
        <v>167</v>
      </c>
      <c r="I172" s="104" t="str">
        <f t="shared" si="16"/>
        <v/>
      </c>
      <c r="J172" s="103">
        <f t="shared" si="17"/>
        <v>-2</v>
      </c>
      <c r="K172" s="103">
        <f t="shared" si="18"/>
        <v>-20</v>
      </c>
      <c r="L172" s="103"/>
      <c r="M172" s="105">
        <f t="shared" si="19"/>
        <v>0</v>
      </c>
      <c r="N172" s="105">
        <f t="shared" si="20"/>
        <v>0</v>
      </c>
      <c r="O172" s="88"/>
      <c r="P172" s="88"/>
      <c r="Q172" s="88"/>
      <c r="R172" s="88"/>
      <c r="S172" s="117"/>
      <c r="T172" s="118"/>
    </row>
    <row r="173" spans="1:20" s="93" customFormat="1" x14ac:dyDescent="0.25">
      <c r="A173" s="106">
        <f t="shared" si="15"/>
        <v>0</v>
      </c>
      <c r="B173" s="42" t="str">
        <f t="shared" si="21"/>
        <v/>
      </c>
      <c r="C173" s="43"/>
      <c r="D173" s="43"/>
      <c r="E173" s="43"/>
      <c r="F173" s="43"/>
      <c r="G173" s="88"/>
      <c r="H173" s="107">
        <v>168</v>
      </c>
      <c r="I173" s="108" t="str">
        <f t="shared" si="16"/>
        <v/>
      </c>
      <c r="J173" s="107">
        <f t="shared" si="17"/>
        <v>-2</v>
      </c>
      <c r="K173" s="107">
        <f t="shared" si="18"/>
        <v>-20</v>
      </c>
      <c r="L173" s="107"/>
      <c r="M173" s="109">
        <f t="shared" si="19"/>
        <v>0</v>
      </c>
      <c r="N173" s="109">
        <f t="shared" si="20"/>
        <v>0</v>
      </c>
      <c r="O173" s="88"/>
      <c r="P173" s="88"/>
      <c r="Q173" s="88"/>
      <c r="R173" s="88"/>
      <c r="S173" s="88"/>
    </row>
    <row r="174" spans="1:20" s="93" customFormat="1" x14ac:dyDescent="0.25">
      <c r="A174" s="102">
        <f t="shared" si="15"/>
        <v>0</v>
      </c>
      <c r="B174" s="36" t="str">
        <f t="shared" si="21"/>
        <v/>
      </c>
      <c r="C174" s="37"/>
      <c r="D174" s="37"/>
      <c r="E174" s="37"/>
      <c r="F174" s="37"/>
      <c r="G174" s="88"/>
      <c r="H174" s="103">
        <v>169</v>
      </c>
      <c r="I174" s="104" t="str">
        <f t="shared" si="16"/>
        <v/>
      </c>
      <c r="J174" s="103">
        <f t="shared" si="17"/>
        <v>-2</v>
      </c>
      <c r="K174" s="103">
        <f t="shared" si="18"/>
        <v>-20</v>
      </c>
      <c r="L174" s="103"/>
      <c r="M174" s="105">
        <f t="shared" si="19"/>
        <v>0</v>
      </c>
      <c r="N174" s="105">
        <f t="shared" si="20"/>
        <v>0</v>
      </c>
      <c r="O174" s="88"/>
      <c r="P174" s="88"/>
      <c r="Q174" s="88"/>
      <c r="R174" s="88"/>
      <c r="S174" s="117"/>
      <c r="T174" s="118"/>
    </row>
    <row r="175" spans="1:20" s="93" customFormat="1" x14ac:dyDescent="0.25">
      <c r="A175" s="106">
        <f t="shared" si="15"/>
        <v>0</v>
      </c>
      <c r="B175" s="42" t="str">
        <f t="shared" si="21"/>
        <v/>
      </c>
      <c r="C175" s="43"/>
      <c r="D175" s="43"/>
      <c r="E175" s="43"/>
      <c r="F175" s="43"/>
      <c r="G175" s="88"/>
      <c r="H175" s="107">
        <v>170</v>
      </c>
      <c r="I175" s="108" t="str">
        <f t="shared" si="16"/>
        <v/>
      </c>
      <c r="J175" s="107">
        <f t="shared" si="17"/>
        <v>-2</v>
      </c>
      <c r="K175" s="107">
        <f t="shared" si="18"/>
        <v>-20</v>
      </c>
      <c r="L175" s="107"/>
      <c r="M175" s="109">
        <f t="shared" si="19"/>
        <v>0</v>
      </c>
      <c r="N175" s="109">
        <f t="shared" si="20"/>
        <v>0</v>
      </c>
      <c r="O175" s="88"/>
      <c r="P175" s="88"/>
      <c r="Q175" s="88"/>
      <c r="R175" s="88"/>
      <c r="S175" s="88"/>
    </row>
    <row r="176" spans="1:20" s="93" customFormat="1" x14ac:dyDescent="0.25">
      <c r="A176" s="102">
        <f t="shared" si="15"/>
        <v>0</v>
      </c>
      <c r="B176" s="36" t="str">
        <f t="shared" si="21"/>
        <v/>
      </c>
      <c r="C176" s="37"/>
      <c r="D176" s="37"/>
      <c r="E176" s="37"/>
      <c r="F176" s="37"/>
      <c r="G176" s="88"/>
      <c r="H176" s="103">
        <v>171</v>
      </c>
      <c r="I176" s="104" t="str">
        <f t="shared" si="16"/>
        <v/>
      </c>
      <c r="J176" s="103">
        <f t="shared" si="17"/>
        <v>-2</v>
      </c>
      <c r="K176" s="103">
        <f t="shared" si="18"/>
        <v>-20</v>
      </c>
      <c r="L176" s="103"/>
      <c r="M176" s="105">
        <f t="shared" si="19"/>
        <v>0</v>
      </c>
      <c r="N176" s="105">
        <f t="shared" si="20"/>
        <v>0</v>
      </c>
      <c r="O176" s="88"/>
      <c r="P176" s="88"/>
      <c r="Q176" s="88"/>
      <c r="R176" s="88"/>
      <c r="S176" s="117"/>
      <c r="T176" s="118"/>
    </row>
    <row r="177" spans="1:20" s="93" customFormat="1" x14ac:dyDescent="0.25">
      <c r="A177" s="106">
        <f t="shared" si="15"/>
        <v>0</v>
      </c>
      <c r="B177" s="42" t="str">
        <f t="shared" si="21"/>
        <v/>
      </c>
      <c r="C177" s="43"/>
      <c r="D177" s="43"/>
      <c r="E177" s="43"/>
      <c r="F177" s="43"/>
      <c r="G177" s="88"/>
      <c r="H177" s="107">
        <v>172</v>
      </c>
      <c r="I177" s="108" t="str">
        <f t="shared" si="16"/>
        <v/>
      </c>
      <c r="J177" s="107">
        <f t="shared" si="17"/>
        <v>-2</v>
      </c>
      <c r="K177" s="107">
        <f t="shared" si="18"/>
        <v>-20</v>
      </c>
      <c r="L177" s="107"/>
      <c r="M177" s="109">
        <f t="shared" si="19"/>
        <v>0</v>
      </c>
      <c r="N177" s="109">
        <f t="shared" si="20"/>
        <v>0</v>
      </c>
      <c r="O177" s="88"/>
      <c r="P177" s="88"/>
      <c r="Q177" s="88"/>
      <c r="R177" s="88"/>
      <c r="S177" s="88"/>
    </row>
    <row r="178" spans="1:20" s="93" customFormat="1" x14ac:dyDescent="0.25">
      <c r="A178" s="102">
        <f t="shared" si="15"/>
        <v>0</v>
      </c>
      <c r="B178" s="36" t="str">
        <f t="shared" si="21"/>
        <v/>
      </c>
      <c r="C178" s="37"/>
      <c r="D178" s="37"/>
      <c r="E178" s="37"/>
      <c r="F178" s="37"/>
      <c r="G178" s="88"/>
      <c r="H178" s="103">
        <v>173</v>
      </c>
      <c r="I178" s="104" t="str">
        <f t="shared" si="16"/>
        <v/>
      </c>
      <c r="J178" s="103">
        <f t="shared" si="17"/>
        <v>-2</v>
      </c>
      <c r="K178" s="103">
        <f t="shared" si="18"/>
        <v>-20</v>
      </c>
      <c r="L178" s="103"/>
      <c r="M178" s="105">
        <f t="shared" si="19"/>
        <v>0</v>
      </c>
      <c r="N178" s="105">
        <f t="shared" si="20"/>
        <v>0</v>
      </c>
      <c r="O178" s="88"/>
      <c r="P178" s="88"/>
      <c r="Q178" s="88"/>
      <c r="R178" s="88"/>
      <c r="S178" s="117"/>
      <c r="T178" s="118"/>
    </row>
    <row r="179" spans="1:20" s="93" customFormat="1" x14ac:dyDescent="0.25">
      <c r="A179" s="106">
        <f t="shared" si="15"/>
        <v>0</v>
      </c>
      <c r="B179" s="42" t="str">
        <f t="shared" si="21"/>
        <v/>
      </c>
      <c r="C179" s="43"/>
      <c r="D179" s="43"/>
      <c r="E179" s="43"/>
      <c r="F179" s="43"/>
      <c r="G179" s="88"/>
      <c r="H179" s="107">
        <v>174</v>
      </c>
      <c r="I179" s="108" t="str">
        <f t="shared" si="16"/>
        <v/>
      </c>
      <c r="J179" s="107">
        <f t="shared" si="17"/>
        <v>-2</v>
      </c>
      <c r="K179" s="107">
        <f t="shared" si="18"/>
        <v>-20</v>
      </c>
      <c r="L179" s="107"/>
      <c r="M179" s="109">
        <f t="shared" si="19"/>
        <v>0</v>
      </c>
      <c r="N179" s="109">
        <f t="shared" si="20"/>
        <v>0</v>
      </c>
      <c r="O179" s="88"/>
      <c r="P179" s="88"/>
      <c r="Q179" s="88"/>
      <c r="R179" s="88"/>
      <c r="S179" s="88"/>
    </row>
    <row r="180" spans="1:20" s="93" customFormat="1" x14ac:dyDescent="0.25">
      <c r="A180" s="102">
        <f t="shared" si="15"/>
        <v>0</v>
      </c>
      <c r="B180" s="36" t="str">
        <f t="shared" si="21"/>
        <v/>
      </c>
      <c r="C180" s="37"/>
      <c r="D180" s="37"/>
      <c r="E180" s="37"/>
      <c r="F180" s="37"/>
      <c r="G180" s="88"/>
      <c r="H180" s="103">
        <v>175</v>
      </c>
      <c r="I180" s="104" t="str">
        <f t="shared" si="16"/>
        <v/>
      </c>
      <c r="J180" s="103">
        <f t="shared" si="17"/>
        <v>-2</v>
      </c>
      <c r="K180" s="103">
        <f t="shared" si="18"/>
        <v>-20</v>
      </c>
      <c r="L180" s="103"/>
      <c r="M180" s="105">
        <f t="shared" si="19"/>
        <v>0</v>
      </c>
      <c r="N180" s="105">
        <f t="shared" si="20"/>
        <v>0</v>
      </c>
      <c r="O180" s="88"/>
      <c r="P180" s="88"/>
      <c r="Q180" s="88"/>
      <c r="R180" s="88"/>
      <c r="S180" s="117"/>
      <c r="T180" s="118"/>
    </row>
    <row r="181" spans="1:20" s="93" customFormat="1" x14ac:dyDescent="0.25">
      <c r="A181" s="106">
        <f t="shared" si="15"/>
        <v>0</v>
      </c>
      <c r="B181" s="42" t="str">
        <f t="shared" si="21"/>
        <v/>
      </c>
      <c r="C181" s="43"/>
      <c r="D181" s="43"/>
      <c r="E181" s="43"/>
      <c r="F181" s="43"/>
      <c r="G181" s="88"/>
      <c r="H181" s="107">
        <v>176</v>
      </c>
      <c r="I181" s="108" t="str">
        <f t="shared" si="16"/>
        <v/>
      </c>
      <c r="J181" s="107">
        <f t="shared" si="17"/>
        <v>-2</v>
      </c>
      <c r="K181" s="107">
        <f t="shared" si="18"/>
        <v>-20</v>
      </c>
      <c r="L181" s="107"/>
      <c r="M181" s="109">
        <f t="shared" si="19"/>
        <v>0</v>
      </c>
      <c r="N181" s="109">
        <f t="shared" si="20"/>
        <v>0</v>
      </c>
      <c r="O181" s="88"/>
      <c r="P181" s="88"/>
      <c r="Q181" s="88"/>
      <c r="R181" s="88"/>
      <c r="S181" s="88"/>
    </row>
    <row r="182" spans="1:20" s="93" customFormat="1" x14ac:dyDescent="0.25">
      <c r="A182" s="102">
        <f t="shared" si="15"/>
        <v>0</v>
      </c>
      <c r="B182" s="36" t="str">
        <f t="shared" si="21"/>
        <v/>
      </c>
      <c r="C182" s="37"/>
      <c r="D182" s="37"/>
      <c r="E182" s="37"/>
      <c r="F182" s="37"/>
      <c r="G182" s="88"/>
      <c r="H182" s="103">
        <v>177</v>
      </c>
      <c r="I182" s="104" t="str">
        <f t="shared" si="16"/>
        <v/>
      </c>
      <c r="J182" s="103">
        <f t="shared" si="17"/>
        <v>-2</v>
      </c>
      <c r="K182" s="103">
        <f t="shared" si="18"/>
        <v>-20</v>
      </c>
      <c r="L182" s="103"/>
      <c r="M182" s="105">
        <f t="shared" si="19"/>
        <v>0</v>
      </c>
      <c r="N182" s="105">
        <f t="shared" si="20"/>
        <v>0</v>
      </c>
      <c r="O182" s="88"/>
      <c r="P182" s="88"/>
      <c r="Q182" s="88"/>
      <c r="R182" s="88"/>
      <c r="S182" s="117"/>
      <c r="T182" s="118"/>
    </row>
    <row r="183" spans="1:20" s="93" customFormat="1" x14ac:dyDescent="0.25">
      <c r="A183" s="106">
        <f t="shared" si="15"/>
        <v>0</v>
      </c>
      <c r="B183" s="42" t="str">
        <f t="shared" si="21"/>
        <v/>
      </c>
      <c r="C183" s="43"/>
      <c r="D183" s="43"/>
      <c r="E183" s="43"/>
      <c r="F183" s="43"/>
      <c r="G183" s="88"/>
      <c r="H183" s="107">
        <v>178</v>
      </c>
      <c r="I183" s="108" t="str">
        <f t="shared" si="16"/>
        <v/>
      </c>
      <c r="J183" s="107">
        <f t="shared" si="17"/>
        <v>-2</v>
      </c>
      <c r="K183" s="107">
        <f t="shared" si="18"/>
        <v>-20</v>
      </c>
      <c r="L183" s="107"/>
      <c r="M183" s="109">
        <f t="shared" si="19"/>
        <v>0</v>
      </c>
      <c r="N183" s="109">
        <f t="shared" si="20"/>
        <v>0</v>
      </c>
      <c r="O183" s="88"/>
      <c r="P183" s="88"/>
      <c r="Q183" s="88"/>
      <c r="R183" s="88"/>
      <c r="S183" s="88"/>
    </row>
    <row r="184" spans="1:20" s="93" customFormat="1" x14ac:dyDescent="0.25">
      <c r="A184" s="102">
        <f t="shared" si="15"/>
        <v>0</v>
      </c>
      <c r="B184" s="36" t="str">
        <f t="shared" si="21"/>
        <v/>
      </c>
      <c r="C184" s="37"/>
      <c r="D184" s="37"/>
      <c r="E184" s="37"/>
      <c r="F184" s="37"/>
      <c r="G184" s="88"/>
      <c r="H184" s="103">
        <v>179</v>
      </c>
      <c r="I184" s="104" t="str">
        <f t="shared" si="16"/>
        <v/>
      </c>
      <c r="J184" s="103">
        <f t="shared" si="17"/>
        <v>-2</v>
      </c>
      <c r="K184" s="103">
        <f t="shared" si="18"/>
        <v>-20</v>
      </c>
      <c r="L184" s="103"/>
      <c r="M184" s="105">
        <f t="shared" si="19"/>
        <v>0</v>
      </c>
      <c r="N184" s="105">
        <f t="shared" si="20"/>
        <v>0</v>
      </c>
      <c r="O184" s="88"/>
      <c r="P184" s="88"/>
      <c r="Q184" s="88"/>
      <c r="R184" s="88"/>
      <c r="S184" s="117"/>
      <c r="T184" s="118"/>
    </row>
    <row r="185" spans="1:20" s="93" customFormat="1" x14ac:dyDescent="0.25">
      <c r="A185" s="106">
        <f t="shared" si="15"/>
        <v>0</v>
      </c>
      <c r="B185" s="42" t="str">
        <f t="shared" si="21"/>
        <v/>
      </c>
      <c r="C185" s="43"/>
      <c r="D185" s="43"/>
      <c r="E185" s="43"/>
      <c r="F185" s="43"/>
      <c r="G185" s="88"/>
      <c r="H185" s="107">
        <v>180</v>
      </c>
      <c r="I185" s="108" t="str">
        <f t="shared" si="16"/>
        <v/>
      </c>
      <c r="J185" s="107">
        <f t="shared" si="17"/>
        <v>-2</v>
      </c>
      <c r="K185" s="107">
        <f t="shared" si="18"/>
        <v>-20</v>
      </c>
      <c r="L185" s="107"/>
      <c r="M185" s="109">
        <f t="shared" si="19"/>
        <v>0</v>
      </c>
      <c r="N185" s="109">
        <f t="shared" si="20"/>
        <v>0</v>
      </c>
      <c r="O185" s="88"/>
      <c r="P185" s="88"/>
      <c r="Q185" s="88"/>
      <c r="R185" s="88"/>
      <c r="S185" s="88"/>
    </row>
    <row r="186" spans="1:20" s="93" customFormat="1" x14ac:dyDescent="0.25">
      <c r="A186" s="102">
        <f t="shared" si="15"/>
        <v>0</v>
      </c>
      <c r="B186" s="36" t="str">
        <f t="shared" si="21"/>
        <v/>
      </c>
      <c r="C186" s="37"/>
      <c r="D186" s="37"/>
      <c r="E186" s="37"/>
      <c r="F186" s="37"/>
      <c r="G186" s="88"/>
      <c r="H186" s="103">
        <v>181</v>
      </c>
      <c r="I186" s="104" t="str">
        <f t="shared" si="16"/>
        <v/>
      </c>
      <c r="J186" s="103">
        <f t="shared" si="17"/>
        <v>-2</v>
      </c>
      <c r="K186" s="103">
        <f t="shared" si="18"/>
        <v>-20</v>
      </c>
      <c r="L186" s="103"/>
      <c r="M186" s="105">
        <f t="shared" si="19"/>
        <v>0</v>
      </c>
      <c r="N186" s="105">
        <f t="shared" si="20"/>
        <v>0</v>
      </c>
      <c r="O186" s="88"/>
      <c r="P186" s="88"/>
      <c r="Q186" s="88"/>
      <c r="R186" s="88"/>
      <c r="S186" s="117"/>
      <c r="T186" s="118"/>
    </row>
    <row r="187" spans="1:20" s="93" customFormat="1" x14ac:dyDescent="0.25">
      <c r="A187" s="106">
        <f t="shared" si="15"/>
        <v>0</v>
      </c>
      <c r="B187" s="42" t="str">
        <f t="shared" si="21"/>
        <v/>
      </c>
      <c r="C187" s="43"/>
      <c r="D187" s="43"/>
      <c r="E187" s="43"/>
      <c r="F187" s="43"/>
      <c r="G187" s="88"/>
      <c r="H187" s="107">
        <v>182</v>
      </c>
      <c r="I187" s="108" t="str">
        <f t="shared" si="16"/>
        <v/>
      </c>
      <c r="J187" s="107">
        <f t="shared" si="17"/>
        <v>-2</v>
      </c>
      <c r="K187" s="107">
        <f t="shared" si="18"/>
        <v>-20</v>
      </c>
      <c r="L187" s="107"/>
      <c r="M187" s="109">
        <f t="shared" si="19"/>
        <v>0</v>
      </c>
      <c r="N187" s="109">
        <f t="shared" si="20"/>
        <v>0</v>
      </c>
      <c r="O187" s="88"/>
      <c r="P187" s="88"/>
      <c r="Q187" s="88"/>
      <c r="R187" s="88"/>
      <c r="S187" s="88"/>
    </row>
    <row r="188" spans="1:20" s="93" customFormat="1" x14ac:dyDescent="0.25">
      <c r="A188" s="102">
        <f t="shared" si="15"/>
        <v>0</v>
      </c>
      <c r="B188" s="36" t="str">
        <f t="shared" si="21"/>
        <v/>
      </c>
      <c r="C188" s="37"/>
      <c r="D188" s="37"/>
      <c r="E188" s="37"/>
      <c r="F188" s="37"/>
      <c r="G188" s="88"/>
      <c r="H188" s="103">
        <v>183</v>
      </c>
      <c r="I188" s="104" t="str">
        <f t="shared" si="16"/>
        <v/>
      </c>
      <c r="J188" s="103">
        <f t="shared" si="17"/>
        <v>-2</v>
      </c>
      <c r="K188" s="103">
        <f t="shared" si="18"/>
        <v>-20</v>
      </c>
      <c r="L188" s="103"/>
      <c r="M188" s="105">
        <f t="shared" si="19"/>
        <v>0</v>
      </c>
      <c r="N188" s="105">
        <f t="shared" si="20"/>
        <v>0</v>
      </c>
      <c r="O188" s="88"/>
      <c r="P188" s="88"/>
      <c r="Q188" s="88"/>
      <c r="R188" s="88"/>
      <c r="S188" s="117"/>
      <c r="T188" s="118"/>
    </row>
    <row r="189" spans="1:20" s="93" customFormat="1" x14ac:dyDescent="0.25">
      <c r="A189" s="106">
        <f t="shared" si="15"/>
        <v>0</v>
      </c>
      <c r="B189" s="42" t="str">
        <f t="shared" si="21"/>
        <v/>
      </c>
      <c r="C189" s="43"/>
      <c r="D189" s="43"/>
      <c r="E189" s="43"/>
      <c r="F189" s="43"/>
      <c r="G189" s="88"/>
      <c r="H189" s="107">
        <v>184</v>
      </c>
      <c r="I189" s="108" t="str">
        <f t="shared" si="16"/>
        <v/>
      </c>
      <c r="J189" s="107">
        <f t="shared" si="17"/>
        <v>-2</v>
      </c>
      <c r="K189" s="107">
        <f t="shared" si="18"/>
        <v>-20</v>
      </c>
      <c r="L189" s="107"/>
      <c r="M189" s="109">
        <f t="shared" si="19"/>
        <v>0</v>
      </c>
      <c r="N189" s="109">
        <f t="shared" si="20"/>
        <v>0</v>
      </c>
      <c r="O189" s="88"/>
      <c r="P189" s="88"/>
      <c r="Q189" s="88"/>
      <c r="R189" s="88"/>
      <c r="S189" s="88"/>
    </row>
    <row r="190" spans="1:20" s="93" customFormat="1" x14ac:dyDescent="0.25">
      <c r="A190" s="102">
        <f t="shared" si="15"/>
        <v>0</v>
      </c>
      <c r="B190" s="36" t="str">
        <f t="shared" si="21"/>
        <v/>
      </c>
      <c r="C190" s="37"/>
      <c r="D190" s="37"/>
      <c r="E190" s="37"/>
      <c r="F190" s="37"/>
      <c r="G190" s="88"/>
      <c r="H190" s="103">
        <v>185</v>
      </c>
      <c r="I190" s="104" t="str">
        <f t="shared" si="16"/>
        <v/>
      </c>
      <c r="J190" s="103">
        <f t="shared" si="17"/>
        <v>-2</v>
      </c>
      <c r="K190" s="103">
        <f t="shared" si="18"/>
        <v>-20</v>
      </c>
      <c r="L190" s="103"/>
      <c r="M190" s="105">
        <f t="shared" si="19"/>
        <v>0</v>
      </c>
      <c r="N190" s="105">
        <f t="shared" si="20"/>
        <v>0</v>
      </c>
      <c r="O190" s="88"/>
      <c r="P190" s="88"/>
      <c r="Q190" s="88"/>
      <c r="R190" s="88"/>
      <c r="S190" s="117"/>
      <c r="T190" s="118"/>
    </row>
    <row r="191" spans="1:20" s="93" customFormat="1" x14ac:dyDescent="0.25">
      <c r="A191" s="106">
        <f t="shared" si="15"/>
        <v>0</v>
      </c>
      <c r="B191" s="42" t="str">
        <f t="shared" si="21"/>
        <v/>
      </c>
      <c r="C191" s="43"/>
      <c r="D191" s="43"/>
      <c r="E191" s="43"/>
      <c r="F191" s="43"/>
      <c r="G191" s="88"/>
      <c r="H191" s="107">
        <v>186</v>
      </c>
      <c r="I191" s="108" t="str">
        <f t="shared" si="16"/>
        <v/>
      </c>
      <c r="J191" s="107">
        <f t="shared" si="17"/>
        <v>-2</v>
      </c>
      <c r="K191" s="107">
        <f t="shared" si="18"/>
        <v>-20</v>
      </c>
      <c r="L191" s="107"/>
      <c r="M191" s="109">
        <f t="shared" si="19"/>
        <v>0</v>
      </c>
      <c r="N191" s="109">
        <f t="shared" si="20"/>
        <v>0</v>
      </c>
      <c r="O191" s="88"/>
      <c r="P191" s="88"/>
      <c r="Q191" s="88"/>
      <c r="R191" s="88"/>
      <c r="S191" s="88"/>
    </row>
    <row r="192" spans="1:20" s="93" customFormat="1" x14ac:dyDescent="0.25">
      <c r="A192" s="102">
        <f t="shared" si="15"/>
        <v>0</v>
      </c>
      <c r="B192" s="36" t="str">
        <f t="shared" si="21"/>
        <v/>
      </c>
      <c r="C192" s="37"/>
      <c r="D192" s="37"/>
      <c r="E192" s="37"/>
      <c r="F192" s="37"/>
      <c r="G192" s="88"/>
      <c r="H192" s="103">
        <v>187</v>
      </c>
      <c r="I192" s="104" t="str">
        <f t="shared" si="16"/>
        <v/>
      </c>
      <c r="J192" s="103">
        <f t="shared" si="17"/>
        <v>-2</v>
      </c>
      <c r="K192" s="103">
        <f t="shared" si="18"/>
        <v>-20</v>
      </c>
      <c r="L192" s="103"/>
      <c r="M192" s="105">
        <f t="shared" si="19"/>
        <v>0</v>
      </c>
      <c r="N192" s="105">
        <f t="shared" si="20"/>
        <v>0</v>
      </c>
      <c r="O192" s="88"/>
      <c r="P192" s="88"/>
      <c r="Q192" s="88"/>
      <c r="R192" s="88"/>
      <c r="S192" s="117"/>
      <c r="T192" s="118"/>
    </row>
    <row r="193" spans="1:20" s="93" customFormat="1" x14ac:dyDescent="0.25">
      <c r="A193" s="106">
        <f t="shared" si="15"/>
        <v>0</v>
      </c>
      <c r="B193" s="42" t="str">
        <f t="shared" si="21"/>
        <v/>
      </c>
      <c r="C193" s="43"/>
      <c r="D193" s="43"/>
      <c r="E193" s="43"/>
      <c r="F193" s="43"/>
      <c r="G193" s="88"/>
      <c r="H193" s="107">
        <v>188</v>
      </c>
      <c r="I193" s="108" t="str">
        <f t="shared" si="16"/>
        <v/>
      </c>
      <c r="J193" s="107">
        <f t="shared" si="17"/>
        <v>-2</v>
      </c>
      <c r="K193" s="107">
        <f t="shared" si="18"/>
        <v>-20</v>
      </c>
      <c r="L193" s="107"/>
      <c r="M193" s="109">
        <f t="shared" si="19"/>
        <v>0</v>
      </c>
      <c r="N193" s="109">
        <f t="shared" si="20"/>
        <v>0</v>
      </c>
      <c r="O193" s="88"/>
      <c r="P193" s="88"/>
      <c r="Q193" s="88"/>
      <c r="R193" s="88"/>
      <c r="S193" s="88"/>
    </row>
    <row r="194" spans="1:20" s="93" customFormat="1" x14ac:dyDescent="0.25">
      <c r="A194" s="102">
        <f t="shared" si="15"/>
        <v>0</v>
      </c>
      <c r="B194" s="36" t="str">
        <f t="shared" si="21"/>
        <v/>
      </c>
      <c r="C194" s="37"/>
      <c r="D194" s="37"/>
      <c r="E194" s="37"/>
      <c r="F194" s="37"/>
      <c r="G194" s="88"/>
      <c r="H194" s="103">
        <v>189</v>
      </c>
      <c r="I194" s="104" t="str">
        <f t="shared" si="16"/>
        <v/>
      </c>
      <c r="J194" s="103">
        <f t="shared" si="17"/>
        <v>-2</v>
      </c>
      <c r="K194" s="103">
        <f t="shared" si="18"/>
        <v>-20</v>
      </c>
      <c r="L194" s="103"/>
      <c r="M194" s="105">
        <f t="shared" si="19"/>
        <v>0</v>
      </c>
      <c r="N194" s="105">
        <f t="shared" si="20"/>
        <v>0</v>
      </c>
      <c r="O194" s="88"/>
      <c r="P194" s="88"/>
      <c r="Q194" s="88"/>
      <c r="R194" s="88"/>
      <c r="S194" s="117"/>
      <c r="T194" s="118"/>
    </row>
    <row r="195" spans="1:20" s="93" customFormat="1" x14ac:dyDescent="0.25">
      <c r="A195" s="106">
        <f t="shared" si="15"/>
        <v>0</v>
      </c>
      <c r="B195" s="42" t="str">
        <f t="shared" si="21"/>
        <v/>
      </c>
      <c r="C195" s="43"/>
      <c r="D195" s="43"/>
      <c r="E195" s="43"/>
      <c r="F195" s="43"/>
      <c r="G195" s="88"/>
      <c r="H195" s="107">
        <v>190</v>
      </c>
      <c r="I195" s="108" t="str">
        <f t="shared" si="16"/>
        <v/>
      </c>
      <c r="J195" s="107">
        <f t="shared" si="17"/>
        <v>-2</v>
      </c>
      <c r="K195" s="107">
        <f t="shared" si="18"/>
        <v>-20</v>
      </c>
      <c r="L195" s="107"/>
      <c r="M195" s="109">
        <f t="shared" si="19"/>
        <v>0</v>
      </c>
      <c r="N195" s="109">
        <f t="shared" si="20"/>
        <v>0</v>
      </c>
      <c r="O195" s="88"/>
      <c r="P195" s="88"/>
      <c r="Q195" s="88"/>
      <c r="R195" s="88"/>
      <c r="S195" s="88"/>
    </row>
    <row r="196" spans="1:20" s="93" customFormat="1" x14ac:dyDescent="0.25">
      <c r="A196" s="102">
        <f t="shared" si="15"/>
        <v>0</v>
      </c>
      <c r="B196" s="36" t="str">
        <f t="shared" si="21"/>
        <v/>
      </c>
      <c r="C196" s="37"/>
      <c r="D196" s="37"/>
      <c r="E196" s="37"/>
      <c r="F196" s="37"/>
      <c r="G196" s="88"/>
      <c r="H196" s="103">
        <v>191</v>
      </c>
      <c r="I196" s="104" t="str">
        <f t="shared" si="16"/>
        <v/>
      </c>
      <c r="J196" s="103">
        <f t="shared" si="17"/>
        <v>-2</v>
      </c>
      <c r="K196" s="103">
        <f t="shared" si="18"/>
        <v>-20</v>
      </c>
      <c r="L196" s="103"/>
      <c r="M196" s="105">
        <f t="shared" si="19"/>
        <v>0</v>
      </c>
      <c r="N196" s="105">
        <f t="shared" si="20"/>
        <v>0</v>
      </c>
      <c r="O196" s="88"/>
      <c r="P196" s="88"/>
      <c r="Q196" s="88"/>
      <c r="R196" s="88"/>
      <c r="S196" s="117"/>
      <c r="T196" s="118"/>
    </row>
    <row r="197" spans="1:20" s="93" customFormat="1" x14ac:dyDescent="0.25">
      <c r="A197" s="106">
        <f t="shared" si="15"/>
        <v>0</v>
      </c>
      <c r="B197" s="42" t="str">
        <f t="shared" si="21"/>
        <v/>
      </c>
      <c r="C197" s="43"/>
      <c r="D197" s="43"/>
      <c r="E197" s="43"/>
      <c r="F197" s="43"/>
      <c r="G197" s="88"/>
      <c r="H197" s="107">
        <v>192</v>
      </c>
      <c r="I197" s="108" t="str">
        <f t="shared" si="16"/>
        <v/>
      </c>
      <c r="J197" s="107">
        <f t="shared" si="17"/>
        <v>-2</v>
      </c>
      <c r="K197" s="107">
        <f t="shared" si="18"/>
        <v>-20</v>
      </c>
      <c r="L197" s="107"/>
      <c r="M197" s="109">
        <f t="shared" si="19"/>
        <v>0</v>
      </c>
      <c r="N197" s="109">
        <f t="shared" si="20"/>
        <v>0</v>
      </c>
      <c r="O197" s="88"/>
      <c r="P197" s="88"/>
      <c r="Q197" s="88"/>
      <c r="R197" s="88"/>
      <c r="S197" s="88"/>
    </row>
    <row r="198" spans="1:20" s="93" customFormat="1" x14ac:dyDescent="0.25">
      <c r="A198" s="102">
        <f t="shared" ref="A198:A261" si="22">N198</f>
        <v>0</v>
      </c>
      <c r="B198" s="36" t="str">
        <f t="shared" si="21"/>
        <v/>
      </c>
      <c r="C198" s="37"/>
      <c r="D198" s="37"/>
      <c r="E198" s="37"/>
      <c r="F198" s="37"/>
      <c r="G198" s="88"/>
      <c r="H198" s="103">
        <v>193</v>
      </c>
      <c r="I198" s="104" t="str">
        <f t="shared" ref="I198:I261" si="23">IF(H198&lt;$H$2+1,($I$2-($I$2-1)*(LOG(H198)/LOG($H$2))),"")</f>
        <v/>
      </c>
      <c r="J198" s="103">
        <f t="shared" ref="J198:J261" si="24">INT(LOG($H$2,2))-ROUNDUP(LOG(H198,2),0)+IF(OR($H$2=1,$H$2=2,$H$2=4,$H$2=8,$H$2=16,$H$2=32,$H$2=64,$H$2=128,$H$2=256),0,1)</f>
        <v>-2</v>
      </c>
      <c r="K198" s="103">
        <f t="shared" ref="K198:K261" si="25">J198*$J$2</f>
        <v>-20</v>
      </c>
      <c r="L198" s="103"/>
      <c r="M198" s="105">
        <f t="shared" ref="M198:M261" si="26">IF(I198&lt;&gt;"",K198+I198+L198,0)</f>
        <v>0</v>
      </c>
      <c r="N198" s="105">
        <f t="shared" ref="N198:N261" si="27">IF(I198&lt;&gt;"",M198*L$2,0)</f>
        <v>0</v>
      </c>
      <c r="O198" s="88"/>
      <c r="P198" s="88"/>
      <c r="Q198" s="88"/>
      <c r="R198" s="88"/>
      <c r="S198" s="117"/>
      <c r="T198" s="118"/>
    </row>
    <row r="199" spans="1:20" s="93" customFormat="1" x14ac:dyDescent="0.25">
      <c r="A199" s="106">
        <f t="shared" si="22"/>
        <v>0</v>
      </c>
      <c r="B199" s="42" t="str">
        <f t="shared" si="21"/>
        <v/>
      </c>
      <c r="C199" s="43"/>
      <c r="D199" s="43"/>
      <c r="E199" s="43"/>
      <c r="F199" s="43"/>
      <c r="G199" s="88"/>
      <c r="H199" s="107">
        <v>194</v>
      </c>
      <c r="I199" s="108" t="str">
        <f t="shared" si="23"/>
        <v/>
      </c>
      <c r="J199" s="107">
        <f t="shared" si="24"/>
        <v>-2</v>
      </c>
      <c r="K199" s="107">
        <f t="shared" si="25"/>
        <v>-20</v>
      </c>
      <c r="L199" s="107"/>
      <c r="M199" s="109">
        <f t="shared" si="26"/>
        <v>0</v>
      </c>
      <c r="N199" s="109">
        <f t="shared" si="27"/>
        <v>0</v>
      </c>
      <c r="O199" s="88"/>
      <c r="P199" s="88"/>
      <c r="Q199" s="88"/>
      <c r="R199" s="88"/>
      <c r="S199" s="88"/>
    </row>
    <row r="200" spans="1:20" s="93" customFormat="1" x14ac:dyDescent="0.25">
      <c r="A200" s="102">
        <f t="shared" si="22"/>
        <v>0</v>
      </c>
      <c r="B200" s="36" t="str">
        <f t="shared" si="21"/>
        <v/>
      </c>
      <c r="C200" s="37"/>
      <c r="D200" s="37"/>
      <c r="E200" s="37"/>
      <c r="F200" s="37"/>
      <c r="G200" s="88"/>
      <c r="H200" s="103">
        <v>195</v>
      </c>
      <c r="I200" s="104" t="str">
        <f t="shared" si="23"/>
        <v/>
      </c>
      <c r="J200" s="103">
        <f t="shared" si="24"/>
        <v>-2</v>
      </c>
      <c r="K200" s="103">
        <f t="shared" si="25"/>
        <v>-20</v>
      </c>
      <c r="L200" s="103"/>
      <c r="M200" s="105">
        <f t="shared" si="26"/>
        <v>0</v>
      </c>
      <c r="N200" s="105">
        <f t="shared" si="27"/>
        <v>0</v>
      </c>
      <c r="O200" s="88"/>
      <c r="P200" s="88"/>
      <c r="Q200" s="88"/>
      <c r="R200" s="88"/>
      <c r="S200" s="117"/>
      <c r="T200" s="118"/>
    </row>
    <row r="201" spans="1:20" s="93" customFormat="1" x14ac:dyDescent="0.25">
      <c r="A201" s="106">
        <f t="shared" si="22"/>
        <v>0</v>
      </c>
      <c r="B201" s="42" t="str">
        <f t="shared" si="21"/>
        <v/>
      </c>
      <c r="C201" s="43"/>
      <c r="D201" s="43"/>
      <c r="E201" s="43"/>
      <c r="F201" s="43"/>
      <c r="G201" s="88"/>
      <c r="H201" s="107">
        <v>196</v>
      </c>
      <c r="I201" s="108" t="str">
        <f t="shared" si="23"/>
        <v/>
      </c>
      <c r="J201" s="107">
        <f t="shared" si="24"/>
        <v>-2</v>
      </c>
      <c r="K201" s="107">
        <f t="shared" si="25"/>
        <v>-20</v>
      </c>
      <c r="L201" s="107"/>
      <c r="M201" s="109">
        <f t="shared" si="26"/>
        <v>0</v>
      </c>
      <c r="N201" s="109">
        <f t="shared" si="27"/>
        <v>0</v>
      </c>
      <c r="O201" s="88"/>
      <c r="P201" s="88"/>
      <c r="Q201" s="88"/>
      <c r="R201" s="88"/>
      <c r="S201" s="88"/>
    </row>
    <row r="202" spans="1:20" s="93" customFormat="1" x14ac:dyDescent="0.25">
      <c r="A202" s="102">
        <f t="shared" si="22"/>
        <v>0</v>
      </c>
      <c r="B202" s="36" t="str">
        <f t="shared" ref="B202:B250" si="28">IF(H202&gt;$H$2,"",(ROW()-5))</f>
        <v/>
      </c>
      <c r="C202" s="37"/>
      <c r="D202" s="37"/>
      <c r="E202" s="37"/>
      <c r="F202" s="37"/>
      <c r="G202" s="88"/>
      <c r="H202" s="103">
        <v>197</v>
      </c>
      <c r="I202" s="104" t="str">
        <f t="shared" si="23"/>
        <v/>
      </c>
      <c r="J202" s="103">
        <f t="shared" si="24"/>
        <v>-2</v>
      </c>
      <c r="K202" s="103">
        <f t="shared" si="25"/>
        <v>-20</v>
      </c>
      <c r="L202" s="103"/>
      <c r="M202" s="105">
        <f t="shared" si="26"/>
        <v>0</v>
      </c>
      <c r="N202" s="105">
        <f t="shared" si="27"/>
        <v>0</v>
      </c>
      <c r="O202" s="88"/>
      <c r="P202" s="88"/>
      <c r="Q202" s="88"/>
      <c r="R202" s="88"/>
      <c r="S202" s="117"/>
      <c r="T202" s="118"/>
    </row>
    <row r="203" spans="1:20" s="93" customFormat="1" x14ac:dyDescent="0.25">
      <c r="A203" s="106">
        <f t="shared" si="22"/>
        <v>0</v>
      </c>
      <c r="B203" s="42" t="str">
        <f t="shared" si="28"/>
        <v/>
      </c>
      <c r="C203" s="43"/>
      <c r="D203" s="43"/>
      <c r="E203" s="43"/>
      <c r="F203" s="43"/>
      <c r="G203" s="88"/>
      <c r="H203" s="107">
        <v>198</v>
      </c>
      <c r="I203" s="108" t="str">
        <f t="shared" si="23"/>
        <v/>
      </c>
      <c r="J203" s="107">
        <f t="shared" si="24"/>
        <v>-2</v>
      </c>
      <c r="K203" s="107">
        <f t="shared" si="25"/>
        <v>-20</v>
      </c>
      <c r="L203" s="107"/>
      <c r="M203" s="109">
        <f t="shared" si="26"/>
        <v>0</v>
      </c>
      <c r="N203" s="109">
        <f t="shared" si="27"/>
        <v>0</v>
      </c>
      <c r="O203" s="88"/>
      <c r="P203" s="88"/>
      <c r="Q203" s="88"/>
      <c r="R203" s="88"/>
      <c r="S203" s="88"/>
    </row>
    <row r="204" spans="1:20" s="93" customFormat="1" x14ac:dyDescent="0.25">
      <c r="A204" s="102">
        <f t="shared" si="22"/>
        <v>0</v>
      </c>
      <c r="B204" s="36" t="str">
        <f t="shared" si="28"/>
        <v/>
      </c>
      <c r="C204" s="37"/>
      <c r="D204" s="37"/>
      <c r="E204" s="37"/>
      <c r="F204" s="37"/>
      <c r="G204" s="88"/>
      <c r="H204" s="103">
        <v>199</v>
      </c>
      <c r="I204" s="104" t="str">
        <f t="shared" si="23"/>
        <v/>
      </c>
      <c r="J204" s="103">
        <f t="shared" si="24"/>
        <v>-2</v>
      </c>
      <c r="K204" s="103">
        <f t="shared" si="25"/>
        <v>-20</v>
      </c>
      <c r="L204" s="103"/>
      <c r="M204" s="105">
        <f t="shared" si="26"/>
        <v>0</v>
      </c>
      <c r="N204" s="105">
        <f t="shared" si="27"/>
        <v>0</v>
      </c>
      <c r="O204" s="88"/>
      <c r="P204" s="88"/>
      <c r="Q204" s="88"/>
      <c r="R204" s="88"/>
      <c r="S204" s="117"/>
      <c r="T204" s="118"/>
    </row>
    <row r="205" spans="1:20" s="93" customFormat="1" x14ac:dyDescent="0.25">
      <c r="A205" s="106">
        <f t="shared" si="22"/>
        <v>0</v>
      </c>
      <c r="B205" s="42" t="str">
        <f t="shared" si="28"/>
        <v/>
      </c>
      <c r="C205" s="43"/>
      <c r="D205" s="43"/>
      <c r="E205" s="43"/>
      <c r="F205" s="43"/>
      <c r="G205" s="88"/>
      <c r="H205" s="107">
        <v>200</v>
      </c>
      <c r="I205" s="108" t="str">
        <f t="shared" si="23"/>
        <v/>
      </c>
      <c r="J205" s="107">
        <f t="shared" si="24"/>
        <v>-2</v>
      </c>
      <c r="K205" s="107">
        <f t="shared" si="25"/>
        <v>-20</v>
      </c>
      <c r="L205" s="107"/>
      <c r="M205" s="109">
        <f t="shared" si="26"/>
        <v>0</v>
      </c>
      <c r="N205" s="109">
        <f t="shared" si="27"/>
        <v>0</v>
      </c>
      <c r="O205" s="88"/>
      <c r="P205" s="88"/>
      <c r="Q205" s="88"/>
      <c r="R205" s="88"/>
      <c r="S205" s="88"/>
    </row>
    <row r="206" spans="1:20" s="93" customFormat="1" x14ac:dyDescent="0.25">
      <c r="A206" s="102">
        <f t="shared" si="22"/>
        <v>0</v>
      </c>
      <c r="B206" s="36" t="str">
        <f t="shared" si="28"/>
        <v/>
      </c>
      <c r="C206" s="37"/>
      <c r="D206" s="37"/>
      <c r="E206" s="37"/>
      <c r="F206" s="37"/>
      <c r="G206" s="88"/>
      <c r="H206" s="103">
        <v>201</v>
      </c>
      <c r="I206" s="104" t="str">
        <f t="shared" si="23"/>
        <v/>
      </c>
      <c r="J206" s="103">
        <f t="shared" si="24"/>
        <v>-2</v>
      </c>
      <c r="K206" s="103">
        <f t="shared" si="25"/>
        <v>-20</v>
      </c>
      <c r="L206" s="103"/>
      <c r="M206" s="105">
        <f t="shared" si="26"/>
        <v>0</v>
      </c>
      <c r="N206" s="105">
        <f t="shared" si="27"/>
        <v>0</v>
      </c>
      <c r="O206" s="88"/>
      <c r="P206" s="88"/>
      <c r="Q206" s="88"/>
      <c r="R206" s="88"/>
      <c r="S206" s="117"/>
      <c r="T206" s="118"/>
    </row>
    <row r="207" spans="1:20" s="93" customFormat="1" x14ac:dyDescent="0.25">
      <c r="A207" s="106">
        <f t="shared" si="22"/>
        <v>0</v>
      </c>
      <c r="B207" s="42" t="str">
        <f t="shared" si="28"/>
        <v/>
      </c>
      <c r="C207" s="43"/>
      <c r="D207" s="43"/>
      <c r="E207" s="43"/>
      <c r="F207" s="43"/>
      <c r="G207" s="88"/>
      <c r="H207" s="107">
        <v>202</v>
      </c>
      <c r="I207" s="108" t="str">
        <f t="shared" si="23"/>
        <v/>
      </c>
      <c r="J207" s="107">
        <f t="shared" si="24"/>
        <v>-2</v>
      </c>
      <c r="K207" s="107">
        <f t="shared" si="25"/>
        <v>-20</v>
      </c>
      <c r="L207" s="107"/>
      <c r="M207" s="109">
        <f t="shared" si="26"/>
        <v>0</v>
      </c>
      <c r="N207" s="109">
        <f t="shared" si="27"/>
        <v>0</v>
      </c>
      <c r="O207" s="88"/>
      <c r="P207" s="88"/>
      <c r="Q207" s="88"/>
      <c r="R207" s="88"/>
      <c r="S207" s="88"/>
    </row>
    <row r="208" spans="1:20" s="93" customFormat="1" x14ac:dyDescent="0.25">
      <c r="A208" s="102">
        <f t="shared" si="22"/>
        <v>0</v>
      </c>
      <c r="B208" s="36" t="str">
        <f t="shared" si="28"/>
        <v/>
      </c>
      <c r="C208" s="37"/>
      <c r="D208" s="37"/>
      <c r="E208" s="37"/>
      <c r="F208" s="37"/>
      <c r="G208" s="88"/>
      <c r="H208" s="103">
        <v>203</v>
      </c>
      <c r="I208" s="104" t="str">
        <f t="shared" si="23"/>
        <v/>
      </c>
      <c r="J208" s="103">
        <f t="shared" si="24"/>
        <v>-2</v>
      </c>
      <c r="K208" s="103">
        <f t="shared" si="25"/>
        <v>-20</v>
      </c>
      <c r="L208" s="103"/>
      <c r="M208" s="105">
        <f t="shared" si="26"/>
        <v>0</v>
      </c>
      <c r="N208" s="105">
        <f t="shared" si="27"/>
        <v>0</v>
      </c>
      <c r="O208" s="88"/>
      <c r="P208" s="88"/>
      <c r="Q208" s="88"/>
      <c r="R208" s="88"/>
      <c r="S208" s="117"/>
      <c r="T208" s="118"/>
    </row>
    <row r="209" spans="1:20" s="93" customFormat="1" x14ac:dyDescent="0.25">
      <c r="A209" s="106">
        <f t="shared" si="22"/>
        <v>0</v>
      </c>
      <c r="B209" s="42" t="str">
        <f t="shared" si="28"/>
        <v/>
      </c>
      <c r="C209" s="43"/>
      <c r="D209" s="43"/>
      <c r="E209" s="43"/>
      <c r="F209" s="43"/>
      <c r="G209" s="88"/>
      <c r="H209" s="107">
        <v>204</v>
      </c>
      <c r="I209" s="108" t="str">
        <f t="shared" si="23"/>
        <v/>
      </c>
      <c r="J209" s="107">
        <f t="shared" si="24"/>
        <v>-2</v>
      </c>
      <c r="K209" s="107">
        <f t="shared" si="25"/>
        <v>-20</v>
      </c>
      <c r="L209" s="107"/>
      <c r="M209" s="109">
        <f t="shared" si="26"/>
        <v>0</v>
      </c>
      <c r="N209" s="109">
        <f t="shared" si="27"/>
        <v>0</v>
      </c>
      <c r="O209" s="88"/>
      <c r="P209" s="88"/>
      <c r="Q209" s="88"/>
      <c r="R209" s="88"/>
      <c r="S209" s="88"/>
    </row>
    <row r="210" spans="1:20" s="93" customFormat="1" x14ac:dyDescent="0.25">
      <c r="A210" s="102">
        <f t="shared" si="22"/>
        <v>0</v>
      </c>
      <c r="B210" s="36" t="str">
        <f t="shared" si="28"/>
        <v/>
      </c>
      <c r="C210" s="37"/>
      <c r="D210" s="37"/>
      <c r="E210" s="37"/>
      <c r="F210" s="37"/>
      <c r="G210" s="88"/>
      <c r="H210" s="103">
        <v>205</v>
      </c>
      <c r="I210" s="104" t="str">
        <f t="shared" si="23"/>
        <v/>
      </c>
      <c r="J210" s="103">
        <f t="shared" si="24"/>
        <v>-2</v>
      </c>
      <c r="K210" s="103">
        <f t="shared" si="25"/>
        <v>-20</v>
      </c>
      <c r="L210" s="103"/>
      <c r="M210" s="105">
        <f t="shared" si="26"/>
        <v>0</v>
      </c>
      <c r="N210" s="105">
        <f t="shared" si="27"/>
        <v>0</v>
      </c>
      <c r="O210" s="88"/>
      <c r="P210" s="88"/>
      <c r="Q210" s="88"/>
      <c r="R210" s="88"/>
      <c r="S210" s="117"/>
      <c r="T210" s="118"/>
    </row>
    <row r="211" spans="1:20" s="93" customFormat="1" x14ac:dyDescent="0.25">
      <c r="A211" s="106">
        <f t="shared" si="22"/>
        <v>0</v>
      </c>
      <c r="B211" s="42" t="str">
        <f t="shared" si="28"/>
        <v/>
      </c>
      <c r="C211" s="43"/>
      <c r="D211" s="43"/>
      <c r="E211" s="43"/>
      <c r="F211" s="43"/>
      <c r="G211" s="88"/>
      <c r="H211" s="107">
        <v>206</v>
      </c>
      <c r="I211" s="108" t="str">
        <f t="shared" si="23"/>
        <v/>
      </c>
      <c r="J211" s="107">
        <f t="shared" si="24"/>
        <v>-2</v>
      </c>
      <c r="K211" s="107">
        <f t="shared" si="25"/>
        <v>-20</v>
      </c>
      <c r="L211" s="107"/>
      <c r="M211" s="109">
        <f t="shared" si="26"/>
        <v>0</v>
      </c>
      <c r="N211" s="109">
        <f t="shared" si="27"/>
        <v>0</v>
      </c>
      <c r="O211" s="88"/>
      <c r="P211" s="88"/>
      <c r="Q211" s="88"/>
      <c r="R211" s="88"/>
      <c r="S211" s="88"/>
    </row>
    <row r="212" spans="1:20" s="93" customFormat="1" x14ac:dyDescent="0.25">
      <c r="A212" s="102">
        <f t="shared" si="22"/>
        <v>0</v>
      </c>
      <c r="B212" s="36" t="str">
        <f t="shared" si="28"/>
        <v/>
      </c>
      <c r="C212" s="37"/>
      <c r="D212" s="37"/>
      <c r="E212" s="37"/>
      <c r="F212" s="37"/>
      <c r="G212" s="88"/>
      <c r="H212" s="103">
        <v>207</v>
      </c>
      <c r="I212" s="104" t="str">
        <f t="shared" si="23"/>
        <v/>
      </c>
      <c r="J212" s="103">
        <f t="shared" si="24"/>
        <v>-2</v>
      </c>
      <c r="K212" s="103">
        <f t="shared" si="25"/>
        <v>-20</v>
      </c>
      <c r="L212" s="103"/>
      <c r="M212" s="105">
        <f t="shared" si="26"/>
        <v>0</v>
      </c>
      <c r="N212" s="105">
        <f t="shared" si="27"/>
        <v>0</v>
      </c>
      <c r="O212" s="88"/>
      <c r="P212" s="88"/>
      <c r="Q212" s="88"/>
      <c r="R212" s="88"/>
      <c r="S212" s="117"/>
      <c r="T212" s="118"/>
    </row>
    <row r="213" spans="1:20" s="93" customFormat="1" x14ac:dyDescent="0.25">
      <c r="A213" s="106">
        <f t="shared" si="22"/>
        <v>0</v>
      </c>
      <c r="B213" s="42" t="str">
        <f t="shared" si="28"/>
        <v/>
      </c>
      <c r="C213" s="43"/>
      <c r="D213" s="43"/>
      <c r="E213" s="43"/>
      <c r="F213" s="43"/>
      <c r="G213" s="88"/>
      <c r="H213" s="107">
        <v>208</v>
      </c>
      <c r="I213" s="108" t="str">
        <f t="shared" si="23"/>
        <v/>
      </c>
      <c r="J213" s="107">
        <f t="shared" si="24"/>
        <v>-2</v>
      </c>
      <c r="K213" s="107">
        <f t="shared" si="25"/>
        <v>-20</v>
      </c>
      <c r="L213" s="107"/>
      <c r="M213" s="109">
        <f t="shared" si="26"/>
        <v>0</v>
      </c>
      <c r="N213" s="109">
        <f t="shared" si="27"/>
        <v>0</v>
      </c>
      <c r="O213" s="88"/>
      <c r="P213" s="88"/>
      <c r="Q213" s="88"/>
      <c r="R213" s="88"/>
      <c r="S213" s="88"/>
    </row>
    <row r="214" spans="1:20" s="93" customFormat="1" x14ac:dyDescent="0.25">
      <c r="A214" s="102">
        <f t="shared" si="22"/>
        <v>0</v>
      </c>
      <c r="B214" s="36" t="str">
        <f t="shared" si="28"/>
        <v/>
      </c>
      <c r="C214" s="37"/>
      <c r="D214" s="37"/>
      <c r="E214" s="37"/>
      <c r="F214" s="37"/>
      <c r="G214" s="88"/>
      <c r="H214" s="103">
        <v>209</v>
      </c>
      <c r="I214" s="104" t="str">
        <f t="shared" si="23"/>
        <v/>
      </c>
      <c r="J214" s="103">
        <f t="shared" si="24"/>
        <v>-2</v>
      </c>
      <c r="K214" s="103">
        <f t="shared" si="25"/>
        <v>-20</v>
      </c>
      <c r="L214" s="103"/>
      <c r="M214" s="105">
        <f t="shared" si="26"/>
        <v>0</v>
      </c>
      <c r="N214" s="105">
        <f t="shared" si="27"/>
        <v>0</v>
      </c>
      <c r="O214" s="88"/>
      <c r="P214" s="88"/>
      <c r="Q214" s="88"/>
      <c r="R214" s="88"/>
      <c r="S214" s="117"/>
      <c r="T214" s="118"/>
    </row>
    <row r="215" spans="1:20" s="93" customFormat="1" x14ac:dyDescent="0.25">
      <c r="A215" s="106">
        <f t="shared" si="22"/>
        <v>0</v>
      </c>
      <c r="B215" s="42" t="str">
        <f t="shared" si="28"/>
        <v/>
      </c>
      <c r="C215" s="43"/>
      <c r="D215" s="43"/>
      <c r="E215" s="43"/>
      <c r="F215" s="43"/>
      <c r="G215" s="88"/>
      <c r="H215" s="107">
        <v>210</v>
      </c>
      <c r="I215" s="108" t="str">
        <f t="shared" si="23"/>
        <v/>
      </c>
      <c r="J215" s="107">
        <f t="shared" si="24"/>
        <v>-2</v>
      </c>
      <c r="K215" s="107">
        <f t="shared" si="25"/>
        <v>-20</v>
      </c>
      <c r="L215" s="107"/>
      <c r="M215" s="109">
        <f t="shared" si="26"/>
        <v>0</v>
      </c>
      <c r="N215" s="109">
        <f t="shared" si="27"/>
        <v>0</v>
      </c>
      <c r="O215" s="88"/>
      <c r="P215" s="88"/>
      <c r="Q215" s="88"/>
      <c r="R215" s="88"/>
      <c r="S215" s="88"/>
    </row>
    <row r="216" spans="1:20" s="93" customFormat="1" x14ac:dyDescent="0.25">
      <c r="A216" s="102">
        <f t="shared" si="22"/>
        <v>0</v>
      </c>
      <c r="B216" s="36" t="str">
        <f t="shared" si="28"/>
        <v/>
      </c>
      <c r="C216" s="37"/>
      <c r="D216" s="37"/>
      <c r="E216" s="37"/>
      <c r="F216" s="37"/>
      <c r="G216" s="88"/>
      <c r="H216" s="103">
        <v>211</v>
      </c>
      <c r="I216" s="104" t="str">
        <f t="shared" si="23"/>
        <v/>
      </c>
      <c r="J216" s="103">
        <f t="shared" si="24"/>
        <v>-2</v>
      </c>
      <c r="K216" s="103">
        <f t="shared" si="25"/>
        <v>-20</v>
      </c>
      <c r="L216" s="103"/>
      <c r="M216" s="105">
        <f t="shared" si="26"/>
        <v>0</v>
      </c>
      <c r="N216" s="105">
        <f t="shared" si="27"/>
        <v>0</v>
      </c>
      <c r="O216" s="88"/>
      <c r="P216" s="88"/>
      <c r="Q216" s="88"/>
      <c r="R216" s="88"/>
      <c r="S216" s="117"/>
      <c r="T216" s="118"/>
    </row>
    <row r="217" spans="1:20" s="93" customFormat="1" x14ac:dyDescent="0.25">
      <c r="A217" s="106">
        <f t="shared" si="22"/>
        <v>0</v>
      </c>
      <c r="B217" s="42" t="str">
        <f t="shared" si="28"/>
        <v/>
      </c>
      <c r="C217" s="43"/>
      <c r="D217" s="43"/>
      <c r="E217" s="43"/>
      <c r="F217" s="43"/>
      <c r="G217" s="88"/>
      <c r="H217" s="107">
        <v>212</v>
      </c>
      <c r="I217" s="108" t="str">
        <f t="shared" si="23"/>
        <v/>
      </c>
      <c r="J217" s="107">
        <f t="shared" si="24"/>
        <v>-2</v>
      </c>
      <c r="K217" s="107">
        <f t="shared" si="25"/>
        <v>-20</v>
      </c>
      <c r="L217" s="107"/>
      <c r="M217" s="109">
        <f t="shared" si="26"/>
        <v>0</v>
      </c>
      <c r="N217" s="109">
        <f t="shared" si="27"/>
        <v>0</v>
      </c>
      <c r="O217" s="88"/>
      <c r="P217" s="88"/>
      <c r="Q217" s="88"/>
      <c r="R217" s="88"/>
      <c r="S217" s="88"/>
    </row>
    <row r="218" spans="1:20" s="93" customFormat="1" x14ac:dyDescent="0.25">
      <c r="A218" s="102">
        <f t="shared" si="22"/>
        <v>0</v>
      </c>
      <c r="B218" s="36" t="str">
        <f t="shared" si="28"/>
        <v/>
      </c>
      <c r="C218" s="37"/>
      <c r="D218" s="37"/>
      <c r="E218" s="37"/>
      <c r="F218" s="37"/>
      <c r="G218" s="88"/>
      <c r="H218" s="103">
        <v>213</v>
      </c>
      <c r="I218" s="104" t="str">
        <f t="shared" si="23"/>
        <v/>
      </c>
      <c r="J218" s="103">
        <f t="shared" si="24"/>
        <v>-2</v>
      </c>
      <c r="K218" s="103">
        <f t="shared" si="25"/>
        <v>-20</v>
      </c>
      <c r="L218" s="103"/>
      <c r="M218" s="105">
        <f t="shared" si="26"/>
        <v>0</v>
      </c>
      <c r="N218" s="105">
        <f t="shared" si="27"/>
        <v>0</v>
      </c>
      <c r="O218" s="88"/>
      <c r="P218" s="88"/>
      <c r="Q218" s="88"/>
      <c r="R218" s="88"/>
      <c r="S218" s="117"/>
      <c r="T218" s="118"/>
    </row>
    <row r="219" spans="1:20" s="93" customFormat="1" x14ac:dyDescent="0.25">
      <c r="A219" s="106">
        <f t="shared" si="22"/>
        <v>0</v>
      </c>
      <c r="B219" s="42" t="str">
        <f t="shared" si="28"/>
        <v/>
      </c>
      <c r="C219" s="43"/>
      <c r="D219" s="43"/>
      <c r="E219" s="43"/>
      <c r="F219" s="43"/>
      <c r="G219" s="88"/>
      <c r="H219" s="107">
        <v>214</v>
      </c>
      <c r="I219" s="108" t="str">
        <f t="shared" si="23"/>
        <v/>
      </c>
      <c r="J219" s="107">
        <f t="shared" si="24"/>
        <v>-2</v>
      </c>
      <c r="K219" s="107">
        <f t="shared" si="25"/>
        <v>-20</v>
      </c>
      <c r="L219" s="107"/>
      <c r="M219" s="109">
        <f t="shared" si="26"/>
        <v>0</v>
      </c>
      <c r="N219" s="109">
        <f t="shared" si="27"/>
        <v>0</v>
      </c>
      <c r="O219" s="88"/>
      <c r="P219" s="88"/>
      <c r="Q219" s="88"/>
      <c r="R219" s="88"/>
      <c r="S219" s="88"/>
    </row>
    <row r="220" spans="1:20" s="93" customFormat="1" x14ac:dyDescent="0.25">
      <c r="A220" s="102">
        <f t="shared" si="22"/>
        <v>0</v>
      </c>
      <c r="B220" s="36" t="str">
        <f t="shared" si="28"/>
        <v/>
      </c>
      <c r="C220" s="37"/>
      <c r="D220" s="37"/>
      <c r="E220" s="37"/>
      <c r="F220" s="37"/>
      <c r="G220" s="88"/>
      <c r="H220" s="103">
        <v>215</v>
      </c>
      <c r="I220" s="104" t="str">
        <f t="shared" si="23"/>
        <v/>
      </c>
      <c r="J220" s="103">
        <f t="shared" si="24"/>
        <v>-2</v>
      </c>
      <c r="K220" s="103">
        <f t="shared" si="25"/>
        <v>-20</v>
      </c>
      <c r="L220" s="103"/>
      <c r="M220" s="105">
        <f t="shared" si="26"/>
        <v>0</v>
      </c>
      <c r="N220" s="105">
        <f t="shared" si="27"/>
        <v>0</v>
      </c>
      <c r="O220" s="88"/>
      <c r="P220" s="88"/>
      <c r="Q220" s="88"/>
      <c r="R220" s="88"/>
      <c r="S220" s="117"/>
      <c r="T220" s="118"/>
    </row>
    <row r="221" spans="1:20" s="93" customFormat="1" x14ac:dyDescent="0.25">
      <c r="A221" s="106">
        <f t="shared" si="22"/>
        <v>0</v>
      </c>
      <c r="B221" s="42" t="str">
        <f t="shared" si="28"/>
        <v/>
      </c>
      <c r="C221" s="43"/>
      <c r="D221" s="43"/>
      <c r="E221" s="43"/>
      <c r="F221" s="43"/>
      <c r="G221" s="88"/>
      <c r="H221" s="107">
        <v>216</v>
      </c>
      <c r="I221" s="108" t="str">
        <f t="shared" si="23"/>
        <v/>
      </c>
      <c r="J221" s="107">
        <f t="shared" si="24"/>
        <v>-2</v>
      </c>
      <c r="K221" s="107">
        <f t="shared" si="25"/>
        <v>-20</v>
      </c>
      <c r="L221" s="107"/>
      <c r="M221" s="109">
        <f t="shared" si="26"/>
        <v>0</v>
      </c>
      <c r="N221" s="109">
        <f t="shared" si="27"/>
        <v>0</v>
      </c>
      <c r="O221" s="88"/>
      <c r="P221" s="88"/>
      <c r="Q221" s="88"/>
      <c r="R221" s="88"/>
      <c r="S221" s="88"/>
    </row>
    <row r="222" spans="1:20" s="93" customFormat="1" x14ac:dyDescent="0.25">
      <c r="A222" s="102">
        <f t="shared" si="22"/>
        <v>0</v>
      </c>
      <c r="B222" s="36" t="str">
        <f t="shared" si="28"/>
        <v/>
      </c>
      <c r="C222" s="37"/>
      <c r="D222" s="37"/>
      <c r="E222" s="37"/>
      <c r="F222" s="37"/>
      <c r="G222" s="88"/>
      <c r="H222" s="103">
        <v>217</v>
      </c>
      <c r="I222" s="104" t="str">
        <f t="shared" si="23"/>
        <v/>
      </c>
      <c r="J222" s="103">
        <f t="shared" si="24"/>
        <v>-2</v>
      </c>
      <c r="K222" s="103">
        <f t="shared" si="25"/>
        <v>-20</v>
      </c>
      <c r="L222" s="103"/>
      <c r="M222" s="105">
        <f t="shared" si="26"/>
        <v>0</v>
      </c>
      <c r="N222" s="105">
        <f t="shared" si="27"/>
        <v>0</v>
      </c>
      <c r="O222" s="88"/>
      <c r="P222" s="88"/>
      <c r="Q222" s="88"/>
      <c r="R222" s="88"/>
      <c r="S222" s="117"/>
      <c r="T222" s="118"/>
    </row>
    <row r="223" spans="1:20" s="93" customFormat="1" x14ac:dyDescent="0.25">
      <c r="A223" s="106">
        <f t="shared" si="22"/>
        <v>0</v>
      </c>
      <c r="B223" s="42" t="str">
        <f t="shared" si="28"/>
        <v/>
      </c>
      <c r="C223" s="43"/>
      <c r="D223" s="43"/>
      <c r="E223" s="43"/>
      <c r="F223" s="43"/>
      <c r="G223" s="88"/>
      <c r="H223" s="107">
        <v>218</v>
      </c>
      <c r="I223" s="108" t="str">
        <f t="shared" si="23"/>
        <v/>
      </c>
      <c r="J223" s="107">
        <f t="shared" si="24"/>
        <v>-2</v>
      </c>
      <c r="K223" s="107">
        <f t="shared" si="25"/>
        <v>-20</v>
      </c>
      <c r="L223" s="107"/>
      <c r="M223" s="109">
        <f t="shared" si="26"/>
        <v>0</v>
      </c>
      <c r="N223" s="109">
        <f t="shared" si="27"/>
        <v>0</v>
      </c>
      <c r="O223" s="88"/>
      <c r="P223" s="88"/>
      <c r="Q223" s="88"/>
      <c r="R223" s="88"/>
      <c r="S223" s="88"/>
    </row>
    <row r="224" spans="1:20" s="93" customFormat="1" x14ac:dyDescent="0.25">
      <c r="A224" s="102">
        <f t="shared" si="22"/>
        <v>0</v>
      </c>
      <c r="B224" s="36" t="str">
        <f t="shared" si="28"/>
        <v/>
      </c>
      <c r="C224" s="37"/>
      <c r="D224" s="37"/>
      <c r="E224" s="37"/>
      <c r="F224" s="37"/>
      <c r="G224" s="88"/>
      <c r="H224" s="103">
        <v>219</v>
      </c>
      <c r="I224" s="104" t="str">
        <f t="shared" si="23"/>
        <v/>
      </c>
      <c r="J224" s="103">
        <f t="shared" si="24"/>
        <v>-2</v>
      </c>
      <c r="K224" s="103">
        <f t="shared" si="25"/>
        <v>-20</v>
      </c>
      <c r="L224" s="103"/>
      <c r="M224" s="105">
        <f t="shared" si="26"/>
        <v>0</v>
      </c>
      <c r="N224" s="105">
        <f t="shared" si="27"/>
        <v>0</v>
      </c>
      <c r="O224" s="88"/>
      <c r="P224" s="88"/>
      <c r="Q224" s="88"/>
      <c r="R224" s="88"/>
      <c r="S224" s="117"/>
      <c r="T224" s="118"/>
    </row>
    <row r="225" spans="1:20" s="93" customFormat="1" x14ac:dyDescent="0.25">
      <c r="A225" s="106">
        <f t="shared" si="22"/>
        <v>0</v>
      </c>
      <c r="B225" s="42" t="str">
        <f t="shared" si="28"/>
        <v/>
      </c>
      <c r="C225" s="43"/>
      <c r="D225" s="43"/>
      <c r="E225" s="43"/>
      <c r="F225" s="43"/>
      <c r="G225" s="88"/>
      <c r="H225" s="107">
        <v>220</v>
      </c>
      <c r="I225" s="108" t="str">
        <f t="shared" si="23"/>
        <v/>
      </c>
      <c r="J225" s="107">
        <f t="shared" si="24"/>
        <v>-2</v>
      </c>
      <c r="K225" s="107">
        <f t="shared" si="25"/>
        <v>-20</v>
      </c>
      <c r="L225" s="107"/>
      <c r="M225" s="109">
        <f t="shared" si="26"/>
        <v>0</v>
      </c>
      <c r="N225" s="109">
        <f t="shared" si="27"/>
        <v>0</v>
      </c>
      <c r="O225" s="88"/>
      <c r="P225" s="88"/>
      <c r="Q225" s="88"/>
      <c r="R225" s="88"/>
      <c r="S225" s="88"/>
    </row>
    <row r="226" spans="1:20" s="93" customFormat="1" x14ac:dyDescent="0.25">
      <c r="A226" s="102">
        <f t="shared" si="22"/>
        <v>0</v>
      </c>
      <c r="B226" s="36" t="str">
        <f t="shared" si="28"/>
        <v/>
      </c>
      <c r="C226" s="37"/>
      <c r="D226" s="37"/>
      <c r="E226" s="37"/>
      <c r="F226" s="37"/>
      <c r="G226" s="88"/>
      <c r="H226" s="103">
        <v>221</v>
      </c>
      <c r="I226" s="104" t="str">
        <f t="shared" si="23"/>
        <v/>
      </c>
      <c r="J226" s="103">
        <f t="shared" si="24"/>
        <v>-2</v>
      </c>
      <c r="K226" s="103">
        <f t="shared" si="25"/>
        <v>-20</v>
      </c>
      <c r="L226" s="103"/>
      <c r="M226" s="105">
        <f t="shared" si="26"/>
        <v>0</v>
      </c>
      <c r="N226" s="105">
        <f t="shared" si="27"/>
        <v>0</v>
      </c>
      <c r="O226" s="88"/>
      <c r="P226" s="88"/>
      <c r="Q226" s="88"/>
      <c r="R226" s="88"/>
      <c r="S226" s="117"/>
      <c r="T226" s="118"/>
    </row>
    <row r="227" spans="1:20" s="93" customFormat="1" x14ac:dyDescent="0.25">
      <c r="A227" s="106">
        <f t="shared" si="22"/>
        <v>0</v>
      </c>
      <c r="B227" s="42" t="str">
        <f t="shared" si="28"/>
        <v/>
      </c>
      <c r="C227" s="43"/>
      <c r="D227" s="43"/>
      <c r="E227" s="43"/>
      <c r="F227" s="43"/>
      <c r="G227" s="88"/>
      <c r="H227" s="107">
        <v>222</v>
      </c>
      <c r="I227" s="108" t="str">
        <f t="shared" si="23"/>
        <v/>
      </c>
      <c r="J227" s="107">
        <f t="shared" si="24"/>
        <v>-2</v>
      </c>
      <c r="K227" s="107">
        <f t="shared" si="25"/>
        <v>-20</v>
      </c>
      <c r="L227" s="107"/>
      <c r="M227" s="109">
        <f t="shared" si="26"/>
        <v>0</v>
      </c>
      <c r="N227" s="109">
        <f t="shared" si="27"/>
        <v>0</v>
      </c>
      <c r="O227" s="88"/>
      <c r="P227" s="88"/>
      <c r="Q227" s="88"/>
      <c r="R227" s="88"/>
      <c r="S227" s="88"/>
    </row>
    <row r="228" spans="1:20" s="93" customFormat="1" x14ac:dyDescent="0.25">
      <c r="A228" s="102">
        <f t="shared" si="22"/>
        <v>0</v>
      </c>
      <c r="B228" s="36" t="str">
        <f t="shared" si="28"/>
        <v/>
      </c>
      <c r="C228" s="37"/>
      <c r="D228" s="37"/>
      <c r="E228" s="37"/>
      <c r="F228" s="37"/>
      <c r="G228" s="88"/>
      <c r="H228" s="103">
        <v>223</v>
      </c>
      <c r="I228" s="104" t="str">
        <f t="shared" si="23"/>
        <v/>
      </c>
      <c r="J228" s="103">
        <f t="shared" si="24"/>
        <v>-2</v>
      </c>
      <c r="K228" s="103">
        <f t="shared" si="25"/>
        <v>-20</v>
      </c>
      <c r="L228" s="103"/>
      <c r="M228" s="105">
        <f t="shared" si="26"/>
        <v>0</v>
      </c>
      <c r="N228" s="105">
        <f t="shared" si="27"/>
        <v>0</v>
      </c>
      <c r="O228" s="88"/>
      <c r="P228" s="88"/>
      <c r="Q228" s="88"/>
      <c r="R228" s="88"/>
      <c r="S228" s="117"/>
      <c r="T228" s="118"/>
    </row>
    <row r="229" spans="1:20" s="93" customFormat="1" x14ac:dyDescent="0.25">
      <c r="A229" s="106">
        <f t="shared" si="22"/>
        <v>0</v>
      </c>
      <c r="B229" s="42" t="str">
        <f t="shared" si="28"/>
        <v/>
      </c>
      <c r="C229" s="43"/>
      <c r="D229" s="43"/>
      <c r="E229" s="43"/>
      <c r="F229" s="43"/>
      <c r="G229" s="88"/>
      <c r="H229" s="107">
        <v>224</v>
      </c>
      <c r="I229" s="108" t="str">
        <f t="shared" si="23"/>
        <v/>
      </c>
      <c r="J229" s="107">
        <f t="shared" si="24"/>
        <v>-2</v>
      </c>
      <c r="K229" s="107">
        <f t="shared" si="25"/>
        <v>-20</v>
      </c>
      <c r="L229" s="107"/>
      <c r="M229" s="109">
        <f t="shared" si="26"/>
        <v>0</v>
      </c>
      <c r="N229" s="109">
        <f t="shared" si="27"/>
        <v>0</v>
      </c>
      <c r="O229" s="88"/>
      <c r="P229" s="88"/>
      <c r="Q229" s="88"/>
      <c r="R229" s="88"/>
      <c r="S229" s="88"/>
    </row>
    <row r="230" spans="1:20" s="93" customFormat="1" x14ac:dyDescent="0.25">
      <c r="A230" s="102">
        <f t="shared" si="22"/>
        <v>0</v>
      </c>
      <c r="B230" s="36" t="str">
        <f t="shared" si="28"/>
        <v/>
      </c>
      <c r="C230" s="37"/>
      <c r="D230" s="37"/>
      <c r="E230" s="37"/>
      <c r="F230" s="37"/>
      <c r="G230" s="88"/>
      <c r="H230" s="103">
        <v>225</v>
      </c>
      <c r="I230" s="104" t="str">
        <f t="shared" si="23"/>
        <v/>
      </c>
      <c r="J230" s="103">
        <f t="shared" si="24"/>
        <v>-2</v>
      </c>
      <c r="K230" s="103">
        <f t="shared" si="25"/>
        <v>-20</v>
      </c>
      <c r="L230" s="103"/>
      <c r="M230" s="105">
        <f t="shared" si="26"/>
        <v>0</v>
      </c>
      <c r="N230" s="105">
        <f t="shared" si="27"/>
        <v>0</v>
      </c>
      <c r="O230" s="88"/>
      <c r="P230" s="88"/>
      <c r="Q230" s="88"/>
      <c r="R230" s="88"/>
      <c r="S230" s="117"/>
      <c r="T230" s="118"/>
    </row>
    <row r="231" spans="1:20" s="93" customFormat="1" x14ac:dyDescent="0.25">
      <c r="A231" s="106">
        <f t="shared" si="22"/>
        <v>0</v>
      </c>
      <c r="B231" s="42" t="str">
        <f t="shared" si="28"/>
        <v/>
      </c>
      <c r="C231" s="43"/>
      <c r="D231" s="43"/>
      <c r="E231" s="43"/>
      <c r="F231" s="43"/>
      <c r="G231" s="88"/>
      <c r="H231" s="107">
        <v>226</v>
      </c>
      <c r="I231" s="108" t="str">
        <f t="shared" si="23"/>
        <v/>
      </c>
      <c r="J231" s="107">
        <f t="shared" si="24"/>
        <v>-2</v>
      </c>
      <c r="K231" s="107">
        <f t="shared" si="25"/>
        <v>-20</v>
      </c>
      <c r="L231" s="107"/>
      <c r="M231" s="109">
        <f t="shared" si="26"/>
        <v>0</v>
      </c>
      <c r="N231" s="109">
        <f t="shared" si="27"/>
        <v>0</v>
      </c>
      <c r="O231" s="88"/>
      <c r="P231" s="88"/>
      <c r="Q231" s="88"/>
      <c r="R231" s="88"/>
      <c r="S231" s="88"/>
    </row>
    <row r="232" spans="1:20" s="93" customFormat="1" x14ac:dyDescent="0.25">
      <c r="A232" s="102">
        <f t="shared" si="22"/>
        <v>0</v>
      </c>
      <c r="B232" s="36" t="str">
        <f t="shared" si="28"/>
        <v/>
      </c>
      <c r="C232" s="37"/>
      <c r="D232" s="37"/>
      <c r="E232" s="37"/>
      <c r="F232" s="37"/>
      <c r="G232" s="88"/>
      <c r="H232" s="103">
        <v>227</v>
      </c>
      <c r="I232" s="104" t="str">
        <f t="shared" si="23"/>
        <v/>
      </c>
      <c r="J232" s="103">
        <f t="shared" si="24"/>
        <v>-2</v>
      </c>
      <c r="K232" s="103">
        <f t="shared" si="25"/>
        <v>-20</v>
      </c>
      <c r="L232" s="103"/>
      <c r="M232" s="105">
        <f t="shared" si="26"/>
        <v>0</v>
      </c>
      <c r="N232" s="105">
        <f t="shared" si="27"/>
        <v>0</v>
      </c>
      <c r="O232" s="88"/>
      <c r="P232" s="88"/>
      <c r="Q232" s="88"/>
      <c r="R232" s="88"/>
      <c r="S232" s="117"/>
      <c r="T232" s="118"/>
    </row>
    <row r="233" spans="1:20" s="93" customFormat="1" x14ac:dyDescent="0.25">
      <c r="A233" s="106">
        <f t="shared" si="22"/>
        <v>0</v>
      </c>
      <c r="B233" s="42" t="str">
        <f t="shared" si="28"/>
        <v/>
      </c>
      <c r="C233" s="43"/>
      <c r="D233" s="43"/>
      <c r="E233" s="43"/>
      <c r="F233" s="43"/>
      <c r="G233" s="88"/>
      <c r="H233" s="107">
        <v>228</v>
      </c>
      <c r="I233" s="108" t="str">
        <f t="shared" si="23"/>
        <v/>
      </c>
      <c r="J233" s="107">
        <f t="shared" si="24"/>
        <v>-2</v>
      </c>
      <c r="K233" s="107">
        <f t="shared" si="25"/>
        <v>-20</v>
      </c>
      <c r="L233" s="107"/>
      <c r="M233" s="109">
        <f t="shared" si="26"/>
        <v>0</v>
      </c>
      <c r="N233" s="109">
        <f t="shared" si="27"/>
        <v>0</v>
      </c>
      <c r="O233" s="88"/>
      <c r="P233" s="88"/>
      <c r="Q233" s="88"/>
      <c r="R233" s="88"/>
      <c r="S233" s="88"/>
    </row>
    <row r="234" spans="1:20" s="93" customFormat="1" x14ac:dyDescent="0.25">
      <c r="A234" s="102">
        <f t="shared" si="22"/>
        <v>0</v>
      </c>
      <c r="B234" s="36" t="str">
        <f t="shared" si="28"/>
        <v/>
      </c>
      <c r="C234" s="37"/>
      <c r="D234" s="37"/>
      <c r="E234" s="37"/>
      <c r="F234" s="37"/>
      <c r="G234" s="88"/>
      <c r="H234" s="103">
        <v>229</v>
      </c>
      <c r="I234" s="104" t="str">
        <f t="shared" si="23"/>
        <v/>
      </c>
      <c r="J234" s="103">
        <f t="shared" si="24"/>
        <v>-2</v>
      </c>
      <c r="K234" s="103">
        <f t="shared" si="25"/>
        <v>-20</v>
      </c>
      <c r="L234" s="103"/>
      <c r="M234" s="105">
        <f t="shared" si="26"/>
        <v>0</v>
      </c>
      <c r="N234" s="105">
        <f t="shared" si="27"/>
        <v>0</v>
      </c>
      <c r="O234" s="88"/>
      <c r="P234" s="88"/>
      <c r="Q234" s="88"/>
      <c r="R234" s="88"/>
      <c r="S234" s="117"/>
      <c r="T234" s="118"/>
    </row>
    <row r="235" spans="1:20" s="93" customFormat="1" x14ac:dyDescent="0.25">
      <c r="A235" s="106">
        <f t="shared" si="22"/>
        <v>0</v>
      </c>
      <c r="B235" s="42" t="str">
        <f t="shared" si="28"/>
        <v/>
      </c>
      <c r="C235" s="43"/>
      <c r="D235" s="43"/>
      <c r="E235" s="43"/>
      <c r="F235" s="43"/>
      <c r="G235" s="88"/>
      <c r="H235" s="107">
        <v>230</v>
      </c>
      <c r="I235" s="108" t="str">
        <f t="shared" si="23"/>
        <v/>
      </c>
      <c r="J235" s="107">
        <f t="shared" si="24"/>
        <v>-2</v>
      </c>
      <c r="K235" s="107">
        <f t="shared" si="25"/>
        <v>-20</v>
      </c>
      <c r="L235" s="107"/>
      <c r="M235" s="109">
        <f t="shared" si="26"/>
        <v>0</v>
      </c>
      <c r="N235" s="109">
        <f t="shared" si="27"/>
        <v>0</v>
      </c>
      <c r="O235" s="88"/>
      <c r="P235" s="88"/>
      <c r="Q235" s="88"/>
      <c r="R235" s="88"/>
      <c r="S235" s="88"/>
    </row>
    <row r="236" spans="1:20" s="93" customFormat="1" x14ac:dyDescent="0.25">
      <c r="A236" s="102">
        <f t="shared" si="22"/>
        <v>0</v>
      </c>
      <c r="B236" s="36" t="str">
        <f t="shared" si="28"/>
        <v/>
      </c>
      <c r="C236" s="37"/>
      <c r="D236" s="37"/>
      <c r="E236" s="37"/>
      <c r="F236" s="37"/>
      <c r="G236" s="88"/>
      <c r="H236" s="103">
        <v>231</v>
      </c>
      <c r="I236" s="104" t="str">
        <f t="shared" si="23"/>
        <v/>
      </c>
      <c r="J236" s="103">
        <f t="shared" si="24"/>
        <v>-2</v>
      </c>
      <c r="K236" s="103">
        <f t="shared" si="25"/>
        <v>-20</v>
      </c>
      <c r="L236" s="103"/>
      <c r="M236" s="105">
        <f t="shared" si="26"/>
        <v>0</v>
      </c>
      <c r="N236" s="105">
        <f t="shared" si="27"/>
        <v>0</v>
      </c>
      <c r="O236" s="88"/>
      <c r="P236" s="88"/>
      <c r="Q236" s="88"/>
      <c r="R236" s="88"/>
      <c r="S236" s="117"/>
      <c r="T236" s="118"/>
    </row>
    <row r="237" spans="1:20" s="93" customFormat="1" x14ac:dyDescent="0.25">
      <c r="A237" s="106">
        <f t="shared" si="22"/>
        <v>0</v>
      </c>
      <c r="B237" s="42" t="str">
        <f t="shared" si="28"/>
        <v/>
      </c>
      <c r="C237" s="43"/>
      <c r="D237" s="43"/>
      <c r="E237" s="43"/>
      <c r="F237" s="43"/>
      <c r="G237" s="88"/>
      <c r="H237" s="107">
        <v>232</v>
      </c>
      <c r="I237" s="108" t="str">
        <f t="shared" si="23"/>
        <v/>
      </c>
      <c r="J237" s="107">
        <f t="shared" si="24"/>
        <v>-2</v>
      </c>
      <c r="K237" s="107">
        <f t="shared" si="25"/>
        <v>-20</v>
      </c>
      <c r="L237" s="107"/>
      <c r="M237" s="109">
        <f t="shared" si="26"/>
        <v>0</v>
      </c>
      <c r="N237" s="109">
        <f t="shared" si="27"/>
        <v>0</v>
      </c>
      <c r="O237" s="88"/>
      <c r="P237" s="88"/>
      <c r="Q237" s="88"/>
      <c r="R237" s="88"/>
      <c r="S237" s="88"/>
    </row>
    <row r="238" spans="1:20" s="93" customFormat="1" x14ac:dyDescent="0.25">
      <c r="A238" s="102">
        <f t="shared" si="22"/>
        <v>0</v>
      </c>
      <c r="B238" s="36" t="str">
        <f t="shared" si="28"/>
        <v/>
      </c>
      <c r="C238" s="37"/>
      <c r="D238" s="37"/>
      <c r="E238" s="37"/>
      <c r="F238" s="37"/>
      <c r="G238" s="88"/>
      <c r="H238" s="103">
        <v>233</v>
      </c>
      <c r="I238" s="104" t="str">
        <f t="shared" si="23"/>
        <v/>
      </c>
      <c r="J238" s="103">
        <f t="shared" si="24"/>
        <v>-2</v>
      </c>
      <c r="K238" s="103">
        <f t="shared" si="25"/>
        <v>-20</v>
      </c>
      <c r="L238" s="103"/>
      <c r="M238" s="105">
        <f t="shared" si="26"/>
        <v>0</v>
      </c>
      <c r="N238" s="105">
        <f t="shared" si="27"/>
        <v>0</v>
      </c>
      <c r="O238" s="88"/>
      <c r="P238" s="88"/>
      <c r="Q238" s="88"/>
      <c r="R238" s="88"/>
      <c r="S238" s="117"/>
      <c r="T238" s="118"/>
    </row>
    <row r="239" spans="1:20" s="93" customFormat="1" x14ac:dyDescent="0.25">
      <c r="A239" s="106">
        <f t="shared" si="22"/>
        <v>0</v>
      </c>
      <c r="B239" s="42" t="str">
        <f t="shared" si="28"/>
        <v/>
      </c>
      <c r="C239" s="43"/>
      <c r="D239" s="43"/>
      <c r="E239" s="43"/>
      <c r="F239" s="43"/>
      <c r="G239" s="88"/>
      <c r="H239" s="107">
        <v>234</v>
      </c>
      <c r="I239" s="108" t="str">
        <f t="shared" si="23"/>
        <v/>
      </c>
      <c r="J239" s="107">
        <f t="shared" si="24"/>
        <v>-2</v>
      </c>
      <c r="K239" s="107">
        <f t="shared" si="25"/>
        <v>-20</v>
      </c>
      <c r="L239" s="107"/>
      <c r="M239" s="109">
        <f t="shared" si="26"/>
        <v>0</v>
      </c>
      <c r="N239" s="109">
        <f t="shared" si="27"/>
        <v>0</v>
      </c>
      <c r="O239" s="88"/>
      <c r="P239" s="88"/>
      <c r="Q239" s="88"/>
      <c r="R239" s="88"/>
      <c r="S239" s="88"/>
    </row>
    <row r="240" spans="1:20" s="93" customFormat="1" x14ac:dyDescent="0.25">
      <c r="A240" s="102">
        <f t="shared" si="22"/>
        <v>0</v>
      </c>
      <c r="B240" s="36" t="str">
        <f t="shared" si="28"/>
        <v/>
      </c>
      <c r="C240" s="37"/>
      <c r="D240" s="37"/>
      <c r="E240" s="37"/>
      <c r="F240" s="37"/>
      <c r="G240" s="88"/>
      <c r="H240" s="103">
        <v>235</v>
      </c>
      <c r="I240" s="104" t="str">
        <f t="shared" si="23"/>
        <v/>
      </c>
      <c r="J240" s="103">
        <f t="shared" si="24"/>
        <v>-2</v>
      </c>
      <c r="K240" s="103">
        <f t="shared" si="25"/>
        <v>-20</v>
      </c>
      <c r="L240" s="103"/>
      <c r="M240" s="105">
        <f t="shared" si="26"/>
        <v>0</v>
      </c>
      <c r="N240" s="105">
        <f t="shared" si="27"/>
        <v>0</v>
      </c>
      <c r="O240" s="88"/>
      <c r="P240" s="88"/>
      <c r="Q240" s="88"/>
      <c r="R240" s="88"/>
      <c r="S240" s="117"/>
      <c r="T240" s="118"/>
    </row>
    <row r="241" spans="1:20" s="93" customFormat="1" x14ac:dyDescent="0.25">
      <c r="A241" s="106">
        <f t="shared" si="22"/>
        <v>0</v>
      </c>
      <c r="B241" s="42" t="str">
        <f t="shared" si="28"/>
        <v/>
      </c>
      <c r="C241" s="43"/>
      <c r="D241" s="43"/>
      <c r="E241" s="43"/>
      <c r="F241" s="43"/>
      <c r="G241" s="88"/>
      <c r="H241" s="107">
        <v>236</v>
      </c>
      <c r="I241" s="108" t="str">
        <f t="shared" si="23"/>
        <v/>
      </c>
      <c r="J241" s="107">
        <f t="shared" si="24"/>
        <v>-2</v>
      </c>
      <c r="K241" s="107">
        <f t="shared" si="25"/>
        <v>-20</v>
      </c>
      <c r="L241" s="107"/>
      <c r="M241" s="109">
        <f t="shared" si="26"/>
        <v>0</v>
      </c>
      <c r="N241" s="109">
        <f t="shared" si="27"/>
        <v>0</v>
      </c>
      <c r="O241" s="88"/>
      <c r="P241" s="88"/>
      <c r="Q241" s="88"/>
      <c r="R241" s="88"/>
      <c r="S241" s="88"/>
    </row>
    <row r="242" spans="1:20" s="93" customFormat="1" x14ac:dyDescent="0.25">
      <c r="A242" s="102">
        <f t="shared" si="22"/>
        <v>0</v>
      </c>
      <c r="B242" s="36" t="str">
        <f t="shared" si="28"/>
        <v/>
      </c>
      <c r="C242" s="37"/>
      <c r="D242" s="37"/>
      <c r="E242" s="37"/>
      <c r="F242" s="37"/>
      <c r="G242" s="88"/>
      <c r="H242" s="103">
        <v>237</v>
      </c>
      <c r="I242" s="104" t="str">
        <f t="shared" si="23"/>
        <v/>
      </c>
      <c r="J242" s="103">
        <f t="shared" si="24"/>
        <v>-2</v>
      </c>
      <c r="K242" s="103">
        <f t="shared" si="25"/>
        <v>-20</v>
      </c>
      <c r="L242" s="103"/>
      <c r="M242" s="105">
        <f t="shared" si="26"/>
        <v>0</v>
      </c>
      <c r="N242" s="105">
        <f t="shared" si="27"/>
        <v>0</v>
      </c>
      <c r="O242" s="88"/>
      <c r="P242" s="88"/>
      <c r="Q242" s="88"/>
      <c r="R242" s="88"/>
      <c r="S242" s="117"/>
      <c r="T242" s="118"/>
    </row>
    <row r="243" spans="1:20" s="93" customFormat="1" x14ac:dyDescent="0.25">
      <c r="A243" s="106">
        <f t="shared" si="22"/>
        <v>0</v>
      </c>
      <c r="B243" s="42" t="str">
        <f t="shared" si="28"/>
        <v/>
      </c>
      <c r="C243" s="43"/>
      <c r="D243" s="43"/>
      <c r="E243" s="43"/>
      <c r="F243" s="43"/>
      <c r="G243" s="88"/>
      <c r="H243" s="107">
        <v>238</v>
      </c>
      <c r="I243" s="108" t="str">
        <f t="shared" si="23"/>
        <v/>
      </c>
      <c r="J243" s="107">
        <f t="shared" si="24"/>
        <v>-2</v>
      </c>
      <c r="K243" s="107">
        <f t="shared" si="25"/>
        <v>-20</v>
      </c>
      <c r="L243" s="107"/>
      <c r="M243" s="109">
        <f t="shared" si="26"/>
        <v>0</v>
      </c>
      <c r="N243" s="109">
        <f t="shared" si="27"/>
        <v>0</v>
      </c>
      <c r="O243" s="88"/>
      <c r="P243" s="88"/>
      <c r="Q243" s="88"/>
      <c r="R243" s="88"/>
      <c r="S243" s="88"/>
    </row>
    <row r="244" spans="1:20" s="93" customFormat="1" x14ac:dyDescent="0.25">
      <c r="A244" s="102">
        <f t="shared" si="22"/>
        <v>0</v>
      </c>
      <c r="B244" s="36" t="str">
        <f t="shared" si="28"/>
        <v/>
      </c>
      <c r="C244" s="37"/>
      <c r="D244" s="37"/>
      <c r="E244" s="37"/>
      <c r="F244" s="37"/>
      <c r="G244" s="88"/>
      <c r="H244" s="103">
        <v>239</v>
      </c>
      <c r="I244" s="104" t="str">
        <f t="shared" si="23"/>
        <v/>
      </c>
      <c r="J244" s="103">
        <f t="shared" si="24"/>
        <v>-2</v>
      </c>
      <c r="K244" s="103">
        <f t="shared" si="25"/>
        <v>-20</v>
      </c>
      <c r="L244" s="103"/>
      <c r="M244" s="105">
        <f t="shared" si="26"/>
        <v>0</v>
      </c>
      <c r="N244" s="105">
        <f t="shared" si="27"/>
        <v>0</v>
      </c>
      <c r="O244" s="88"/>
      <c r="P244" s="88"/>
      <c r="Q244" s="88"/>
      <c r="R244" s="88"/>
      <c r="S244" s="117"/>
      <c r="T244" s="118"/>
    </row>
    <row r="245" spans="1:20" s="93" customFormat="1" x14ac:dyDescent="0.25">
      <c r="A245" s="106">
        <f t="shared" si="22"/>
        <v>0</v>
      </c>
      <c r="B245" s="42" t="str">
        <f t="shared" si="28"/>
        <v/>
      </c>
      <c r="C245" s="43"/>
      <c r="D245" s="43"/>
      <c r="E245" s="43"/>
      <c r="F245" s="43"/>
      <c r="G245" s="88"/>
      <c r="H245" s="107">
        <v>240</v>
      </c>
      <c r="I245" s="108" t="str">
        <f t="shared" si="23"/>
        <v/>
      </c>
      <c r="J245" s="107">
        <f t="shared" si="24"/>
        <v>-2</v>
      </c>
      <c r="K245" s="107">
        <f t="shared" si="25"/>
        <v>-20</v>
      </c>
      <c r="L245" s="107"/>
      <c r="M245" s="109">
        <f t="shared" si="26"/>
        <v>0</v>
      </c>
      <c r="N245" s="109">
        <f t="shared" si="27"/>
        <v>0</v>
      </c>
      <c r="O245" s="88"/>
      <c r="P245" s="88"/>
      <c r="Q245" s="88"/>
      <c r="R245" s="88"/>
      <c r="S245" s="88"/>
    </row>
    <row r="246" spans="1:20" s="93" customFormat="1" x14ac:dyDescent="0.25">
      <c r="A246" s="102">
        <f t="shared" si="22"/>
        <v>0</v>
      </c>
      <c r="B246" s="36" t="str">
        <f t="shared" si="28"/>
        <v/>
      </c>
      <c r="C246" s="37"/>
      <c r="D246" s="37"/>
      <c r="E246" s="37"/>
      <c r="F246" s="37"/>
      <c r="G246" s="88"/>
      <c r="H246" s="103">
        <v>241</v>
      </c>
      <c r="I246" s="104" t="str">
        <f t="shared" si="23"/>
        <v/>
      </c>
      <c r="J246" s="103">
        <f t="shared" si="24"/>
        <v>-2</v>
      </c>
      <c r="K246" s="103">
        <f t="shared" si="25"/>
        <v>-20</v>
      </c>
      <c r="L246" s="103"/>
      <c r="M246" s="105">
        <f t="shared" si="26"/>
        <v>0</v>
      </c>
      <c r="N246" s="105">
        <f t="shared" si="27"/>
        <v>0</v>
      </c>
      <c r="O246" s="88"/>
      <c r="P246" s="88"/>
      <c r="Q246" s="88"/>
      <c r="R246" s="88"/>
      <c r="S246" s="117"/>
      <c r="T246" s="118"/>
    </row>
    <row r="247" spans="1:20" s="93" customFormat="1" x14ac:dyDescent="0.25">
      <c r="A247" s="106">
        <f t="shared" si="22"/>
        <v>0</v>
      </c>
      <c r="B247" s="42" t="str">
        <f t="shared" si="28"/>
        <v/>
      </c>
      <c r="C247" s="43"/>
      <c r="D247" s="43"/>
      <c r="E247" s="43"/>
      <c r="F247" s="43"/>
      <c r="G247" s="88"/>
      <c r="H247" s="107">
        <v>242</v>
      </c>
      <c r="I247" s="108" t="str">
        <f t="shared" si="23"/>
        <v/>
      </c>
      <c r="J247" s="107">
        <f t="shared" si="24"/>
        <v>-2</v>
      </c>
      <c r="K247" s="107">
        <f t="shared" si="25"/>
        <v>-20</v>
      </c>
      <c r="L247" s="107"/>
      <c r="M247" s="109">
        <f t="shared" si="26"/>
        <v>0</v>
      </c>
      <c r="N247" s="109">
        <f t="shared" si="27"/>
        <v>0</v>
      </c>
      <c r="O247" s="88"/>
      <c r="P247" s="88"/>
      <c r="Q247" s="88"/>
      <c r="R247" s="88"/>
      <c r="S247" s="88"/>
    </row>
    <row r="248" spans="1:20" s="93" customFormat="1" x14ac:dyDescent="0.25">
      <c r="A248" s="102">
        <f t="shared" si="22"/>
        <v>0</v>
      </c>
      <c r="B248" s="36" t="str">
        <f t="shared" si="28"/>
        <v/>
      </c>
      <c r="C248" s="37"/>
      <c r="D248" s="37"/>
      <c r="E248" s="37"/>
      <c r="F248" s="37"/>
      <c r="G248" s="88"/>
      <c r="H248" s="103">
        <v>243</v>
      </c>
      <c r="I248" s="104" t="str">
        <f t="shared" si="23"/>
        <v/>
      </c>
      <c r="J248" s="103">
        <f t="shared" si="24"/>
        <v>-2</v>
      </c>
      <c r="K248" s="103">
        <f t="shared" si="25"/>
        <v>-20</v>
      </c>
      <c r="L248" s="103"/>
      <c r="M248" s="105">
        <f t="shared" si="26"/>
        <v>0</v>
      </c>
      <c r="N248" s="105">
        <f t="shared" si="27"/>
        <v>0</v>
      </c>
      <c r="O248" s="88"/>
      <c r="P248" s="88"/>
      <c r="Q248" s="88"/>
      <c r="R248" s="88"/>
      <c r="S248" s="117"/>
      <c r="T248" s="118"/>
    </row>
    <row r="249" spans="1:20" s="93" customFormat="1" x14ac:dyDescent="0.25">
      <c r="A249" s="106">
        <f t="shared" si="22"/>
        <v>0</v>
      </c>
      <c r="B249" s="42" t="str">
        <f t="shared" si="28"/>
        <v/>
      </c>
      <c r="C249" s="43"/>
      <c r="D249" s="43"/>
      <c r="E249" s="43"/>
      <c r="F249" s="43"/>
      <c r="G249" s="88"/>
      <c r="H249" s="107">
        <v>244</v>
      </c>
      <c r="I249" s="108" t="str">
        <f t="shared" si="23"/>
        <v/>
      </c>
      <c r="J249" s="107">
        <f t="shared" si="24"/>
        <v>-2</v>
      </c>
      <c r="K249" s="107">
        <f t="shared" si="25"/>
        <v>-20</v>
      </c>
      <c r="L249" s="107"/>
      <c r="M249" s="109">
        <f t="shared" si="26"/>
        <v>0</v>
      </c>
      <c r="N249" s="109">
        <f t="shared" si="27"/>
        <v>0</v>
      </c>
      <c r="O249" s="88"/>
      <c r="P249" s="88"/>
      <c r="Q249" s="88"/>
      <c r="R249" s="88"/>
      <c r="S249" s="88"/>
    </row>
    <row r="250" spans="1:20" s="93" customFormat="1" x14ac:dyDescent="0.25">
      <c r="A250" s="102">
        <f t="shared" si="22"/>
        <v>0</v>
      </c>
      <c r="B250" s="36" t="str">
        <f t="shared" si="28"/>
        <v/>
      </c>
      <c r="C250" s="37"/>
      <c r="D250" s="37"/>
      <c r="E250" s="37"/>
      <c r="F250" s="37"/>
      <c r="G250" s="88"/>
      <c r="H250" s="103">
        <v>245</v>
      </c>
      <c r="I250" s="104" t="str">
        <f t="shared" si="23"/>
        <v/>
      </c>
      <c r="J250" s="103">
        <f t="shared" si="24"/>
        <v>-2</v>
      </c>
      <c r="K250" s="103">
        <f t="shared" si="25"/>
        <v>-20</v>
      </c>
      <c r="L250" s="103"/>
      <c r="M250" s="105">
        <f t="shared" si="26"/>
        <v>0</v>
      </c>
      <c r="N250" s="105">
        <f t="shared" si="27"/>
        <v>0</v>
      </c>
      <c r="O250" s="88"/>
      <c r="P250" s="88"/>
      <c r="Q250" s="88"/>
      <c r="R250" s="88"/>
      <c r="S250" s="117"/>
      <c r="T250" s="118"/>
    </row>
    <row r="251" spans="1:20" s="93" customFormat="1" x14ac:dyDescent="0.25">
      <c r="A251" s="106">
        <f t="shared" si="22"/>
        <v>0</v>
      </c>
      <c r="B251" s="123"/>
      <c r="C251" s="123"/>
      <c r="D251" s="123"/>
      <c r="E251" s="123"/>
      <c r="F251" s="123"/>
      <c r="G251" s="88"/>
      <c r="H251" s="103">
        <v>246</v>
      </c>
      <c r="I251" s="104" t="str">
        <f t="shared" si="23"/>
        <v/>
      </c>
      <c r="J251" s="103">
        <f t="shared" si="24"/>
        <v>-2</v>
      </c>
      <c r="K251" s="103">
        <f t="shared" si="25"/>
        <v>-20</v>
      </c>
      <c r="L251" s="103"/>
      <c r="M251" s="105">
        <f t="shared" si="26"/>
        <v>0</v>
      </c>
      <c r="N251" s="105">
        <f t="shared" si="27"/>
        <v>0</v>
      </c>
      <c r="O251" s="88"/>
      <c r="P251" s="88"/>
      <c r="Q251" s="88"/>
      <c r="R251" s="88"/>
      <c r="S251" s="88"/>
    </row>
    <row r="252" spans="1:20" s="93" customFormat="1" x14ac:dyDescent="0.25">
      <c r="A252" s="102">
        <f t="shared" si="22"/>
        <v>0</v>
      </c>
      <c r="B252" s="123"/>
      <c r="C252" s="123"/>
      <c r="D252" s="123"/>
      <c r="E252" s="123"/>
      <c r="F252" s="123"/>
      <c r="G252" s="88"/>
      <c r="H252" s="103">
        <v>247</v>
      </c>
      <c r="I252" s="104" t="str">
        <f t="shared" si="23"/>
        <v/>
      </c>
      <c r="J252" s="103">
        <f t="shared" si="24"/>
        <v>-2</v>
      </c>
      <c r="K252" s="103">
        <f t="shared" si="25"/>
        <v>-20</v>
      </c>
      <c r="L252" s="103"/>
      <c r="M252" s="105">
        <f t="shared" si="26"/>
        <v>0</v>
      </c>
      <c r="N252" s="105">
        <f t="shared" si="27"/>
        <v>0</v>
      </c>
      <c r="O252" s="88"/>
      <c r="P252" s="88"/>
      <c r="Q252" s="88"/>
      <c r="R252" s="88"/>
      <c r="S252" s="88"/>
    </row>
    <row r="253" spans="1:20" s="93" customFormat="1" x14ac:dyDescent="0.25">
      <c r="A253" s="106">
        <f t="shared" si="22"/>
        <v>0</v>
      </c>
      <c r="B253" s="123"/>
      <c r="C253" s="123"/>
      <c r="D253" s="123"/>
      <c r="E253" s="123"/>
      <c r="F253" s="123"/>
      <c r="G253" s="88"/>
      <c r="H253" s="103">
        <v>248</v>
      </c>
      <c r="I253" s="104" t="str">
        <f t="shared" si="23"/>
        <v/>
      </c>
      <c r="J253" s="103">
        <f t="shared" si="24"/>
        <v>-2</v>
      </c>
      <c r="K253" s="103">
        <f t="shared" si="25"/>
        <v>-20</v>
      </c>
      <c r="L253" s="103"/>
      <c r="M253" s="105">
        <f t="shared" si="26"/>
        <v>0</v>
      </c>
      <c r="N253" s="105">
        <f t="shared" si="27"/>
        <v>0</v>
      </c>
      <c r="O253" s="88"/>
      <c r="P253" s="88"/>
      <c r="Q253" s="88"/>
      <c r="R253" s="88"/>
      <c r="S253" s="88"/>
    </row>
    <row r="254" spans="1:20" s="93" customFormat="1" x14ac:dyDescent="0.25">
      <c r="A254" s="102">
        <f t="shared" si="22"/>
        <v>0</v>
      </c>
      <c r="B254" s="123"/>
      <c r="C254" s="123"/>
      <c r="D254" s="123"/>
      <c r="E254" s="123"/>
      <c r="F254" s="123"/>
      <c r="G254" s="88"/>
      <c r="H254" s="103">
        <v>249</v>
      </c>
      <c r="I254" s="104" t="str">
        <f t="shared" si="23"/>
        <v/>
      </c>
      <c r="J254" s="103">
        <f t="shared" si="24"/>
        <v>-2</v>
      </c>
      <c r="K254" s="103">
        <f t="shared" si="25"/>
        <v>-20</v>
      </c>
      <c r="L254" s="103"/>
      <c r="M254" s="105">
        <f t="shared" si="26"/>
        <v>0</v>
      </c>
      <c r="N254" s="105">
        <f t="shared" si="27"/>
        <v>0</v>
      </c>
      <c r="O254" s="88"/>
      <c r="P254" s="88"/>
      <c r="Q254" s="88"/>
      <c r="R254" s="88"/>
      <c r="S254" s="88"/>
    </row>
    <row r="255" spans="1:20" s="93" customFormat="1" x14ac:dyDescent="0.25">
      <c r="A255" s="106">
        <f t="shared" si="22"/>
        <v>0</v>
      </c>
      <c r="B255" s="123"/>
      <c r="C255" s="123"/>
      <c r="D255" s="123"/>
      <c r="E255" s="123"/>
      <c r="F255" s="123"/>
      <c r="G255" s="88"/>
      <c r="H255" s="103">
        <v>250</v>
      </c>
      <c r="I255" s="104" t="str">
        <f t="shared" si="23"/>
        <v/>
      </c>
      <c r="J255" s="103">
        <f t="shared" si="24"/>
        <v>-2</v>
      </c>
      <c r="K255" s="103">
        <f t="shared" si="25"/>
        <v>-20</v>
      </c>
      <c r="L255" s="103"/>
      <c r="M255" s="105">
        <f t="shared" si="26"/>
        <v>0</v>
      </c>
      <c r="N255" s="105">
        <f t="shared" si="27"/>
        <v>0</v>
      </c>
      <c r="O255" s="88"/>
      <c r="P255" s="88"/>
      <c r="Q255" s="88"/>
      <c r="R255" s="88"/>
      <c r="S255" s="88"/>
    </row>
    <row r="256" spans="1:20" s="93" customFormat="1" x14ac:dyDescent="0.25">
      <c r="A256" s="102">
        <f t="shared" si="22"/>
        <v>0</v>
      </c>
      <c r="B256" s="123"/>
      <c r="C256" s="123"/>
      <c r="D256" s="123"/>
      <c r="E256" s="123"/>
      <c r="F256" s="123"/>
      <c r="G256" s="88"/>
      <c r="H256" s="103">
        <v>251</v>
      </c>
      <c r="I256" s="104" t="str">
        <f t="shared" si="23"/>
        <v/>
      </c>
      <c r="J256" s="103">
        <f t="shared" si="24"/>
        <v>-2</v>
      </c>
      <c r="K256" s="103">
        <f t="shared" si="25"/>
        <v>-20</v>
      </c>
      <c r="L256" s="103"/>
      <c r="M256" s="105">
        <f t="shared" si="26"/>
        <v>0</v>
      </c>
      <c r="N256" s="105">
        <f t="shared" si="27"/>
        <v>0</v>
      </c>
      <c r="O256" s="88"/>
      <c r="P256" s="88"/>
      <c r="Q256" s="88"/>
      <c r="R256" s="88"/>
      <c r="S256" s="88"/>
    </row>
    <row r="257" spans="1:39" s="88" customFormat="1" x14ac:dyDescent="0.25">
      <c r="A257" s="106">
        <f t="shared" si="22"/>
        <v>0</v>
      </c>
      <c r="B257" s="123"/>
      <c r="C257" s="123"/>
      <c r="D257" s="123"/>
      <c r="E257" s="123"/>
      <c r="F257" s="123"/>
      <c r="H257" s="103">
        <v>252</v>
      </c>
      <c r="I257" s="104" t="str">
        <f t="shared" si="23"/>
        <v/>
      </c>
      <c r="J257" s="103">
        <f t="shared" si="24"/>
        <v>-2</v>
      </c>
      <c r="K257" s="103">
        <f t="shared" si="25"/>
        <v>-20</v>
      </c>
      <c r="L257" s="103"/>
      <c r="M257" s="105">
        <f t="shared" si="26"/>
        <v>0</v>
      </c>
      <c r="N257" s="105">
        <f t="shared" si="27"/>
        <v>0</v>
      </c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</row>
    <row r="258" spans="1:39" s="88" customFormat="1" x14ac:dyDescent="0.25">
      <c r="A258" s="102">
        <f t="shared" si="22"/>
        <v>0</v>
      </c>
      <c r="B258" s="123"/>
      <c r="C258" s="123"/>
      <c r="D258" s="123"/>
      <c r="E258" s="123"/>
      <c r="F258" s="123"/>
      <c r="H258" s="103">
        <v>253</v>
      </c>
      <c r="I258" s="104" t="str">
        <f t="shared" si="23"/>
        <v/>
      </c>
      <c r="J258" s="103">
        <f t="shared" si="24"/>
        <v>-2</v>
      </c>
      <c r="K258" s="103">
        <f t="shared" si="25"/>
        <v>-20</v>
      </c>
      <c r="L258" s="103"/>
      <c r="M258" s="105">
        <f t="shared" si="26"/>
        <v>0</v>
      </c>
      <c r="N258" s="105">
        <f t="shared" si="27"/>
        <v>0</v>
      </c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</row>
    <row r="259" spans="1:39" s="88" customFormat="1" x14ac:dyDescent="0.25">
      <c r="A259" s="106">
        <f t="shared" si="22"/>
        <v>0</v>
      </c>
      <c r="B259" s="123"/>
      <c r="C259" s="123"/>
      <c r="D259" s="123"/>
      <c r="E259" s="123"/>
      <c r="F259" s="123"/>
      <c r="H259" s="103">
        <v>254</v>
      </c>
      <c r="I259" s="104" t="str">
        <f t="shared" si="23"/>
        <v/>
      </c>
      <c r="J259" s="103">
        <f t="shared" si="24"/>
        <v>-2</v>
      </c>
      <c r="K259" s="103">
        <f t="shared" si="25"/>
        <v>-20</v>
      </c>
      <c r="L259" s="103"/>
      <c r="M259" s="105">
        <f t="shared" si="26"/>
        <v>0</v>
      </c>
      <c r="N259" s="105">
        <f t="shared" si="27"/>
        <v>0</v>
      </c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</row>
    <row r="260" spans="1:39" s="88" customFormat="1" x14ac:dyDescent="0.25">
      <c r="A260" s="102">
        <f t="shared" si="22"/>
        <v>0</v>
      </c>
      <c r="B260" s="123"/>
      <c r="C260" s="123"/>
      <c r="D260" s="123"/>
      <c r="E260" s="123"/>
      <c r="F260" s="123"/>
      <c r="H260" s="103">
        <v>255</v>
      </c>
      <c r="I260" s="104" t="str">
        <f t="shared" si="23"/>
        <v/>
      </c>
      <c r="J260" s="103">
        <f t="shared" si="24"/>
        <v>-2</v>
      </c>
      <c r="K260" s="103">
        <f t="shared" si="25"/>
        <v>-20</v>
      </c>
      <c r="L260" s="103"/>
      <c r="M260" s="105">
        <f t="shared" si="26"/>
        <v>0</v>
      </c>
      <c r="N260" s="105">
        <f t="shared" si="27"/>
        <v>0</v>
      </c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</row>
    <row r="261" spans="1:39" s="88" customFormat="1" x14ac:dyDescent="0.25">
      <c r="A261" s="106">
        <f t="shared" si="22"/>
        <v>0</v>
      </c>
      <c r="B261" s="123"/>
      <c r="C261" s="123"/>
      <c r="D261" s="123"/>
      <c r="E261" s="123"/>
      <c r="F261" s="123"/>
      <c r="H261" s="103">
        <v>256</v>
      </c>
      <c r="I261" s="104" t="str">
        <f t="shared" si="23"/>
        <v/>
      </c>
      <c r="J261" s="103">
        <f t="shared" si="24"/>
        <v>-2</v>
      </c>
      <c r="K261" s="103">
        <f t="shared" si="25"/>
        <v>-20</v>
      </c>
      <c r="L261" s="103"/>
      <c r="M261" s="105">
        <f t="shared" si="26"/>
        <v>0</v>
      </c>
      <c r="N261" s="105">
        <f t="shared" si="27"/>
        <v>0</v>
      </c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</row>
    <row r="262" spans="1:39" s="88" customFormat="1" x14ac:dyDescent="0.25">
      <c r="A262" s="102">
        <f t="shared" ref="A262:A305" si="29">N262</f>
        <v>0</v>
      </c>
      <c r="B262" s="123"/>
      <c r="C262" s="123"/>
      <c r="D262" s="123"/>
      <c r="E262" s="123"/>
      <c r="F262" s="123"/>
      <c r="H262" s="103">
        <v>257</v>
      </c>
      <c r="I262" s="104" t="str">
        <f t="shared" ref="I262:I305" si="30">IF(H262&lt;$H$2+1,($I$2-($I$2-1)*(LOG(H262)/LOG($H$2))),"")</f>
        <v/>
      </c>
      <c r="J262" s="103">
        <f t="shared" ref="J262:J305" si="31">INT(LOG($H$2,2))-ROUNDUP(LOG(H262,2),0)+IF(OR($H$2=1,$H$2=2,$H$2=4,$H$2=8,$H$2=16,$H$2=32,$H$2=64,$H$2=128,$H$2=256),0,1)</f>
        <v>-3</v>
      </c>
      <c r="K262" s="103">
        <f t="shared" ref="K262:K305" si="32">J262*$J$2</f>
        <v>-30</v>
      </c>
      <c r="L262" s="103"/>
      <c r="M262" s="105">
        <f t="shared" ref="M262:M305" si="33">IF(I262&lt;&gt;"",K262+I262+L262,0)</f>
        <v>0</v>
      </c>
      <c r="N262" s="105">
        <f t="shared" ref="N262:N305" si="34">IF(I262&lt;&gt;"",M262*L$2,0)</f>
        <v>0</v>
      </c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</row>
    <row r="263" spans="1:39" s="88" customFormat="1" x14ac:dyDescent="0.25">
      <c r="A263" s="106">
        <f t="shared" si="29"/>
        <v>0</v>
      </c>
      <c r="B263" s="123"/>
      <c r="C263" s="123"/>
      <c r="D263" s="123"/>
      <c r="E263" s="123"/>
      <c r="F263" s="123"/>
      <c r="H263" s="103">
        <v>258</v>
      </c>
      <c r="I263" s="104" t="str">
        <f t="shared" si="30"/>
        <v/>
      </c>
      <c r="J263" s="103">
        <f t="shared" si="31"/>
        <v>-3</v>
      </c>
      <c r="K263" s="103">
        <f t="shared" si="32"/>
        <v>-30</v>
      </c>
      <c r="L263" s="103"/>
      <c r="M263" s="105">
        <f t="shared" si="33"/>
        <v>0</v>
      </c>
      <c r="N263" s="105">
        <f t="shared" si="34"/>
        <v>0</v>
      </c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</row>
    <row r="264" spans="1:39" s="88" customFormat="1" x14ac:dyDescent="0.25">
      <c r="A264" s="102">
        <f t="shared" si="29"/>
        <v>0</v>
      </c>
      <c r="B264" s="123"/>
      <c r="C264" s="123"/>
      <c r="D264" s="123"/>
      <c r="E264" s="123"/>
      <c r="F264" s="123"/>
      <c r="H264" s="103">
        <v>259</v>
      </c>
      <c r="I264" s="104" t="str">
        <f t="shared" si="30"/>
        <v/>
      </c>
      <c r="J264" s="103">
        <f t="shared" si="31"/>
        <v>-3</v>
      </c>
      <c r="K264" s="103">
        <f t="shared" si="32"/>
        <v>-30</v>
      </c>
      <c r="L264" s="103"/>
      <c r="M264" s="105">
        <f t="shared" si="33"/>
        <v>0</v>
      </c>
      <c r="N264" s="105">
        <f t="shared" si="34"/>
        <v>0</v>
      </c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</row>
    <row r="265" spans="1:39" s="88" customFormat="1" x14ac:dyDescent="0.25">
      <c r="A265" s="106">
        <f t="shared" si="29"/>
        <v>0</v>
      </c>
      <c r="B265" s="123"/>
      <c r="C265" s="123"/>
      <c r="D265" s="123"/>
      <c r="E265" s="123"/>
      <c r="F265" s="123"/>
      <c r="H265" s="103">
        <v>260</v>
      </c>
      <c r="I265" s="104" t="str">
        <f t="shared" si="30"/>
        <v/>
      </c>
      <c r="J265" s="103">
        <f t="shared" si="31"/>
        <v>-3</v>
      </c>
      <c r="K265" s="103">
        <f t="shared" si="32"/>
        <v>-30</v>
      </c>
      <c r="L265" s="103"/>
      <c r="M265" s="105">
        <f t="shared" si="33"/>
        <v>0</v>
      </c>
      <c r="N265" s="105">
        <f t="shared" si="34"/>
        <v>0</v>
      </c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</row>
    <row r="266" spans="1:39" s="88" customFormat="1" x14ac:dyDescent="0.25">
      <c r="A266" s="102">
        <f t="shared" si="29"/>
        <v>0</v>
      </c>
      <c r="B266" s="123"/>
      <c r="C266" s="123"/>
      <c r="D266" s="123"/>
      <c r="E266" s="123"/>
      <c r="F266" s="123"/>
      <c r="H266" s="103">
        <v>261</v>
      </c>
      <c r="I266" s="104" t="str">
        <f t="shared" si="30"/>
        <v/>
      </c>
      <c r="J266" s="103">
        <f t="shared" si="31"/>
        <v>-3</v>
      </c>
      <c r="K266" s="103">
        <f t="shared" si="32"/>
        <v>-30</v>
      </c>
      <c r="L266" s="103"/>
      <c r="M266" s="105">
        <f t="shared" si="33"/>
        <v>0</v>
      </c>
      <c r="N266" s="105">
        <f t="shared" si="34"/>
        <v>0</v>
      </c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</row>
    <row r="267" spans="1:39" s="88" customFormat="1" x14ac:dyDescent="0.25">
      <c r="A267" s="106">
        <f t="shared" si="29"/>
        <v>0</v>
      </c>
      <c r="B267" s="123"/>
      <c r="C267" s="123"/>
      <c r="D267" s="123"/>
      <c r="E267" s="123"/>
      <c r="F267" s="123"/>
      <c r="H267" s="103">
        <v>262</v>
      </c>
      <c r="I267" s="104" t="str">
        <f t="shared" si="30"/>
        <v/>
      </c>
      <c r="J267" s="103">
        <f t="shared" si="31"/>
        <v>-3</v>
      </c>
      <c r="K267" s="103">
        <f t="shared" si="32"/>
        <v>-30</v>
      </c>
      <c r="L267" s="103"/>
      <c r="M267" s="105">
        <f t="shared" si="33"/>
        <v>0</v>
      </c>
      <c r="N267" s="105">
        <f t="shared" si="34"/>
        <v>0</v>
      </c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</row>
    <row r="268" spans="1:39" s="88" customFormat="1" x14ac:dyDescent="0.25">
      <c r="A268" s="102">
        <f t="shared" si="29"/>
        <v>0</v>
      </c>
      <c r="B268" s="123"/>
      <c r="C268" s="123"/>
      <c r="D268" s="123"/>
      <c r="E268" s="123"/>
      <c r="F268" s="123"/>
      <c r="H268" s="103">
        <v>263</v>
      </c>
      <c r="I268" s="104" t="str">
        <f t="shared" si="30"/>
        <v/>
      </c>
      <c r="J268" s="103">
        <f t="shared" si="31"/>
        <v>-3</v>
      </c>
      <c r="K268" s="103">
        <f t="shared" si="32"/>
        <v>-30</v>
      </c>
      <c r="L268" s="103"/>
      <c r="M268" s="105">
        <f t="shared" si="33"/>
        <v>0</v>
      </c>
      <c r="N268" s="105">
        <f t="shared" si="34"/>
        <v>0</v>
      </c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</row>
    <row r="269" spans="1:39" s="88" customFormat="1" x14ac:dyDescent="0.25">
      <c r="A269" s="106">
        <f t="shared" si="29"/>
        <v>0</v>
      </c>
      <c r="B269" s="123"/>
      <c r="C269" s="123"/>
      <c r="D269" s="123"/>
      <c r="E269" s="123"/>
      <c r="F269" s="123"/>
      <c r="H269" s="103">
        <v>264</v>
      </c>
      <c r="I269" s="104" t="str">
        <f t="shared" si="30"/>
        <v/>
      </c>
      <c r="J269" s="103">
        <f t="shared" si="31"/>
        <v>-3</v>
      </c>
      <c r="K269" s="103">
        <f t="shared" si="32"/>
        <v>-30</v>
      </c>
      <c r="L269" s="103"/>
      <c r="M269" s="105">
        <f t="shared" si="33"/>
        <v>0</v>
      </c>
      <c r="N269" s="105">
        <f t="shared" si="34"/>
        <v>0</v>
      </c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</row>
    <row r="270" spans="1:39" s="88" customFormat="1" x14ac:dyDescent="0.25">
      <c r="A270" s="102">
        <f t="shared" si="29"/>
        <v>0</v>
      </c>
      <c r="B270" s="123"/>
      <c r="C270" s="123"/>
      <c r="D270" s="123"/>
      <c r="E270" s="123"/>
      <c r="F270" s="123"/>
      <c r="H270" s="103">
        <v>265</v>
      </c>
      <c r="I270" s="104" t="str">
        <f t="shared" si="30"/>
        <v/>
      </c>
      <c r="J270" s="103">
        <f t="shared" si="31"/>
        <v>-3</v>
      </c>
      <c r="K270" s="103">
        <f t="shared" si="32"/>
        <v>-30</v>
      </c>
      <c r="L270" s="103"/>
      <c r="M270" s="105">
        <f t="shared" si="33"/>
        <v>0</v>
      </c>
      <c r="N270" s="105">
        <f t="shared" si="34"/>
        <v>0</v>
      </c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</row>
    <row r="271" spans="1:39" s="88" customFormat="1" x14ac:dyDescent="0.25">
      <c r="A271" s="106">
        <f t="shared" si="29"/>
        <v>0</v>
      </c>
      <c r="B271" s="123"/>
      <c r="C271" s="123"/>
      <c r="D271" s="123"/>
      <c r="E271" s="123"/>
      <c r="F271" s="123"/>
      <c r="H271" s="103">
        <v>266</v>
      </c>
      <c r="I271" s="104" t="str">
        <f t="shared" si="30"/>
        <v/>
      </c>
      <c r="J271" s="103">
        <f t="shared" si="31"/>
        <v>-3</v>
      </c>
      <c r="K271" s="103">
        <f t="shared" si="32"/>
        <v>-30</v>
      </c>
      <c r="L271" s="103"/>
      <c r="M271" s="105">
        <f t="shared" si="33"/>
        <v>0</v>
      </c>
      <c r="N271" s="105">
        <f t="shared" si="34"/>
        <v>0</v>
      </c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</row>
    <row r="272" spans="1:39" s="88" customFormat="1" x14ac:dyDescent="0.25">
      <c r="A272" s="102">
        <f t="shared" si="29"/>
        <v>0</v>
      </c>
      <c r="B272" s="123"/>
      <c r="C272" s="123"/>
      <c r="D272" s="123"/>
      <c r="E272" s="123"/>
      <c r="F272" s="123"/>
      <c r="H272" s="103">
        <v>267</v>
      </c>
      <c r="I272" s="104" t="str">
        <f t="shared" si="30"/>
        <v/>
      </c>
      <c r="J272" s="103">
        <f t="shared" si="31"/>
        <v>-3</v>
      </c>
      <c r="K272" s="103">
        <f t="shared" si="32"/>
        <v>-30</v>
      </c>
      <c r="L272" s="103"/>
      <c r="M272" s="105">
        <f t="shared" si="33"/>
        <v>0</v>
      </c>
      <c r="N272" s="105">
        <f t="shared" si="34"/>
        <v>0</v>
      </c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</row>
    <row r="273" spans="1:39" s="88" customFormat="1" x14ac:dyDescent="0.25">
      <c r="A273" s="106">
        <f t="shared" si="29"/>
        <v>0</v>
      </c>
      <c r="B273" s="123"/>
      <c r="C273" s="123"/>
      <c r="D273" s="123"/>
      <c r="E273" s="123"/>
      <c r="F273" s="123"/>
      <c r="H273" s="103">
        <v>268</v>
      </c>
      <c r="I273" s="104" t="str">
        <f t="shared" si="30"/>
        <v/>
      </c>
      <c r="J273" s="103">
        <f t="shared" si="31"/>
        <v>-3</v>
      </c>
      <c r="K273" s="103">
        <f t="shared" si="32"/>
        <v>-30</v>
      </c>
      <c r="L273" s="103"/>
      <c r="M273" s="105">
        <f t="shared" si="33"/>
        <v>0</v>
      </c>
      <c r="N273" s="105">
        <f t="shared" si="34"/>
        <v>0</v>
      </c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</row>
    <row r="274" spans="1:39" s="88" customFormat="1" x14ac:dyDescent="0.25">
      <c r="A274" s="102">
        <f t="shared" si="29"/>
        <v>0</v>
      </c>
      <c r="B274" s="123"/>
      <c r="C274" s="123"/>
      <c r="D274" s="123"/>
      <c r="E274" s="123"/>
      <c r="F274" s="123"/>
      <c r="H274" s="103">
        <v>269</v>
      </c>
      <c r="I274" s="104" t="str">
        <f t="shared" si="30"/>
        <v/>
      </c>
      <c r="J274" s="103">
        <f t="shared" si="31"/>
        <v>-3</v>
      </c>
      <c r="K274" s="103">
        <f t="shared" si="32"/>
        <v>-30</v>
      </c>
      <c r="L274" s="103"/>
      <c r="M274" s="105">
        <f t="shared" si="33"/>
        <v>0</v>
      </c>
      <c r="N274" s="105">
        <f t="shared" si="34"/>
        <v>0</v>
      </c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</row>
    <row r="275" spans="1:39" s="88" customFormat="1" x14ac:dyDescent="0.25">
      <c r="A275" s="106">
        <f t="shared" si="29"/>
        <v>0</v>
      </c>
      <c r="B275" s="123"/>
      <c r="C275" s="123"/>
      <c r="D275" s="123"/>
      <c r="E275" s="123"/>
      <c r="F275" s="123"/>
      <c r="H275" s="103">
        <v>270</v>
      </c>
      <c r="I275" s="104" t="str">
        <f t="shared" si="30"/>
        <v/>
      </c>
      <c r="J275" s="103">
        <f t="shared" si="31"/>
        <v>-3</v>
      </c>
      <c r="K275" s="103">
        <f t="shared" si="32"/>
        <v>-30</v>
      </c>
      <c r="L275" s="103"/>
      <c r="M275" s="105">
        <f t="shared" si="33"/>
        <v>0</v>
      </c>
      <c r="N275" s="105">
        <f t="shared" si="34"/>
        <v>0</v>
      </c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</row>
    <row r="276" spans="1:39" s="88" customFormat="1" x14ac:dyDescent="0.25">
      <c r="A276" s="102">
        <f t="shared" si="29"/>
        <v>0</v>
      </c>
      <c r="B276" s="123"/>
      <c r="C276" s="123"/>
      <c r="D276" s="123"/>
      <c r="E276" s="123"/>
      <c r="F276" s="123"/>
      <c r="H276" s="103">
        <v>271</v>
      </c>
      <c r="I276" s="104" t="str">
        <f t="shared" si="30"/>
        <v/>
      </c>
      <c r="J276" s="103">
        <f t="shared" si="31"/>
        <v>-3</v>
      </c>
      <c r="K276" s="103">
        <f t="shared" si="32"/>
        <v>-30</v>
      </c>
      <c r="L276" s="103"/>
      <c r="M276" s="105">
        <f t="shared" si="33"/>
        <v>0</v>
      </c>
      <c r="N276" s="105">
        <f t="shared" si="34"/>
        <v>0</v>
      </c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</row>
    <row r="277" spans="1:39" s="88" customFormat="1" x14ac:dyDescent="0.25">
      <c r="A277" s="106">
        <f t="shared" si="29"/>
        <v>0</v>
      </c>
      <c r="B277" s="123"/>
      <c r="C277" s="123"/>
      <c r="D277" s="123"/>
      <c r="E277" s="123"/>
      <c r="F277" s="123"/>
      <c r="H277" s="103">
        <v>272</v>
      </c>
      <c r="I277" s="104" t="str">
        <f t="shared" si="30"/>
        <v/>
      </c>
      <c r="J277" s="103">
        <f t="shared" si="31"/>
        <v>-3</v>
      </c>
      <c r="K277" s="103">
        <f t="shared" si="32"/>
        <v>-30</v>
      </c>
      <c r="L277" s="103"/>
      <c r="M277" s="105">
        <f t="shared" si="33"/>
        <v>0</v>
      </c>
      <c r="N277" s="105">
        <f t="shared" si="34"/>
        <v>0</v>
      </c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</row>
    <row r="278" spans="1:39" s="88" customFormat="1" x14ac:dyDescent="0.25">
      <c r="A278" s="102">
        <f t="shared" si="29"/>
        <v>0</v>
      </c>
      <c r="B278" s="123"/>
      <c r="C278" s="123"/>
      <c r="D278" s="123"/>
      <c r="E278" s="123"/>
      <c r="F278" s="123"/>
      <c r="H278" s="103">
        <v>273</v>
      </c>
      <c r="I278" s="104" t="str">
        <f t="shared" si="30"/>
        <v/>
      </c>
      <c r="J278" s="103">
        <f t="shared" si="31"/>
        <v>-3</v>
      </c>
      <c r="K278" s="103">
        <f t="shared" si="32"/>
        <v>-30</v>
      </c>
      <c r="L278" s="103"/>
      <c r="M278" s="105">
        <f t="shared" si="33"/>
        <v>0</v>
      </c>
      <c r="N278" s="105">
        <f t="shared" si="34"/>
        <v>0</v>
      </c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</row>
    <row r="279" spans="1:39" s="88" customFormat="1" x14ac:dyDescent="0.25">
      <c r="A279" s="106">
        <f t="shared" si="29"/>
        <v>0</v>
      </c>
      <c r="B279" s="123"/>
      <c r="C279" s="123"/>
      <c r="D279" s="123"/>
      <c r="E279" s="123"/>
      <c r="F279" s="123"/>
      <c r="H279" s="103">
        <v>274</v>
      </c>
      <c r="I279" s="104" t="str">
        <f t="shared" si="30"/>
        <v/>
      </c>
      <c r="J279" s="103">
        <f t="shared" si="31"/>
        <v>-3</v>
      </c>
      <c r="K279" s="103">
        <f t="shared" si="32"/>
        <v>-30</v>
      </c>
      <c r="L279" s="103"/>
      <c r="M279" s="105">
        <f t="shared" si="33"/>
        <v>0</v>
      </c>
      <c r="N279" s="105">
        <f t="shared" si="34"/>
        <v>0</v>
      </c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</row>
    <row r="280" spans="1:39" s="88" customFormat="1" x14ac:dyDescent="0.25">
      <c r="A280" s="102">
        <f t="shared" si="29"/>
        <v>0</v>
      </c>
      <c r="B280" s="123"/>
      <c r="C280" s="123"/>
      <c r="D280" s="123"/>
      <c r="E280" s="123"/>
      <c r="F280" s="123"/>
      <c r="H280" s="103">
        <v>275</v>
      </c>
      <c r="I280" s="104" t="str">
        <f t="shared" si="30"/>
        <v/>
      </c>
      <c r="J280" s="103">
        <f t="shared" si="31"/>
        <v>-3</v>
      </c>
      <c r="K280" s="103">
        <f t="shared" si="32"/>
        <v>-30</v>
      </c>
      <c r="L280" s="103"/>
      <c r="M280" s="105">
        <f t="shared" si="33"/>
        <v>0</v>
      </c>
      <c r="N280" s="105">
        <f t="shared" si="34"/>
        <v>0</v>
      </c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</row>
    <row r="281" spans="1:39" s="88" customFormat="1" x14ac:dyDescent="0.25">
      <c r="A281" s="106">
        <f t="shared" si="29"/>
        <v>0</v>
      </c>
      <c r="B281" s="123"/>
      <c r="C281" s="123"/>
      <c r="D281" s="123"/>
      <c r="E281" s="123"/>
      <c r="F281" s="123"/>
      <c r="H281" s="103">
        <v>276</v>
      </c>
      <c r="I281" s="104" t="str">
        <f t="shared" si="30"/>
        <v/>
      </c>
      <c r="J281" s="103">
        <f t="shared" si="31"/>
        <v>-3</v>
      </c>
      <c r="K281" s="103">
        <f t="shared" si="32"/>
        <v>-30</v>
      </c>
      <c r="L281" s="103"/>
      <c r="M281" s="105">
        <f t="shared" si="33"/>
        <v>0</v>
      </c>
      <c r="N281" s="105">
        <f t="shared" si="34"/>
        <v>0</v>
      </c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</row>
    <row r="282" spans="1:39" s="88" customFormat="1" x14ac:dyDescent="0.25">
      <c r="A282" s="102">
        <f t="shared" si="29"/>
        <v>0</v>
      </c>
      <c r="B282" s="123"/>
      <c r="C282" s="123"/>
      <c r="D282" s="123"/>
      <c r="E282" s="123"/>
      <c r="F282" s="123"/>
      <c r="H282" s="103">
        <v>277</v>
      </c>
      <c r="I282" s="104" t="str">
        <f t="shared" si="30"/>
        <v/>
      </c>
      <c r="J282" s="103">
        <f t="shared" si="31"/>
        <v>-3</v>
      </c>
      <c r="K282" s="103">
        <f t="shared" si="32"/>
        <v>-30</v>
      </c>
      <c r="L282" s="103"/>
      <c r="M282" s="105">
        <f t="shared" si="33"/>
        <v>0</v>
      </c>
      <c r="N282" s="105">
        <f t="shared" si="34"/>
        <v>0</v>
      </c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</row>
    <row r="283" spans="1:39" s="88" customFormat="1" x14ac:dyDescent="0.25">
      <c r="A283" s="106">
        <f t="shared" si="29"/>
        <v>0</v>
      </c>
      <c r="B283" s="123"/>
      <c r="C283" s="123"/>
      <c r="D283" s="123"/>
      <c r="E283" s="123"/>
      <c r="F283" s="123"/>
      <c r="H283" s="103">
        <v>278</v>
      </c>
      <c r="I283" s="104" t="str">
        <f t="shared" si="30"/>
        <v/>
      </c>
      <c r="J283" s="103">
        <f t="shared" si="31"/>
        <v>-3</v>
      </c>
      <c r="K283" s="103">
        <f t="shared" si="32"/>
        <v>-30</v>
      </c>
      <c r="L283" s="103"/>
      <c r="M283" s="105">
        <f t="shared" si="33"/>
        <v>0</v>
      </c>
      <c r="N283" s="105">
        <f t="shared" si="34"/>
        <v>0</v>
      </c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</row>
    <row r="284" spans="1:39" s="88" customFormat="1" x14ac:dyDescent="0.25">
      <c r="A284" s="102">
        <f t="shared" si="29"/>
        <v>0</v>
      </c>
      <c r="B284" s="123"/>
      <c r="C284" s="123"/>
      <c r="D284" s="123"/>
      <c r="E284" s="123"/>
      <c r="F284" s="123"/>
      <c r="H284" s="103">
        <v>279</v>
      </c>
      <c r="I284" s="104" t="str">
        <f t="shared" si="30"/>
        <v/>
      </c>
      <c r="J284" s="103">
        <f t="shared" si="31"/>
        <v>-3</v>
      </c>
      <c r="K284" s="103">
        <f t="shared" si="32"/>
        <v>-30</v>
      </c>
      <c r="L284" s="103"/>
      <c r="M284" s="105">
        <f t="shared" si="33"/>
        <v>0</v>
      </c>
      <c r="N284" s="105">
        <f t="shared" si="34"/>
        <v>0</v>
      </c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</row>
    <row r="285" spans="1:39" s="88" customFormat="1" x14ac:dyDescent="0.25">
      <c r="A285" s="106">
        <f t="shared" si="29"/>
        <v>0</v>
      </c>
      <c r="B285" s="123"/>
      <c r="C285" s="123"/>
      <c r="D285" s="123"/>
      <c r="E285" s="123"/>
      <c r="F285" s="123"/>
      <c r="H285" s="103">
        <v>280</v>
      </c>
      <c r="I285" s="104" t="str">
        <f t="shared" si="30"/>
        <v/>
      </c>
      <c r="J285" s="103">
        <f t="shared" si="31"/>
        <v>-3</v>
      </c>
      <c r="K285" s="103">
        <f t="shared" si="32"/>
        <v>-30</v>
      </c>
      <c r="L285" s="103"/>
      <c r="M285" s="105">
        <f t="shared" si="33"/>
        <v>0</v>
      </c>
      <c r="N285" s="105">
        <f t="shared" si="34"/>
        <v>0</v>
      </c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</row>
    <row r="286" spans="1:39" s="88" customFormat="1" x14ac:dyDescent="0.25">
      <c r="A286" s="102">
        <f t="shared" si="29"/>
        <v>0</v>
      </c>
      <c r="B286" s="123"/>
      <c r="C286" s="123"/>
      <c r="D286" s="123"/>
      <c r="E286" s="123"/>
      <c r="F286" s="123"/>
      <c r="H286" s="103">
        <v>281</v>
      </c>
      <c r="I286" s="104" t="str">
        <f t="shared" si="30"/>
        <v/>
      </c>
      <c r="J286" s="103">
        <f t="shared" si="31"/>
        <v>-3</v>
      </c>
      <c r="K286" s="103">
        <f t="shared" si="32"/>
        <v>-30</v>
      </c>
      <c r="L286" s="103"/>
      <c r="M286" s="105">
        <f t="shared" si="33"/>
        <v>0</v>
      </c>
      <c r="N286" s="105">
        <f t="shared" si="34"/>
        <v>0</v>
      </c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</row>
    <row r="287" spans="1:39" s="88" customFormat="1" x14ac:dyDescent="0.25">
      <c r="A287" s="106">
        <f t="shared" si="29"/>
        <v>0</v>
      </c>
      <c r="B287" s="123"/>
      <c r="C287" s="123"/>
      <c r="D287" s="123"/>
      <c r="E287" s="123"/>
      <c r="F287" s="123"/>
      <c r="H287" s="103">
        <v>282</v>
      </c>
      <c r="I287" s="104" t="str">
        <f t="shared" si="30"/>
        <v/>
      </c>
      <c r="J287" s="103">
        <f t="shared" si="31"/>
        <v>-3</v>
      </c>
      <c r="K287" s="103">
        <f t="shared" si="32"/>
        <v>-30</v>
      </c>
      <c r="L287" s="103"/>
      <c r="M287" s="105">
        <f t="shared" si="33"/>
        <v>0</v>
      </c>
      <c r="N287" s="105">
        <f t="shared" si="34"/>
        <v>0</v>
      </c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</row>
    <row r="288" spans="1:39" s="88" customFormat="1" x14ac:dyDescent="0.25">
      <c r="A288" s="102">
        <f t="shared" si="29"/>
        <v>0</v>
      </c>
      <c r="B288" s="123"/>
      <c r="C288" s="123"/>
      <c r="D288" s="123"/>
      <c r="E288" s="123"/>
      <c r="F288" s="123"/>
      <c r="H288" s="103">
        <v>283</v>
      </c>
      <c r="I288" s="104" t="str">
        <f t="shared" si="30"/>
        <v/>
      </c>
      <c r="J288" s="103">
        <f t="shared" si="31"/>
        <v>-3</v>
      </c>
      <c r="K288" s="103">
        <f t="shared" si="32"/>
        <v>-30</v>
      </c>
      <c r="L288" s="103"/>
      <c r="M288" s="105">
        <f t="shared" si="33"/>
        <v>0</v>
      </c>
      <c r="N288" s="105">
        <f t="shared" si="34"/>
        <v>0</v>
      </c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</row>
    <row r="289" spans="1:39" s="88" customFormat="1" x14ac:dyDescent="0.25">
      <c r="A289" s="106">
        <f t="shared" si="29"/>
        <v>0</v>
      </c>
      <c r="B289" s="123"/>
      <c r="C289" s="123"/>
      <c r="D289" s="123"/>
      <c r="E289" s="123"/>
      <c r="F289" s="123"/>
      <c r="H289" s="103">
        <v>284</v>
      </c>
      <c r="I289" s="104" t="str">
        <f t="shared" si="30"/>
        <v/>
      </c>
      <c r="J289" s="103">
        <f t="shared" si="31"/>
        <v>-3</v>
      </c>
      <c r="K289" s="103">
        <f t="shared" si="32"/>
        <v>-30</v>
      </c>
      <c r="L289" s="103"/>
      <c r="M289" s="105">
        <f t="shared" si="33"/>
        <v>0</v>
      </c>
      <c r="N289" s="105">
        <f t="shared" si="34"/>
        <v>0</v>
      </c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</row>
    <row r="290" spans="1:39" s="88" customFormat="1" x14ac:dyDescent="0.25">
      <c r="A290" s="102">
        <f t="shared" si="29"/>
        <v>0</v>
      </c>
      <c r="B290" s="123"/>
      <c r="C290" s="123"/>
      <c r="D290" s="123"/>
      <c r="E290" s="123"/>
      <c r="F290" s="123"/>
      <c r="H290" s="103">
        <v>285</v>
      </c>
      <c r="I290" s="104" t="str">
        <f t="shared" si="30"/>
        <v/>
      </c>
      <c r="J290" s="103">
        <f t="shared" si="31"/>
        <v>-3</v>
      </c>
      <c r="K290" s="103">
        <f t="shared" si="32"/>
        <v>-30</v>
      </c>
      <c r="L290" s="103"/>
      <c r="M290" s="105">
        <f t="shared" si="33"/>
        <v>0</v>
      </c>
      <c r="N290" s="105">
        <f t="shared" si="34"/>
        <v>0</v>
      </c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</row>
    <row r="291" spans="1:39" s="88" customFormat="1" x14ac:dyDescent="0.25">
      <c r="A291" s="106">
        <f t="shared" si="29"/>
        <v>0</v>
      </c>
      <c r="B291" s="123"/>
      <c r="C291" s="123"/>
      <c r="D291" s="123"/>
      <c r="E291" s="123"/>
      <c r="F291" s="123"/>
      <c r="H291" s="103">
        <v>286</v>
      </c>
      <c r="I291" s="104" t="str">
        <f t="shared" si="30"/>
        <v/>
      </c>
      <c r="J291" s="103">
        <f t="shared" si="31"/>
        <v>-3</v>
      </c>
      <c r="K291" s="103">
        <f t="shared" si="32"/>
        <v>-30</v>
      </c>
      <c r="L291" s="103"/>
      <c r="M291" s="105">
        <f t="shared" si="33"/>
        <v>0</v>
      </c>
      <c r="N291" s="105">
        <f t="shared" si="34"/>
        <v>0</v>
      </c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</row>
    <row r="292" spans="1:39" s="88" customFormat="1" x14ac:dyDescent="0.25">
      <c r="A292" s="102">
        <f t="shared" si="29"/>
        <v>0</v>
      </c>
      <c r="B292" s="123"/>
      <c r="C292" s="123"/>
      <c r="D292" s="123"/>
      <c r="E292" s="123"/>
      <c r="F292" s="123"/>
      <c r="H292" s="103">
        <v>287</v>
      </c>
      <c r="I292" s="104" t="str">
        <f t="shared" si="30"/>
        <v/>
      </c>
      <c r="J292" s="103">
        <f t="shared" si="31"/>
        <v>-3</v>
      </c>
      <c r="K292" s="103">
        <f t="shared" si="32"/>
        <v>-30</v>
      </c>
      <c r="L292" s="103"/>
      <c r="M292" s="105">
        <f t="shared" si="33"/>
        <v>0</v>
      </c>
      <c r="N292" s="105">
        <f t="shared" si="34"/>
        <v>0</v>
      </c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</row>
    <row r="293" spans="1:39" s="88" customFormat="1" x14ac:dyDescent="0.25">
      <c r="A293" s="106">
        <f t="shared" si="29"/>
        <v>0</v>
      </c>
      <c r="B293" s="123"/>
      <c r="C293" s="123"/>
      <c r="D293" s="123"/>
      <c r="E293" s="123"/>
      <c r="F293" s="123"/>
      <c r="H293" s="103">
        <v>288</v>
      </c>
      <c r="I293" s="104" t="str">
        <f t="shared" si="30"/>
        <v/>
      </c>
      <c r="J293" s="103">
        <f t="shared" si="31"/>
        <v>-3</v>
      </c>
      <c r="K293" s="103">
        <f t="shared" si="32"/>
        <v>-30</v>
      </c>
      <c r="L293" s="103"/>
      <c r="M293" s="105">
        <f t="shared" si="33"/>
        <v>0</v>
      </c>
      <c r="N293" s="105">
        <f t="shared" si="34"/>
        <v>0</v>
      </c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</row>
    <row r="294" spans="1:39" s="88" customFormat="1" x14ac:dyDescent="0.25">
      <c r="A294" s="102">
        <f t="shared" si="29"/>
        <v>0</v>
      </c>
      <c r="B294" s="123"/>
      <c r="C294" s="123"/>
      <c r="D294" s="123"/>
      <c r="E294" s="123"/>
      <c r="F294" s="123"/>
      <c r="H294" s="103">
        <v>289</v>
      </c>
      <c r="I294" s="104" t="str">
        <f t="shared" si="30"/>
        <v/>
      </c>
      <c r="J294" s="103">
        <f t="shared" si="31"/>
        <v>-3</v>
      </c>
      <c r="K294" s="103">
        <f t="shared" si="32"/>
        <v>-30</v>
      </c>
      <c r="L294" s="103"/>
      <c r="M294" s="105">
        <f t="shared" si="33"/>
        <v>0</v>
      </c>
      <c r="N294" s="105">
        <f t="shared" si="34"/>
        <v>0</v>
      </c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</row>
    <row r="295" spans="1:39" s="88" customFormat="1" x14ac:dyDescent="0.25">
      <c r="A295" s="106">
        <f t="shared" si="29"/>
        <v>0</v>
      </c>
      <c r="B295" s="123"/>
      <c r="C295" s="123"/>
      <c r="D295" s="123"/>
      <c r="E295" s="123"/>
      <c r="F295" s="123"/>
      <c r="H295" s="103">
        <v>290</v>
      </c>
      <c r="I295" s="104" t="str">
        <f t="shared" si="30"/>
        <v/>
      </c>
      <c r="J295" s="103">
        <f t="shared" si="31"/>
        <v>-3</v>
      </c>
      <c r="K295" s="103">
        <f t="shared" si="32"/>
        <v>-30</v>
      </c>
      <c r="L295" s="103"/>
      <c r="M295" s="105">
        <f t="shared" si="33"/>
        <v>0</v>
      </c>
      <c r="N295" s="105">
        <f t="shared" si="34"/>
        <v>0</v>
      </c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</row>
    <row r="296" spans="1:39" s="88" customFormat="1" x14ac:dyDescent="0.25">
      <c r="A296" s="102">
        <f t="shared" si="29"/>
        <v>0</v>
      </c>
      <c r="B296" s="123"/>
      <c r="C296" s="123"/>
      <c r="D296" s="123"/>
      <c r="E296" s="123"/>
      <c r="F296" s="123"/>
      <c r="H296" s="103">
        <v>291</v>
      </c>
      <c r="I296" s="104" t="str">
        <f t="shared" si="30"/>
        <v/>
      </c>
      <c r="J296" s="103">
        <f t="shared" si="31"/>
        <v>-3</v>
      </c>
      <c r="K296" s="103">
        <f t="shared" si="32"/>
        <v>-30</v>
      </c>
      <c r="L296" s="103"/>
      <c r="M296" s="105">
        <f t="shared" si="33"/>
        <v>0</v>
      </c>
      <c r="N296" s="105">
        <f t="shared" si="34"/>
        <v>0</v>
      </c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</row>
    <row r="297" spans="1:39" s="88" customFormat="1" x14ac:dyDescent="0.25">
      <c r="A297" s="106">
        <f t="shared" si="29"/>
        <v>0</v>
      </c>
      <c r="B297" s="123"/>
      <c r="C297" s="123"/>
      <c r="D297" s="123"/>
      <c r="E297" s="123"/>
      <c r="F297" s="123"/>
      <c r="H297" s="103">
        <v>292</v>
      </c>
      <c r="I297" s="104" t="str">
        <f t="shared" si="30"/>
        <v/>
      </c>
      <c r="J297" s="103">
        <f t="shared" si="31"/>
        <v>-3</v>
      </c>
      <c r="K297" s="103">
        <f t="shared" si="32"/>
        <v>-30</v>
      </c>
      <c r="L297" s="103"/>
      <c r="M297" s="105">
        <f t="shared" si="33"/>
        <v>0</v>
      </c>
      <c r="N297" s="105">
        <f t="shared" si="34"/>
        <v>0</v>
      </c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</row>
    <row r="298" spans="1:39" s="88" customFormat="1" x14ac:dyDescent="0.25">
      <c r="A298" s="102">
        <f t="shared" si="29"/>
        <v>0</v>
      </c>
      <c r="B298" s="123"/>
      <c r="C298" s="123"/>
      <c r="D298" s="123"/>
      <c r="E298" s="123"/>
      <c r="F298" s="123"/>
      <c r="H298" s="103">
        <v>293</v>
      </c>
      <c r="I298" s="104" t="str">
        <f t="shared" si="30"/>
        <v/>
      </c>
      <c r="J298" s="103">
        <f t="shared" si="31"/>
        <v>-3</v>
      </c>
      <c r="K298" s="103">
        <f t="shared" si="32"/>
        <v>-30</v>
      </c>
      <c r="L298" s="103"/>
      <c r="M298" s="105">
        <f t="shared" si="33"/>
        <v>0</v>
      </c>
      <c r="N298" s="105">
        <f t="shared" si="34"/>
        <v>0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</row>
    <row r="299" spans="1:39" s="88" customFormat="1" x14ac:dyDescent="0.25">
      <c r="A299" s="106">
        <f t="shared" si="29"/>
        <v>0</v>
      </c>
      <c r="B299" s="123"/>
      <c r="C299" s="123"/>
      <c r="D299" s="123"/>
      <c r="E299" s="123"/>
      <c r="F299" s="123"/>
      <c r="H299" s="103">
        <v>294</v>
      </c>
      <c r="I299" s="104" t="str">
        <f t="shared" si="30"/>
        <v/>
      </c>
      <c r="J299" s="103">
        <f t="shared" si="31"/>
        <v>-3</v>
      </c>
      <c r="K299" s="103">
        <f t="shared" si="32"/>
        <v>-30</v>
      </c>
      <c r="L299" s="103"/>
      <c r="M299" s="105">
        <f t="shared" si="33"/>
        <v>0</v>
      </c>
      <c r="N299" s="105">
        <f t="shared" si="34"/>
        <v>0</v>
      </c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</row>
    <row r="300" spans="1:39" s="88" customFormat="1" x14ac:dyDescent="0.25">
      <c r="A300" s="102">
        <f t="shared" si="29"/>
        <v>0</v>
      </c>
      <c r="B300" s="123"/>
      <c r="C300" s="123"/>
      <c r="D300" s="123"/>
      <c r="E300" s="123"/>
      <c r="F300" s="123"/>
      <c r="H300" s="103">
        <v>295</v>
      </c>
      <c r="I300" s="104" t="str">
        <f t="shared" si="30"/>
        <v/>
      </c>
      <c r="J300" s="103">
        <f t="shared" si="31"/>
        <v>-3</v>
      </c>
      <c r="K300" s="103">
        <f t="shared" si="32"/>
        <v>-30</v>
      </c>
      <c r="L300" s="103"/>
      <c r="M300" s="105">
        <f t="shared" si="33"/>
        <v>0</v>
      </c>
      <c r="N300" s="105">
        <f t="shared" si="34"/>
        <v>0</v>
      </c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</row>
    <row r="301" spans="1:39" s="88" customFormat="1" x14ac:dyDescent="0.25">
      <c r="A301" s="106">
        <f t="shared" si="29"/>
        <v>0</v>
      </c>
      <c r="B301" s="123"/>
      <c r="C301" s="123"/>
      <c r="D301" s="123"/>
      <c r="E301" s="123"/>
      <c r="F301" s="123"/>
      <c r="H301" s="103">
        <v>296</v>
      </c>
      <c r="I301" s="104" t="str">
        <f t="shared" si="30"/>
        <v/>
      </c>
      <c r="J301" s="103">
        <f t="shared" si="31"/>
        <v>-3</v>
      </c>
      <c r="K301" s="103">
        <f t="shared" si="32"/>
        <v>-30</v>
      </c>
      <c r="L301" s="103"/>
      <c r="M301" s="105">
        <f t="shared" si="33"/>
        <v>0</v>
      </c>
      <c r="N301" s="105">
        <f t="shared" si="34"/>
        <v>0</v>
      </c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</row>
    <row r="302" spans="1:39" s="88" customFormat="1" x14ac:dyDescent="0.25">
      <c r="A302" s="102">
        <f t="shared" si="29"/>
        <v>0</v>
      </c>
      <c r="B302" s="123"/>
      <c r="C302" s="123"/>
      <c r="D302" s="123"/>
      <c r="E302" s="123"/>
      <c r="F302" s="123"/>
      <c r="H302" s="103">
        <v>297</v>
      </c>
      <c r="I302" s="104" t="str">
        <f t="shared" si="30"/>
        <v/>
      </c>
      <c r="J302" s="103">
        <f t="shared" si="31"/>
        <v>-3</v>
      </c>
      <c r="K302" s="103">
        <f t="shared" si="32"/>
        <v>-30</v>
      </c>
      <c r="L302" s="103"/>
      <c r="M302" s="105">
        <f t="shared" si="33"/>
        <v>0</v>
      </c>
      <c r="N302" s="105">
        <f t="shared" si="34"/>
        <v>0</v>
      </c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</row>
    <row r="303" spans="1:39" s="88" customFormat="1" x14ac:dyDescent="0.25">
      <c r="A303" s="106">
        <f t="shared" si="29"/>
        <v>0</v>
      </c>
      <c r="B303" s="123"/>
      <c r="C303" s="123"/>
      <c r="D303" s="123"/>
      <c r="E303" s="123"/>
      <c r="F303" s="123"/>
      <c r="H303" s="103">
        <v>298</v>
      </c>
      <c r="I303" s="104" t="str">
        <f t="shared" si="30"/>
        <v/>
      </c>
      <c r="J303" s="103">
        <f t="shared" si="31"/>
        <v>-3</v>
      </c>
      <c r="K303" s="103">
        <f t="shared" si="32"/>
        <v>-30</v>
      </c>
      <c r="L303" s="103"/>
      <c r="M303" s="105">
        <f t="shared" si="33"/>
        <v>0</v>
      </c>
      <c r="N303" s="105">
        <f t="shared" si="34"/>
        <v>0</v>
      </c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</row>
    <row r="304" spans="1:39" s="88" customFormat="1" x14ac:dyDescent="0.25">
      <c r="A304" s="102">
        <f t="shared" si="29"/>
        <v>0</v>
      </c>
      <c r="B304" s="123"/>
      <c r="C304" s="123"/>
      <c r="D304" s="123"/>
      <c r="E304" s="123"/>
      <c r="F304" s="123"/>
      <c r="H304" s="103">
        <v>299</v>
      </c>
      <c r="I304" s="104" t="str">
        <f t="shared" si="30"/>
        <v/>
      </c>
      <c r="J304" s="103">
        <f t="shared" si="31"/>
        <v>-3</v>
      </c>
      <c r="K304" s="103">
        <f t="shared" si="32"/>
        <v>-30</v>
      </c>
      <c r="L304" s="103"/>
      <c r="M304" s="105">
        <f t="shared" si="33"/>
        <v>0</v>
      </c>
      <c r="N304" s="105">
        <f t="shared" si="34"/>
        <v>0</v>
      </c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</row>
    <row r="305" spans="1:39" s="88" customFormat="1" x14ac:dyDescent="0.25">
      <c r="A305" s="106">
        <f t="shared" si="29"/>
        <v>0</v>
      </c>
      <c r="B305" s="123"/>
      <c r="C305" s="123"/>
      <c r="D305" s="123"/>
      <c r="E305" s="123"/>
      <c r="F305" s="123"/>
      <c r="H305" s="103">
        <v>300</v>
      </c>
      <c r="I305" s="104" t="str">
        <f t="shared" si="30"/>
        <v/>
      </c>
      <c r="J305" s="103">
        <f t="shared" si="31"/>
        <v>-3</v>
      </c>
      <c r="K305" s="103">
        <f t="shared" si="32"/>
        <v>-30</v>
      </c>
      <c r="L305" s="103"/>
      <c r="M305" s="105">
        <f t="shared" si="33"/>
        <v>0</v>
      </c>
      <c r="N305" s="105">
        <f t="shared" si="34"/>
        <v>0</v>
      </c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</row>
    <row r="306" spans="1:39" s="88" customFormat="1" x14ac:dyDescent="0.25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6"/>
      <c r="N306" s="127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</row>
    <row r="314" spans="1:39" s="88" customFormat="1" x14ac:dyDescent="0.25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8"/>
      <c r="N314" s="127"/>
      <c r="Q314" s="115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</row>
    <row r="315" spans="1:39" s="88" customFormat="1" x14ac:dyDescent="0.25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8"/>
      <c r="N315" s="127"/>
      <c r="Q315" s="115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</row>
    <row r="316" spans="1:39" s="88" customFormat="1" x14ac:dyDescent="0.25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8"/>
      <c r="N316" s="127"/>
      <c r="Q316" s="115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</row>
    <row r="317" spans="1:39" s="88" customFormat="1" x14ac:dyDescent="0.25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8"/>
      <c r="N317" s="127"/>
      <c r="Q317" s="115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333D96D8-3221-4C89-8E6D-9ED351824E42}"/>
    <hyperlink ref="C2:D2" r:id="rId2" display="Thionville" xr:uid="{EB99A9DF-CF91-4F1B-9220-95467BE5145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2024-06-26T08:37:32Z</dcterms:modified>
  <cp:category/>
  <cp:contentStatus/>
</cp:coreProperties>
</file>